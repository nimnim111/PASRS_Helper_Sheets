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5"/>
    <sheet state="hidden" name="Team Info From Paste" sheetId="2" r:id="rId6"/>
    <sheet state="visible" name="Game By Game" sheetId="3" r:id="rId7"/>
    <sheet state="hidden" name="GBG DASHBOARD" sheetId="4" r:id="rId8"/>
    <sheet state="hidden" name="GBG Data" sheetId="5" r:id="rId9"/>
    <sheet state="hidden" name="GBG Filtered" sheetId="6" r:id="rId10"/>
    <sheet state="visible" name="Usage Stats" sheetId="7" r:id="rId11"/>
    <sheet state="hidden" name="Lead Combo Reporting" sheetId="8" r:id="rId12"/>
    <sheet state="hidden" name="Forms" sheetId="9" r:id="rId13"/>
    <sheet state="hidden" name="Icons" sheetId="10" r:id="rId14"/>
    <sheet state="visible" name="Matchup Stats" sheetId="11" r:id="rId15"/>
    <sheet state="visible" name="Move Usage" sheetId="12" r:id="rId16"/>
    <sheet state="visible" name="FAQ  Contact" sheetId="13" r:id="rId17"/>
    <sheet state="hidden" name="OpponentData" sheetId="14" r:id="rId18"/>
    <sheet state="hidden" name="Report" sheetId="15" r:id="rId19"/>
    <sheet state="hidden" name="OtherIcons" sheetId="16" r:id="rId20"/>
    <sheet state="hidden" name="Base Data" sheetId="17" r:id="rId21"/>
    <sheet state="hidden" name="Move Data TEST" sheetId="18" r:id="rId22"/>
    <sheet state="hidden" name="Move Data TABLE" sheetId="19" r:id="rId23"/>
  </sheets>
  <definedNames>
    <definedName name="MatchupDataTableNoHeaders">OpponentData!$C$2:$F$402</definedName>
    <definedName name="OTSQuery">'GBG DASHBOARD'!$E$9</definedName>
    <definedName name="PlayerAltNames">'Team Info From Paste'!$F$17:$J$17</definedName>
    <definedName name="PlayerMonsDropDown">'Team Info From Paste'!$C$12:$C$18</definedName>
    <definedName name="ReplayLinks">HomePage!$C$14:$C$113</definedName>
    <definedName name="PokemonIcons">Icons!$B$2:$C$1203</definedName>
    <definedName name="OppTeamQuery">'GBG DASHBOARD'!$E$2</definedName>
    <definedName name="Player2">'Base Data'!$I$3:$I$102</definedName>
    <definedName name="MatchupDataTableWithHeaders">OpponentData!$C$1:$F$402</definedName>
    <definedName name="OTSDropDown">'GBG DASHBOARD'!$A$15:$A$17</definedName>
    <definedName name="Paste">HomePage!$G$8</definedName>
    <definedName name="LeadComboTable">'Lead Combo Reporting'!$F$5:$J$20</definedName>
    <definedName name="PlayerLeadQuery">'GBG DASHBOARD'!$E$6</definedName>
    <definedName name="ResultsDropdown">'GBG DASHBOARD'!$A$11:$A$13</definedName>
    <definedName name="ResultQuery">'GBG DASHBOARD'!$E$1</definedName>
    <definedName name="GameResults">'Base Data'!$DW$3:$DW$102</definedName>
    <definedName name="OppBackQuery">'GBG DASHBOARD'!$E$4</definedName>
    <definedName name="OppLeadQuery">'GBG DASHBOARD'!$E$3</definedName>
    <definedName name="Player1Pokemon">'Base Data'!$C$3:$H$102</definedName>
    <definedName name="Player1">'Base Data'!$B$3:$B$102</definedName>
    <definedName name="PlayerUsedQuery">'GBG DASHBOARD'!$E$5</definedName>
    <definedName name="OppMonsUsed">'Base Data'!$CZ$3:$DC$102</definedName>
    <definedName name="Results">'Base Data'!$P$3:$P$102</definedName>
    <definedName name="FormFixes">Forms!$A$2:$C$141</definedName>
    <definedName name="TypeIcons">Icons!$D$2:$E$20</definedName>
    <definedName name="Player2Pokemon">'Base Data'!$J$3:$O$102</definedName>
    <definedName name="PlayerTeraQuery">'GBG DASHBOARD'!$E$8</definedName>
    <definedName name="PlayerLeadTable">'Lead Combo Reporting'!$A$5:$D$105</definedName>
    <definedName name="PlayerBackQuery">'GBG DASHBOARD'!$E$7</definedName>
    <definedName hidden="1" localSheetId="10" name="Z_4B22BF0D_F0F9_40A5_BE7F_31A956904BCB_.wvu.FilterData">'Matchup Stats'!$E$16:$L$18</definedName>
  </definedNames>
  <calcPr/>
  <customWorkbookViews>
    <customWorkbookView activeSheetId="0" maximized="1" windowHeight="0" windowWidth="0" guid="{4B22BF0D-F0F9-40A5-BE7F-31A956904BCB}" name="Filter 1"/>
  </customWorkbookViews>
</workbook>
</file>

<file path=xl/sharedStrings.xml><?xml version="1.0" encoding="utf-8"?>
<sst xmlns="http://schemas.openxmlformats.org/spreadsheetml/2006/main" count="3321" uniqueCount="2756">
  <si>
    <t>PALKIA Academy Showdown Reporting Spreadsheet - V4.3</t>
  </si>
  <si>
    <r>
      <rPr>
        <rFont val="Arial"/>
        <b/>
        <color rgb="FFFF0000"/>
        <sz val="12.0"/>
      </rPr>
      <t>Step 1</t>
    </r>
    <r>
      <rPr>
        <rFont val="Arial"/>
        <b/>
        <color rgb="FF6AA84F"/>
        <sz val="12.0"/>
      </rPr>
      <t xml:space="preserve"> </t>
    </r>
    <r>
      <rPr>
        <rFont val="Arial"/>
        <b/>
        <color theme="1"/>
        <sz val="12.0"/>
      </rPr>
      <t>- File -&gt; Make a copy</t>
    </r>
  </si>
  <si>
    <r>
      <rPr>
        <rFont val="Arial"/>
        <b/>
        <color rgb="FFFF0000"/>
        <sz val="12.0"/>
      </rPr>
      <t>Step 2</t>
    </r>
    <r>
      <rPr>
        <rFont val="Arial"/>
        <b/>
        <color theme="1"/>
        <sz val="12.0"/>
      </rPr>
      <t xml:space="preserve"> - Put your Showdown Name(s) Here →</t>
    </r>
  </si>
  <si>
    <t>Tacodad</t>
  </si>
  <si>
    <r>
      <rPr>
        <rFont val="Arial"/>
        <b/>
        <color rgb="FFFF0000"/>
        <sz val="12.0"/>
      </rPr>
      <t>Step 3</t>
    </r>
    <r>
      <rPr>
        <rFont val="Arial"/>
        <b/>
        <color theme="1"/>
        <sz val="12.0"/>
      </rPr>
      <t xml:space="preserve"> - Put your Team Pokepaste Here →</t>
    </r>
  </si>
  <si>
    <t>https://pokepast.es/fa94d0fcba3c7d5c</t>
  </si>
  <si>
    <r>
      <rPr>
        <rFont val="Arial"/>
        <b/>
        <color rgb="FFFF0000"/>
        <sz val="14.0"/>
      </rPr>
      <t>Step 4</t>
    </r>
    <r>
      <rPr>
        <rFont val="Arial"/>
        <b/>
        <color rgb="FF6AA84F"/>
        <sz val="14.0"/>
      </rPr>
      <t xml:space="preserve"> </t>
    </r>
    <r>
      <rPr>
        <rFont val="Arial"/>
        <b/>
        <color theme="1"/>
        <sz val="14.0"/>
      </rPr>
      <t>- Put your showdown replay links (up to 100 at a time) below!</t>
    </r>
  </si>
  <si>
    <t>Game links below</t>
  </si>
  <si>
    <t>Notes</t>
  </si>
  <si>
    <t>https://replay.pokemonshowdown.com/gen9vgc2024regf-2070521419-wij2t1c8a3ua2btvwpmll67vtoyd7z8pw</t>
  </si>
  <si>
    <t>https://replay.pokemonshowdown.com/gen9vgc2024regf-2070524515-ylqh6t9rxtx57ssjtfpu83jlbp1wj7opw</t>
  </si>
  <si>
    <t>https://replay.pokemonshowdown.com/gen9vgc2024regf-2070529070-n0bmug1nosncwi659y35lhd31swd1tvpw</t>
  </si>
  <si>
    <t>https://replay.pokemonshowdown.com/gen9vgc2024regf-2070531987-4qs1znrb8c46bpkqrqbk16u396yg2pypw</t>
  </si>
  <si>
    <t>Pokemon</t>
  </si>
  <si>
    <t>Form Clean</t>
  </si>
  <si>
    <t>Move Lookup Name</t>
  </si>
  <si>
    <t>Move</t>
  </si>
  <si>
    <t>Tera Type</t>
  </si>
  <si>
    <t>Nickname</t>
  </si>
  <si>
    <t xml:space="preserve">Decorate  </t>
  </si>
  <si>
    <t xml:space="preserve">Baby-Doll Eyes  </t>
  </si>
  <si>
    <t xml:space="preserve">Calm Mind  </t>
  </si>
  <si>
    <t xml:space="preserve">Draining Kiss  </t>
  </si>
  <si>
    <t>Weavile</t>
  </si>
  <si>
    <t xml:space="preserve">Fake Out  </t>
  </si>
  <si>
    <t xml:space="preserve">Ice Spinner  </t>
  </si>
  <si>
    <t xml:space="preserve">Protect  </t>
  </si>
  <si>
    <t xml:space="preserve">Foul Play  </t>
  </si>
  <si>
    <t>Skeledirge</t>
  </si>
  <si>
    <t xml:space="preserve">Torch Song  </t>
  </si>
  <si>
    <t>-any-</t>
  </si>
  <si>
    <t xml:space="preserve">Will-O-Wisp  </t>
  </si>
  <si>
    <t>Exeggutor-Alola</t>
  </si>
  <si>
    <t xml:space="preserve">Tera Blast  </t>
  </si>
  <si>
    <t>Gholdengo</t>
  </si>
  <si>
    <t>Salamence</t>
  </si>
  <si>
    <t xml:space="preserve">Make It Rain  </t>
  </si>
  <si>
    <t>Showdown Names Clean</t>
  </si>
  <si>
    <t xml:space="preserve">Flash Cannon  </t>
  </si>
  <si>
    <t xml:space="preserve">Shadow Ball  </t>
  </si>
  <si>
    <t xml:space="preserve">Power Gem  </t>
  </si>
  <si>
    <t xml:space="preserve">Energy Ball  </t>
  </si>
  <si>
    <t xml:space="preserve">Draco Meteor  </t>
  </si>
  <si>
    <t xml:space="preserve">Ancient Power  </t>
  </si>
  <si>
    <t xml:space="preserve">Sunny Day  </t>
  </si>
  <si>
    <t xml:space="preserve">Dragon Dance  </t>
  </si>
  <si>
    <t xml:space="preserve">Dragon Claw  </t>
  </si>
  <si>
    <t xml:space="preserve">Dual Wingbeat  </t>
  </si>
  <si>
    <t>Fairy</t>
  </si>
  <si>
    <t>Ice</t>
  </si>
  <si>
    <t>Grass</t>
  </si>
  <si>
    <t>Steel</t>
  </si>
  <si>
    <t>Flying</t>
  </si>
  <si>
    <t>Alcremie-Matcha-Cream</t>
  </si>
  <si>
    <t>← Hit the + to filter your games!</t>
  </si>
  <si>
    <t>Press the [ - ] to collapse</t>
  </si>
  <si>
    <t>Player</t>
  </si>
  <si>
    <t>Opponent</t>
  </si>
  <si>
    <t>Lead</t>
  </si>
  <si>
    <t>Result</t>
  </si>
  <si>
    <t>Opposing Pokemon</t>
  </si>
  <si>
    <t>Back</t>
  </si>
  <si>
    <t>Terastallize</t>
  </si>
  <si>
    <t>OTS?</t>
  </si>
  <si>
    <t>ELO</t>
  </si>
  <si>
    <t>Game</t>
  </si>
  <si>
    <t>Opposing Team</t>
  </si>
  <si>
    <t>Your Picks</t>
  </si>
  <si>
    <t>Their Picks</t>
  </si>
  <si>
    <t>You</t>
  </si>
  <si>
    <t>Opp</t>
  </si>
  <si>
    <t>Desired Result</t>
  </si>
  <si>
    <t>Col2</t>
  </si>
  <si>
    <t>Desired Opponent Mon on Team</t>
  </si>
  <si>
    <t>Col5 thru Col10</t>
  </si>
  <si>
    <t>Desired Opponent Lead</t>
  </si>
  <si>
    <t>Col19 and Col20</t>
  </si>
  <si>
    <t>Desired Opponent Back</t>
  </si>
  <si>
    <t>Col21 and Col22</t>
  </si>
  <si>
    <t>Desired Player Use</t>
  </si>
  <si>
    <t>Col14 thru Col17</t>
  </si>
  <si>
    <t>Desired Player Lead</t>
  </si>
  <si>
    <t>Col14 and Col15</t>
  </si>
  <si>
    <t>Desired Player Back</t>
  </si>
  <si>
    <t>Col16 and Col17</t>
  </si>
  <si>
    <t>Desired Player Tera</t>
  </si>
  <si>
    <t>Col25</t>
  </si>
  <si>
    <t>Desired OTS</t>
  </si>
  <si>
    <t>Col29</t>
  </si>
  <si>
    <t>Desired OTS clean</t>
  </si>
  <si>
    <t>Win</t>
  </si>
  <si>
    <t>Loss</t>
  </si>
  <si>
    <t>OTS</t>
  </si>
  <si>
    <t>CTS</t>
  </si>
  <si>
    <t>Game Num</t>
  </si>
  <si>
    <t>VS</t>
  </si>
  <si>
    <t>Opp Name</t>
  </si>
  <si>
    <t>OppMon1</t>
  </si>
  <si>
    <t>OppMon2</t>
  </si>
  <si>
    <t>OppMon3</t>
  </si>
  <si>
    <t>OppMon4</t>
  </si>
  <si>
    <t>OppMon5</t>
  </si>
  <si>
    <t>OppMon6</t>
  </si>
  <si>
    <t>PlayerLead1</t>
  </si>
  <si>
    <t>PlayerLead2</t>
  </si>
  <si>
    <t>PlayerBack1</t>
  </si>
  <si>
    <t>PlayerBack2</t>
  </si>
  <si>
    <t>OppLead1</t>
  </si>
  <si>
    <t>OppLead2</t>
  </si>
  <si>
    <t>OppBack1</t>
  </si>
  <si>
    <t>OppBack2</t>
  </si>
  <si>
    <t>PlayerTeraMon</t>
  </si>
  <si>
    <t>PlayerTeraType</t>
  </si>
  <si>
    <t>OppTeraMon</t>
  </si>
  <si>
    <t>OppTeraType</t>
  </si>
  <si>
    <t>Opp ELO</t>
  </si>
  <si>
    <t>Usage and Win% Stats</t>
  </si>
  <si>
    <t>Usage of Tera and Win% Stats</t>
  </si>
  <si>
    <t>Most Common Lead Pairs</t>
  </si>
  <si>
    <t>Winrate</t>
  </si>
  <si>
    <t>Lead and Win% Stats</t>
  </si>
  <si>
    <t>Open Teamsheet Stats (OTS)</t>
  </si>
  <si>
    <t>Best Lead Pairs</t>
  </si>
  <si>
    <t>CX and CY are player leads</t>
  </si>
  <si>
    <t>Team Data from paste C2:C7</t>
  </si>
  <si>
    <t>Combo Table</t>
  </si>
  <si>
    <t>Most Common</t>
  </si>
  <si>
    <t>Most Wins</t>
  </si>
  <si>
    <t>Player Lead 1</t>
  </si>
  <si>
    <t>Player Lead 2</t>
  </si>
  <si>
    <t>Win?</t>
  </si>
  <si>
    <t>Lead A</t>
  </si>
  <si>
    <t>Lead B</t>
  </si>
  <si>
    <t># Led</t>
  </si>
  <si>
    <t># won</t>
  </si>
  <si>
    <t>% WIn</t>
  </si>
  <si>
    <t>Full</t>
  </si>
  <si>
    <t>Simple</t>
  </si>
  <si>
    <t>Moves</t>
  </si>
  <si>
    <t>Maushold-Four</t>
  </si>
  <si>
    <t>Maushold</t>
  </si>
  <si>
    <t>Maushold-Three</t>
  </si>
  <si>
    <t>Indeedee-F</t>
  </si>
  <si>
    <t>Indeedee Female</t>
  </si>
  <si>
    <t>Indeedee</t>
  </si>
  <si>
    <t>Indeedee Male</t>
  </si>
  <si>
    <t>Rotom-Mow</t>
  </si>
  <si>
    <t>Mow Rotom</t>
  </si>
  <si>
    <t>Rotom</t>
  </si>
  <si>
    <t>Rotom-Heat</t>
  </si>
  <si>
    <t>Heat Rotom</t>
  </si>
  <si>
    <t>Rotom-Wash</t>
  </si>
  <si>
    <t>Wash Rotom</t>
  </si>
  <si>
    <t>Rotom-Frost</t>
  </si>
  <si>
    <t>Frost Rotom</t>
  </si>
  <si>
    <t>Rotom-Fan</t>
  </si>
  <si>
    <t>Fan Rotom</t>
  </si>
  <si>
    <t>Lycanroc</t>
  </si>
  <si>
    <t>Lycanroc Midday Form</t>
  </si>
  <si>
    <t>Lycanroc-Midnight</t>
  </si>
  <si>
    <t>Lycanroc Midnight Form</t>
  </si>
  <si>
    <t>Lycanroc-Dusk</t>
  </si>
  <si>
    <t>Lycanroc Dusk Form</t>
  </si>
  <si>
    <t>Tauros-Paldea-Blaze</t>
  </si>
  <si>
    <t>Paldean Tauros Blaze Breed</t>
  </si>
  <si>
    <t>Tauros</t>
  </si>
  <si>
    <t>Tauros-Paldea-Aqua</t>
  </si>
  <si>
    <t>Paldean Tauros Aqua Breed</t>
  </si>
  <si>
    <t>Shellos-East</t>
  </si>
  <si>
    <t>Shellos</t>
  </si>
  <si>
    <t>Gastrodon-East</t>
  </si>
  <si>
    <t>Gastrodon</t>
  </si>
  <si>
    <t>Gastrodon-West</t>
  </si>
  <si>
    <t>Eiscue</t>
  </si>
  <si>
    <t>Eiscue Ice Face</t>
  </si>
  <si>
    <t>Basculin-Red-Striped</t>
  </si>
  <si>
    <t>Basculin Red-Striped Form</t>
  </si>
  <si>
    <t>Basculin</t>
  </si>
  <si>
    <t>Basculin-Blue-Striped</t>
  </si>
  <si>
    <t>Basculin Blue-Striped Form</t>
  </si>
  <si>
    <t>Oinkologne-M</t>
  </si>
  <si>
    <t>Oinkologne Male</t>
  </si>
  <si>
    <t>Oinkologne</t>
  </si>
  <si>
    <t>Oinkologne-F</t>
  </si>
  <si>
    <t>Oinkologne Female</t>
  </si>
  <si>
    <t>Oricorio</t>
  </si>
  <si>
    <t>Oricorio Baile Style</t>
  </si>
  <si>
    <t>Oricorio-Pom-Pom</t>
  </si>
  <si>
    <t>Oricorio Pom-Pom Style</t>
  </si>
  <si>
    <t>Oricorio-Pa&amp;#39;u</t>
  </si>
  <si>
    <t>Oricorio Pa'u Style</t>
  </si>
  <si>
    <t>Oricorio-Pa'u</t>
  </si>
  <si>
    <t>Oricorio-Sensu</t>
  </si>
  <si>
    <t>Oricorio Sensu Style</t>
  </si>
  <si>
    <t>Squawkabilly-Yellow</t>
  </si>
  <si>
    <t>Squawkabilly Blue Plumage</t>
  </si>
  <si>
    <t>Squawkabilly</t>
  </si>
  <si>
    <t>Squawkabilly-Blue</t>
  </si>
  <si>
    <t>Squawkabilly Yellow Plumage</t>
  </si>
  <si>
    <t>Squawkabilly-White</t>
  </si>
  <si>
    <t>Squawkabilly White Plumage</t>
  </si>
  <si>
    <t>Toxtricity</t>
  </si>
  <si>
    <t>Toxtricity Amped Form</t>
  </si>
  <si>
    <t>Toxtricity-Low-Key</t>
  </si>
  <si>
    <t>Toxtricity Low Key Form</t>
  </si>
  <si>
    <t>Wooper-Paldea</t>
  </si>
  <si>
    <t>Paldean Wooper</t>
  </si>
  <si>
    <t>Wooper</t>
  </si>
  <si>
    <t>Tatsugiri</t>
  </si>
  <si>
    <t>Tatsugiri-Stretchy</t>
  </si>
  <si>
    <t>Tatsugiri-Droopy</t>
  </si>
  <si>
    <t>Gimmighoul</t>
  </si>
  <si>
    <t>Gimmighoul Chest</t>
  </si>
  <si>
    <t>Vivillon-Fancy</t>
  </si>
  <si>
    <t>Vivillon</t>
  </si>
  <si>
    <t>Vivillon-Pokeball</t>
  </si>
  <si>
    <t>Vivillon-Archipelago</t>
  </si>
  <si>
    <t>Vivillon-Continental</t>
  </si>
  <si>
    <t>Vivillon-Elegant</t>
  </si>
  <si>
    <t>Vivillon-Garden</t>
  </si>
  <si>
    <t>Vivillon-High Plains</t>
  </si>
  <si>
    <t>Vivillon-Icy Snow</t>
  </si>
  <si>
    <t>Vivillon-Jungle</t>
  </si>
  <si>
    <t>Vivillon-Marine</t>
  </si>
  <si>
    <t>Vivillon-Modern</t>
  </si>
  <si>
    <t>Vivillon-Monsoon</t>
  </si>
  <si>
    <t>Vivillon-Ocean</t>
  </si>
  <si>
    <t>Vivillon-Polar</t>
  </si>
  <si>
    <t>Vivillon-River</t>
  </si>
  <si>
    <t>Vivillon-Sandstorm</t>
  </si>
  <si>
    <t>Vivillon-Savanna</t>
  </si>
  <si>
    <t>Vivillon-Sun</t>
  </si>
  <si>
    <t>Vivillon-Tundra</t>
  </si>
  <si>
    <t>Florges</t>
  </si>
  <si>
    <t>Florges-Blue</t>
  </si>
  <si>
    <t>Florges-White</t>
  </si>
  <si>
    <t>Florges-Orange</t>
  </si>
  <si>
    <t>Florges-Yellow</t>
  </si>
  <si>
    <t>Tornadus</t>
  </si>
  <si>
    <t>Tornadus Incarnate Forme</t>
  </si>
  <si>
    <t>Tornadus-Therian</t>
  </si>
  <si>
    <t>Tornadus Therian Forme</t>
  </si>
  <si>
    <t>Landorus</t>
  </si>
  <si>
    <t>Landorus Incarnate Forme</t>
  </si>
  <si>
    <t>Landorus-Therian</t>
  </si>
  <si>
    <t>Landorus Therian Forme</t>
  </si>
  <si>
    <t>Thundurus</t>
  </si>
  <si>
    <t>Thundurus Incarnate Forme</t>
  </si>
  <si>
    <t>Thundurus-Therian</t>
  </si>
  <si>
    <t>Thundurus Therian Forme</t>
  </si>
  <si>
    <t>Enamorus</t>
  </si>
  <si>
    <t>Enamorus Incarnate</t>
  </si>
  <si>
    <t>Enamorus-Therian</t>
  </si>
  <si>
    <t>Enamorus Therian</t>
  </si>
  <si>
    <t>Urshifu</t>
  </si>
  <si>
    <t>Urshifu Single Strike</t>
  </si>
  <si>
    <t>Urshifu-Rapid-Strike</t>
  </si>
  <si>
    <t>Urshifu Rapid Strike</t>
  </si>
  <si>
    <t>Urshifu-Single-Strike</t>
  </si>
  <si>
    <t>Goodra-Hisui</t>
  </si>
  <si>
    <t>Hisuian Goodra</t>
  </si>
  <si>
    <t>Goodra</t>
  </si>
  <si>
    <t>Sliggoo-Hisui</t>
  </si>
  <si>
    <t>Hisuian Sliggoo</t>
  </si>
  <si>
    <t>Sliggoo</t>
  </si>
  <si>
    <t>Growlithe-Hisui</t>
  </si>
  <si>
    <t>Hisuian Growlithe</t>
  </si>
  <si>
    <t>Growlithe</t>
  </si>
  <si>
    <t>Arcanine-Hisui</t>
  </si>
  <si>
    <t>Hisuian Arcanine</t>
  </si>
  <si>
    <t>Arcanine</t>
  </si>
  <si>
    <t>Voltorb-Hisui</t>
  </si>
  <si>
    <t>Hisuian Voltorb</t>
  </si>
  <si>
    <t>Voltorb</t>
  </si>
  <si>
    <t>Electrode-Hisui</t>
  </si>
  <si>
    <t>Hisuian Electrode</t>
  </si>
  <si>
    <t>Electrode</t>
  </si>
  <si>
    <t>Typhlosion-Hisui</t>
  </si>
  <si>
    <t>Hisuian Typhlosion</t>
  </si>
  <si>
    <t>Typhlosion</t>
  </si>
  <si>
    <t>Qwilfish-Hisui</t>
  </si>
  <si>
    <t>Hisuian Qwilfish</t>
  </si>
  <si>
    <t>Qwilfish</t>
  </si>
  <si>
    <t>Sneasel-Hisui</t>
  </si>
  <si>
    <t>Hisuian Sneasel</t>
  </si>
  <si>
    <t>Sneasel</t>
  </si>
  <si>
    <t>Samurott-Hisui</t>
  </si>
  <si>
    <t>Hisuian Samurott</t>
  </si>
  <si>
    <t>Samurott</t>
  </si>
  <si>
    <t>Lilligant-Hisui</t>
  </si>
  <si>
    <t>Hisuian Lilligant</t>
  </si>
  <si>
    <t>Lilligant</t>
  </si>
  <si>
    <t>Zorua-Hisui</t>
  </si>
  <si>
    <t>Hisuian Zorua</t>
  </si>
  <si>
    <t>Zorua</t>
  </si>
  <si>
    <t>Zoroark-Hisui</t>
  </si>
  <si>
    <t>Hisuian Zoroark</t>
  </si>
  <si>
    <t>Zoroark</t>
  </si>
  <si>
    <t>Braviary-Hisui</t>
  </si>
  <si>
    <t>Hisuian Braviary</t>
  </si>
  <si>
    <t>Braviary</t>
  </si>
  <si>
    <t>Avalugg-Hisui</t>
  </si>
  <si>
    <t>Hisuian Avalugg</t>
  </si>
  <si>
    <t>Avalugg</t>
  </si>
  <si>
    <t>Decidueye-Hisui</t>
  </si>
  <si>
    <t>Hisuian Decidueye</t>
  </si>
  <si>
    <t>Decidueye</t>
  </si>
  <si>
    <t>Basculegion</t>
  </si>
  <si>
    <t>Basculegion-M</t>
  </si>
  <si>
    <t>Moltres-Galar</t>
  </si>
  <si>
    <t>Galarian Moltres</t>
  </si>
  <si>
    <t>Moltres</t>
  </si>
  <si>
    <t>Zapdos-Galar</t>
  </si>
  <si>
    <t>Galarian Zapdos</t>
  </si>
  <si>
    <t>Zapdos</t>
  </si>
  <si>
    <t>Articuno-Galar</t>
  </si>
  <si>
    <t>Galarian Articuno</t>
  </si>
  <si>
    <t>Articuno</t>
  </si>
  <si>
    <t>Slowking-Galar</t>
  </si>
  <si>
    <t>Galarian Slowking</t>
  </si>
  <si>
    <t>Slowking</t>
  </si>
  <si>
    <t>Slowbro-Galar</t>
  </si>
  <si>
    <t>Galarian Slowbro</t>
  </si>
  <si>
    <t>Slowbro</t>
  </si>
  <si>
    <t>Muk-Alola</t>
  </si>
  <si>
    <t>Alolan Muk</t>
  </si>
  <si>
    <t>Muk</t>
  </si>
  <si>
    <t>Grimer-Alola</t>
  </si>
  <si>
    <t>Alolan Grimer</t>
  </si>
  <si>
    <t>Grimer</t>
  </si>
  <si>
    <t>Diglett-Alola</t>
  </si>
  <si>
    <t>Alolan Diglett</t>
  </si>
  <si>
    <t>Diglett</t>
  </si>
  <si>
    <t>Dugtrio-Alola</t>
  </si>
  <si>
    <t>Alolan Dugtrio</t>
  </si>
  <si>
    <t>Dugtrio</t>
  </si>
  <si>
    <t>Meowth-Galar</t>
  </si>
  <si>
    <t>Galarian Meowth</t>
  </si>
  <si>
    <t>Meowth</t>
  </si>
  <si>
    <t>Meowth-Alola</t>
  </si>
  <si>
    <t>Alolan Meowth</t>
  </si>
  <si>
    <t>Persian-Alola</t>
  </si>
  <si>
    <t>Alolan Persian</t>
  </si>
  <si>
    <t>Persian</t>
  </si>
  <si>
    <t>Raichu-Alola</t>
  </si>
  <si>
    <t>Alolan Raichu</t>
  </si>
  <si>
    <t>Raichu</t>
  </si>
  <si>
    <t>Slowpoke-Galar</t>
  </si>
  <si>
    <t>Galarian Slowpoke</t>
  </si>
  <si>
    <t>Slowpoke</t>
  </si>
  <si>
    <t>Sandshrew-Alola</t>
  </si>
  <si>
    <t>Alolan Sandshrew</t>
  </si>
  <si>
    <t>Sandshrew</t>
  </si>
  <si>
    <t>Sandslash-Alola</t>
  </si>
  <si>
    <t>Alolan Sandslash</t>
  </si>
  <si>
    <t>Sandslash</t>
  </si>
  <si>
    <t>Alolan Exeggutor</t>
  </si>
  <si>
    <t>Exeggutor</t>
  </si>
  <si>
    <t>Vulpix-Alola</t>
  </si>
  <si>
    <t>Alolan Vulpix</t>
  </si>
  <si>
    <t>Vulpix</t>
  </si>
  <si>
    <t>Ninetales-Alola</t>
  </si>
  <si>
    <t>Alolan Ninetales</t>
  </si>
  <si>
    <t>Ninetales</t>
  </si>
  <si>
    <t>Geodude-Alola</t>
  </si>
  <si>
    <t>Alolan Geodude</t>
  </si>
  <si>
    <t>Geodude</t>
  </si>
  <si>
    <t>Graveler-Alola</t>
  </si>
  <si>
    <t>Alolan Graveler</t>
  </si>
  <si>
    <t>Graveler</t>
  </si>
  <si>
    <t>Golem-Alola</t>
  </si>
  <si>
    <t>Alolan Golem</t>
  </si>
  <si>
    <t>Golem</t>
  </si>
  <si>
    <t>Weezing-Galar</t>
  </si>
  <si>
    <t>Galarian Weezing</t>
  </si>
  <si>
    <t>Weezing</t>
  </si>
  <si>
    <t>Ogerpon-Wellspring</t>
  </si>
  <si>
    <t>Ogerpon Wellspring</t>
  </si>
  <si>
    <t>Ogerpon</t>
  </si>
  <si>
    <t>Ogerpon-Hearthflame</t>
  </si>
  <si>
    <t>Ogerpon Hearthflame</t>
  </si>
  <si>
    <t>Ogerpon-Cornerstone</t>
  </si>
  <si>
    <t>Ogerpon Cornerstone</t>
  </si>
  <si>
    <t>Ursaluna-Bloodmoon</t>
  </si>
  <si>
    <t>Ursaluna Bloodmoon</t>
  </si>
  <si>
    <t>Ursaluna</t>
  </si>
  <si>
    <t>Sinistcha-Masterpiece</t>
  </si>
  <si>
    <t>Sinistcha</t>
  </si>
  <si>
    <t>Poltchageist-Artisan</t>
  </si>
  <si>
    <t>Poltchageist</t>
  </si>
  <si>
    <t>Meowstic-F</t>
  </si>
  <si>
    <t>Meowstic Female</t>
  </si>
  <si>
    <t>Meowstic</t>
  </si>
  <si>
    <t>Meowstic Male</t>
  </si>
  <si>
    <t>Minior</t>
  </si>
  <si>
    <t>Minior Meteor Form</t>
  </si>
  <si>
    <t>Minior-Orange</t>
  </si>
  <si>
    <t>Minior-Yellow</t>
  </si>
  <si>
    <t>Minior-Green</t>
  </si>
  <si>
    <t>Minior-Blue</t>
  </si>
  <si>
    <t>Minior-Indigo</t>
  </si>
  <si>
    <t>Minior-Violet</t>
  </si>
  <si>
    <t>Alcremie-Vanilla-Cream</t>
  </si>
  <si>
    <t>Alcremie</t>
  </si>
  <si>
    <t>Alcremie-Ruby-Cream</t>
  </si>
  <si>
    <t>Alcremie-Mint-Cream</t>
  </si>
  <si>
    <t>Alcremie-Lemon-Cream</t>
  </si>
  <si>
    <t>Alcremie-Salted-Cream</t>
  </si>
  <si>
    <t>Alcremie-Ruby-Swirl</t>
  </si>
  <si>
    <t>Alcremie-Caramel-Swirl</t>
  </si>
  <si>
    <t>Alcremie-Rainbow-Swirl</t>
  </si>
  <si>
    <t>#</t>
  </si>
  <si>
    <t>Icon</t>
  </si>
  <si>
    <t>Type Icons</t>
  </si>
  <si>
    <t>001</t>
  </si>
  <si>
    <t>Bulbasaur</t>
  </si>
  <si>
    <t>Bug</t>
  </si>
  <si>
    <t>002</t>
  </si>
  <si>
    <t>Ivysaur</t>
  </si>
  <si>
    <t>Dark</t>
  </si>
  <si>
    <t>003</t>
  </si>
  <si>
    <t>Venusaur</t>
  </si>
  <si>
    <t>Dragon</t>
  </si>
  <si>
    <t>003-m</t>
  </si>
  <si>
    <t>Mega Venusaur</t>
  </si>
  <si>
    <t>Electric</t>
  </si>
  <si>
    <t>004</t>
  </si>
  <si>
    <t>Charmander</t>
  </si>
  <si>
    <t>005</t>
  </si>
  <si>
    <t>Charmeleon</t>
  </si>
  <si>
    <t>Fighting</t>
  </si>
  <si>
    <t>006</t>
  </si>
  <si>
    <t>Charizard</t>
  </si>
  <si>
    <t>Fire</t>
  </si>
  <si>
    <t>006-mx</t>
  </si>
  <si>
    <t>Mega Charizard X</t>
  </si>
  <si>
    <t>006-my</t>
  </si>
  <si>
    <t>Mega Charizard Y</t>
  </si>
  <si>
    <t>Ghost</t>
  </si>
  <si>
    <t>007</t>
  </si>
  <si>
    <t>Squirtle</t>
  </si>
  <si>
    <t>008</t>
  </si>
  <si>
    <t>Wartortle</t>
  </si>
  <si>
    <t>Ground</t>
  </si>
  <si>
    <t>009</t>
  </si>
  <si>
    <t>Blastoise</t>
  </si>
  <si>
    <t>009-m</t>
  </si>
  <si>
    <t>Mega Blastoise</t>
  </si>
  <si>
    <t>Normal</t>
  </si>
  <si>
    <t>010</t>
  </si>
  <si>
    <t>Caterpie</t>
  </si>
  <si>
    <t>Poison</t>
  </si>
  <si>
    <t>011</t>
  </si>
  <si>
    <t>Metapod</t>
  </si>
  <si>
    <t>Psychic</t>
  </si>
  <si>
    <t>012</t>
  </si>
  <si>
    <t>Butterfree</t>
  </si>
  <si>
    <t>Rock</t>
  </si>
  <si>
    <t>013</t>
  </si>
  <si>
    <t>Weedle</t>
  </si>
  <si>
    <t>014</t>
  </si>
  <si>
    <t>Kakuna</t>
  </si>
  <si>
    <t>Water</t>
  </si>
  <si>
    <t>015</t>
  </si>
  <si>
    <t>Beedrill</t>
  </si>
  <si>
    <t>Stellar</t>
  </si>
  <si>
    <t>015-m</t>
  </si>
  <si>
    <t>Mega Beedrill</t>
  </si>
  <si>
    <t>016</t>
  </si>
  <si>
    <t>Pidgey</t>
  </si>
  <si>
    <t>017</t>
  </si>
  <si>
    <t>Pidgeotto</t>
  </si>
  <si>
    <t>018</t>
  </si>
  <si>
    <t>Pidgeot</t>
  </si>
  <si>
    <t>018-m</t>
  </si>
  <si>
    <t>Mega Pidgeot</t>
  </si>
  <si>
    <t>019</t>
  </si>
  <si>
    <t>Rattata</t>
  </si>
  <si>
    <t>019-a</t>
  </si>
  <si>
    <t>Alolan Rattata</t>
  </si>
  <si>
    <t>020</t>
  </si>
  <si>
    <t>Raticate</t>
  </si>
  <si>
    <t>020-a</t>
  </si>
  <si>
    <t>Alolan Raticate</t>
  </si>
  <si>
    <t>021</t>
  </si>
  <si>
    <t>Spearow</t>
  </si>
  <si>
    <t>022</t>
  </si>
  <si>
    <t>Fearow</t>
  </si>
  <si>
    <t>023</t>
  </si>
  <si>
    <t>Ekans</t>
  </si>
  <si>
    <t>024</t>
  </si>
  <si>
    <t>Arbok</t>
  </si>
  <si>
    <t>025</t>
  </si>
  <si>
    <t>Pikachu</t>
  </si>
  <si>
    <t>026</t>
  </si>
  <si>
    <t>026-a</t>
  </si>
  <si>
    <t>027</t>
  </si>
  <si>
    <t>027-a</t>
  </si>
  <si>
    <t>028</t>
  </si>
  <si>
    <t>028-a</t>
  </si>
  <si>
    <t>029</t>
  </si>
  <si>
    <t>Nidoran Female</t>
  </si>
  <si>
    <t>030</t>
  </si>
  <si>
    <t>Nidorina</t>
  </si>
  <si>
    <t>031</t>
  </si>
  <si>
    <t>Nidoqueen</t>
  </si>
  <si>
    <t>032</t>
  </si>
  <si>
    <t>Nidoran Male</t>
  </si>
  <si>
    <t>033</t>
  </si>
  <si>
    <t>Nidorino</t>
  </si>
  <si>
    <t>034</t>
  </si>
  <si>
    <t>Nidoking</t>
  </si>
  <si>
    <t>035</t>
  </si>
  <si>
    <t>Clefairy</t>
  </si>
  <si>
    <t>036</t>
  </si>
  <si>
    <t>Clefable</t>
  </si>
  <si>
    <t>037</t>
  </si>
  <si>
    <t>037-a</t>
  </si>
  <si>
    <t>038</t>
  </si>
  <si>
    <t>038-a</t>
  </si>
  <si>
    <t>039</t>
  </si>
  <si>
    <t>Jigglypuff</t>
  </si>
  <si>
    <t>040</t>
  </si>
  <si>
    <t>Wigglytuff</t>
  </si>
  <si>
    <t>041</t>
  </si>
  <si>
    <t>Zubat</t>
  </si>
  <si>
    <t>042</t>
  </si>
  <si>
    <t>Golbat</t>
  </si>
  <si>
    <t>043</t>
  </si>
  <si>
    <t>Oddish</t>
  </si>
  <si>
    <t>044</t>
  </si>
  <si>
    <t>Gloom</t>
  </si>
  <si>
    <t>045</t>
  </si>
  <si>
    <t>Vileplume</t>
  </si>
  <si>
    <t>046</t>
  </si>
  <si>
    <t>Paras</t>
  </si>
  <si>
    <t>047</t>
  </si>
  <si>
    <t>Parasect</t>
  </si>
  <si>
    <t>048</t>
  </si>
  <si>
    <t>Venonat</t>
  </si>
  <si>
    <t>049</t>
  </si>
  <si>
    <t>Venomoth</t>
  </si>
  <si>
    <t>050</t>
  </si>
  <si>
    <t>050-a</t>
  </si>
  <si>
    <t>051</t>
  </si>
  <si>
    <t>051-a</t>
  </si>
  <si>
    <t>052</t>
  </si>
  <si>
    <t>052-a</t>
  </si>
  <si>
    <t>052-g</t>
  </si>
  <si>
    <t>053</t>
  </si>
  <si>
    <t>053-a</t>
  </si>
  <si>
    <t>054</t>
  </si>
  <si>
    <t>Psyduck</t>
  </si>
  <si>
    <t>055</t>
  </si>
  <si>
    <t>Golduck</t>
  </si>
  <si>
    <t>056</t>
  </si>
  <si>
    <t>Mankey</t>
  </si>
  <si>
    <t>057</t>
  </si>
  <si>
    <t>Primeape</t>
  </si>
  <si>
    <t>058</t>
  </si>
  <si>
    <t>058-h</t>
  </si>
  <si>
    <t>059</t>
  </si>
  <si>
    <t>059-h</t>
  </si>
  <si>
    <t>060</t>
  </si>
  <si>
    <t>Poliwag</t>
  </si>
  <si>
    <t>061</t>
  </si>
  <si>
    <t>Poliwhirl</t>
  </si>
  <si>
    <t>062</t>
  </si>
  <si>
    <t>Poliwrath</t>
  </si>
  <si>
    <t>063</t>
  </si>
  <si>
    <t>Abra</t>
  </si>
  <si>
    <t>064</t>
  </si>
  <si>
    <t>Kadabra</t>
  </si>
  <si>
    <t>065</t>
  </si>
  <si>
    <t>Alakazam</t>
  </si>
  <si>
    <t>065-m</t>
  </si>
  <si>
    <t>Mega Alakazam</t>
  </si>
  <si>
    <t>066</t>
  </si>
  <si>
    <t>Machop</t>
  </si>
  <si>
    <t>067</t>
  </si>
  <si>
    <t>Machoke</t>
  </si>
  <si>
    <t>068</t>
  </si>
  <si>
    <t>Machamp</t>
  </si>
  <si>
    <t>069</t>
  </si>
  <si>
    <t>Bellsprout</t>
  </si>
  <si>
    <t>070</t>
  </si>
  <si>
    <t>Weepinbell</t>
  </si>
  <si>
    <t>071</t>
  </si>
  <si>
    <t>Victreebel</t>
  </si>
  <si>
    <t>072</t>
  </si>
  <si>
    <t>Tentacool</t>
  </si>
  <si>
    <t>073</t>
  </si>
  <si>
    <t>Tentacruel</t>
  </si>
  <si>
    <t>074</t>
  </si>
  <si>
    <t>074-a</t>
  </si>
  <si>
    <t>075</t>
  </si>
  <si>
    <t>075-a</t>
  </si>
  <si>
    <t>076</t>
  </si>
  <si>
    <t>076-a</t>
  </si>
  <si>
    <t>077</t>
  </si>
  <si>
    <t>Ponyta</t>
  </si>
  <si>
    <t>077-g</t>
  </si>
  <si>
    <t>Galarian Ponyta</t>
  </si>
  <si>
    <t>078</t>
  </si>
  <si>
    <t>Rapidash</t>
  </si>
  <si>
    <t>078-g</t>
  </si>
  <si>
    <t>Galarian Rapidash</t>
  </si>
  <si>
    <t>079</t>
  </si>
  <si>
    <t>079-g</t>
  </si>
  <si>
    <t>080</t>
  </si>
  <si>
    <t>080-g</t>
  </si>
  <si>
    <t>080-m</t>
  </si>
  <si>
    <t>Mega Slowbro</t>
  </si>
  <si>
    <t>081</t>
  </si>
  <si>
    <t>Magnemite</t>
  </si>
  <si>
    <t>082</t>
  </si>
  <si>
    <t>Magneton</t>
  </si>
  <si>
    <t>083</t>
  </si>
  <si>
    <t>Farfetch'd</t>
  </si>
  <si>
    <t>083-g</t>
  </si>
  <si>
    <t>Galarian Farfetch'd</t>
  </si>
  <si>
    <t>084</t>
  </si>
  <si>
    <t>Doduo</t>
  </si>
  <si>
    <t>085</t>
  </si>
  <si>
    <t>Dodrio</t>
  </si>
  <si>
    <t>086</t>
  </si>
  <si>
    <t>Seel</t>
  </si>
  <si>
    <t>087</t>
  </si>
  <si>
    <t>Dewgong</t>
  </si>
  <si>
    <t>088</t>
  </si>
  <si>
    <t>088-a</t>
  </si>
  <si>
    <t>089</t>
  </si>
  <si>
    <t>089-a</t>
  </si>
  <si>
    <t>090</t>
  </si>
  <si>
    <t>Shellder</t>
  </si>
  <si>
    <t>091</t>
  </si>
  <si>
    <t>Cloyster</t>
  </si>
  <si>
    <t>092</t>
  </si>
  <si>
    <t>Gastly</t>
  </si>
  <si>
    <t>093</t>
  </si>
  <si>
    <t>Haunter</t>
  </si>
  <si>
    <t>094</t>
  </si>
  <si>
    <t>Gengar</t>
  </si>
  <si>
    <t>094-m</t>
  </si>
  <si>
    <t>Mega Gengar</t>
  </si>
  <si>
    <t>095</t>
  </si>
  <si>
    <t>Onix</t>
  </si>
  <si>
    <t>096</t>
  </si>
  <si>
    <t>Drowzee</t>
  </si>
  <si>
    <t>097</t>
  </si>
  <si>
    <t>Hypno</t>
  </si>
  <si>
    <t>098</t>
  </si>
  <si>
    <t>Krabby</t>
  </si>
  <si>
    <t>099</t>
  </si>
  <si>
    <t>Kingler</t>
  </si>
  <si>
    <t>100</t>
  </si>
  <si>
    <t>100-h</t>
  </si>
  <si>
    <t>101</t>
  </si>
  <si>
    <t>101-h</t>
  </si>
  <si>
    <t>102</t>
  </si>
  <si>
    <t>Exeggcute</t>
  </si>
  <si>
    <t>103</t>
  </si>
  <si>
    <t>103-a</t>
  </si>
  <si>
    <t>104</t>
  </si>
  <si>
    <t>Cubone</t>
  </si>
  <si>
    <t>105</t>
  </si>
  <si>
    <t>Marowak</t>
  </si>
  <si>
    <t>105-a</t>
  </si>
  <si>
    <t>Alolan Marowak</t>
  </si>
  <si>
    <t>106</t>
  </si>
  <si>
    <t>Hitmonlee</t>
  </si>
  <si>
    <t>107</t>
  </si>
  <si>
    <t>Hitmonchan</t>
  </si>
  <si>
    <t>108</t>
  </si>
  <si>
    <t>Lickitung</t>
  </si>
  <si>
    <t>109</t>
  </si>
  <si>
    <t>Koffing</t>
  </si>
  <si>
    <t>110</t>
  </si>
  <si>
    <t>110-g</t>
  </si>
  <si>
    <t>111</t>
  </si>
  <si>
    <t>Rhyhorn</t>
  </si>
  <si>
    <t>112</t>
  </si>
  <si>
    <t>Rhydon</t>
  </si>
  <si>
    <t>113</t>
  </si>
  <si>
    <t>Chansey</t>
  </si>
  <si>
    <t>114</t>
  </si>
  <si>
    <t>Tangela</t>
  </si>
  <si>
    <t>115</t>
  </si>
  <si>
    <t>Kangaskhan</t>
  </si>
  <si>
    <t>115-m</t>
  </si>
  <si>
    <t>Mega Kangaskhan</t>
  </si>
  <si>
    <t>116</t>
  </si>
  <si>
    <t>Horsea</t>
  </si>
  <si>
    <t>117</t>
  </si>
  <si>
    <t>Seadra</t>
  </si>
  <si>
    <t>118</t>
  </si>
  <si>
    <t>Goldeen</t>
  </si>
  <si>
    <t>119</t>
  </si>
  <si>
    <t>Seaking</t>
  </si>
  <si>
    <t>120</t>
  </si>
  <si>
    <t>Staryu</t>
  </si>
  <si>
    <t>121</t>
  </si>
  <si>
    <t>Starmie</t>
  </si>
  <si>
    <t>122</t>
  </si>
  <si>
    <t>Mr. Mime</t>
  </si>
  <si>
    <t>122-g</t>
  </si>
  <si>
    <t>Galarian Mr. Mime</t>
  </si>
  <si>
    <t>123</t>
  </si>
  <si>
    <t>Scyther</t>
  </si>
  <si>
    <t>124</t>
  </si>
  <si>
    <t>Jynx</t>
  </si>
  <si>
    <t>125</t>
  </si>
  <si>
    <t>Electabuzz</t>
  </si>
  <si>
    <t>126</t>
  </si>
  <si>
    <t>Magmar</t>
  </si>
  <si>
    <t>127</t>
  </si>
  <si>
    <t>Pinsir</t>
  </si>
  <si>
    <t>127-m</t>
  </si>
  <si>
    <t>Mega Pinsir</t>
  </si>
  <si>
    <t>128</t>
  </si>
  <si>
    <t>128-p</t>
  </si>
  <si>
    <t>Paldean Tauros</t>
  </si>
  <si>
    <t>128-b</t>
  </si>
  <si>
    <t>128-a</t>
  </si>
  <si>
    <t>129</t>
  </si>
  <si>
    <t>Magikarp</t>
  </si>
  <si>
    <t>130</t>
  </si>
  <si>
    <t>Gyarados</t>
  </si>
  <si>
    <t>130-m</t>
  </si>
  <si>
    <t>Mega Gyarados</t>
  </si>
  <si>
    <t>131</t>
  </si>
  <si>
    <t>Lapras</t>
  </si>
  <si>
    <t>132</t>
  </si>
  <si>
    <t>Ditto</t>
  </si>
  <si>
    <t>133</t>
  </si>
  <si>
    <t>Eevee</t>
  </si>
  <si>
    <t>134</t>
  </si>
  <si>
    <t>Vaporeon</t>
  </si>
  <si>
    <t>135</t>
  </si>
  <si>
    <t>Jolteon</t>
  </si>
  <si>
    <t>136</t>
  </si>
  <si>
    <t>Flareon</t>
  </si>
  <si>
    <t>137</t>
  </si>
  <si>
    <t>Porygon</t>
  </si>
  <si>
    <t>138</t>
  </si>
  <si>
    <t>Omanyte</t>
  </si>
  <si>
    <t>139</t>
  </si>
  <si>
    <t>Omastar</t>
  </si>
  <si>
    <t>140</t>
  </si>
  <si>
    <t>Kabuto</t>
  </si>
  <si>
    <t>141</t>
  </si>
  <si>
    <t>Kabutops</t>
  </si>
  <si>
    <t>142</t>
  </si>
  <si>
    <t>Aerodactyl</t>
  </si>
  <si>
    <t>142-m</t>
  </si>
  <si>
    <t>Mega Aerodactyl</t>
  </si>
  <si>
    <t>Snorlax</t>
  </si>
  <si>
    <t>144</t>
  </si>
  <si>
    <t>144-g</t>
  </si>
  <si>
    <t>145</t>
  </si>
  <si>
    <t>145-g</t>
  </si>
  <si>
    <t>146-g</t>
  </si>
  <si>
    <t>147</t>
  </si>
  <si>
    <t>Dratini</t>
  </si>
  <si>
    <t>148</t>
  </si>
  <si>
    <t>Dragonair</t>
  </si>
  <si>
    <t>149</t>
  </si>
  <si>
    <t>Dragonite</t>
  </si>
  <si>
    <t>150</t>
  </si>
  <si>
    <t>Mewtwo</t>
  </si>
  <si>
    <t>150-mx</t>
  </si>
  <si>
    <t>Mega Mewtwo X</t>
  </si>
  <si>
    <t>150-my</t>
  </si>
  <si>
    <t>Mega Mewtwo Y</t>
  </si>
  <si>
    <t>151</t>
  </si>
  <si>
    <t>Mew</t>
  </si>
  <si>
    <t>152</t>
  </si>
  <si>
    <t>Chikorita</t>
  </si>
  <si>
    <t>153</t>
  </si>
  <si>
    <t>Bayleef</t>
  </si>
  <si>
    <t>154</t>
  </si>
  <si>
    <t>Meganium</t>
  </si>
  <si>
    <t>155</t>
  </si>
  <si>
    <t>Cyndaquil</t>
  </si>
  <si>
    <t>156</t>
  </si>
  <si>
    <t>Quilava</t>
  </si>
  <si>
    <t>157</t>
  </si>
  <si>
    <t>157-h</t>
  </si>
  <si>
    <t>158</t>
  </si>
  <si>
    <t>Totodile</t>
  </si>
  <si>
    <t>159</t>
  </si>
  <si>
    <t>Croconaw</t>
  </si>
  <si>
    <t>160</t>
  </si>
  <si>
    <t>Feraligatr</t>
  </si>
  <si>
    <t>161</t>
  </si>
  <si>
    <t>Sentret</t>
  </si>
  <si>
    <t>162</t>
  </si>
  <si>
    <t>Furret</t>
  </si>
  <si>
    <t>163</t>
  </si>
  <si>
    <t>Hoothoot</t>
  </si>
  <si>
    <t>164</t>
  </si>
  <si>
    <t>Noctowl</t>
  </si>
  <si>
    <t>165</t>
  </si>
  <si>
    <t>Ledyba</t>
  </si>
  <si>
    <t>166</t>
  </si>
  <si>
    <t>Ledian</t>
  </si>
  <si>
    <t>167</t>
  </si>
  <si>
    <t>Spinarak</t>
  </si>
  <si>
    <t>168</t>
  </si>
  <si>
    <t>Ariados</t>
  </si>
  <si>
    <t>169</t>
  </si>
  <si>
    <t>Crobat</t>
  </si>
  <si>
    <t>170</t>
  </si>
  <si>
    <t>Chinchou</t>
  </si>
  <si>
    <t>171</t>
  </si>
  <si>
    <t>Lanturn</t>
  </si>
  <si>
    <t>172</t>
  </si>
  <si>
    <t>Pichu</t>
  </si>
  <si>
    <t>173</t>
  </si>
  <si>
    <t>Cleffa</t>
  </si>
  <si>
    <t>174</t>
  </si>
  <si>
    <t>Igglybuff</t>
  </si>
  <si>
    <t>175</t>
  </si>
  <si>
    <t>Togepi</t>
  </si>
  <si>
    <t>176</t>
  </si>
  <si>
    <t>Togetic</t>
  </si>
  <si>
    <t>177</t>
  </si>
  <si>
    <t>Natu</t>
  </si>
  <si>
    <t>178</t>
  </si>
  <si>
    <t>Xatu</t>
  </si>
  <si>
    <t>179</t>
  </si>
  <si>
    <t>Mareep</t>
  </si>
  <si>
    <t>180</t>
  </si>
  <si>
    <t>Flaaffy</t>
  </si>
  <si>
    <t>181</t>
  </si>
  <si>
    <t>Ampharos</t>
  </si>
  <si>
    <t>181-m</t>
  </si>
  <si>
    <t>Mega Ampharos</t>
  </si>
  <si>
    <t>182</t>
  </si>
  <si>
    <t>Bellossom</t>
  </si>
  <si>
    <t>183</t>
  </si>
  <si>
    <t>Marill</t>
  </si>
  <si>
    <t>184</t>
  </si>
  <si>
    <t>Azumarill</t>
  </si>
  <si>
    <t>185</t>
  </si>
  <si>
    <t>Sudowoodo</t>
  </si>
  <si>
    <t>186</t>
  </si>
  <si>
    <t>Politoed</t>
  </si>
  <si>
    <t>187</t>
  </si>
  <si>
    <t>Hoppip</t>
  </si>
  <si>
    <t>188</t>
  </si>
  <si>
    <t>Skiploom</t>
  </si>
  <si>
    <t>189</t>
  </si>
  <si>
    <t>Jumpluff</t>
  </si>
  <si>
    <t>190</t>
  </si>
  <si>
    <t>Aipom</t>
  </si>
  <si>
    <t>191</t>
  </si>
  <si>
    <t>Sunkern</t>
  </si>
  <si>
    <t>192</t>
  </si>
  <si>
    <t>Sunflora</t>
  </si>
  <si>
    <t>193</t>
  </si>
  <si>
    <t>Yanma</t>
  </si>
  <si>
    <t>194</t>
  </si>
  <si>
    <t>194-p</t>
  </si>
  <si>
    <t>195</t>
  </si>
  <si>
    <t>Quagsire</t>
  </si>
  <si>
    <t>196</t>
  </si>
  <si>
    <t>Espeon</t>
  </si>
  <si>
    <t>197</t>
  </si>
  <si>
    <t>Umbreon</t>
  </si>
  <si>
    <t>198</t>
  </si>
  <si>
    <t>Murkrow</t>
  </si>
  <si>
    <t>199</t>
  </si>
  <si>
    <t>199-g</t>
  </si>
  <si>
    <t>200</t>
  </si>
  <si>
    <t>Misdreavus</t>
  </si>
  <si>
    <t>201</t>
  </si>
  <si>
    <t>Unown</t>
  </si>
  <si>
    <t>202</t>
  </si>
  <si>
    <t>Wobbuffet</t>
  </si>
  <si>
    <t>203</t>
  </si>
  <si>
    <t>Girafarig</t>
  </si>
  <si>
    <t>204</t>
  </si>
  <si>
    <t>Pineco</t>
  </si>
  <si>
    <t>205</t>
  </si>
  <si>
    <t>Forretress</t>
  </si>
  <si>
    <t>206</t>
  </si>
  <si>
    <t>Dunsparce</t>
  </si>
  <si>
    <t>207</t>
  </si>
  <si>
    <t>Gligar</t>
  </si>
  <si>
    <t>208</t>
  </si>
  <si>
    <t>Steelix</t>
  </si>
  <si>
    <t>208-m</t>
  </si>
  <si>
    <t>Mega Steelix</t>
  </si>
  <si>
    <t>209</t>
  </si>
  <si>
    <t>Snubbull</t>
  </si>
  <si>
    <t>210</t>
  </si>
  <si>
    <t>Granbull</t>
  </si>
  <si>
    <t>211</t>
  </si>
  <si>
    <t>211-h</t>
  </si>
  <si>
    <t>212</t>
  </si>
  <si>
    <t>Scizor</t>
  </si>
  <si>
    <t>212-m</t>
  </si>
  <si>
    <t>Mega Scizor</t>
  </si>
  <si>
    <t>213</t>
  </si>
  <si>
    <t>Shuckle</t>
  </si>
  <si>
    <t>214</t>
  </si>
  <si>
    <t>Heracross</t>
  </si>
  <si>
    <t>214-m</t>
  </si>
  <si>
    <t>Mega Heracross</t>
  </si>
  <si>
    <t>215</t>
  </si>
  <si>
    <t>215-h</t>
  </si>
  <si>
    <t>216</t>
  </si>
  <si>
    <t>Teddiursa</t>
  </si>
  <si>
    <t>217</t>
  </si>
  <si>
    <t>Ursaring</t>
  </si>
  <si>
    <t>218</t>
  </si>
  <si>
    <t>Slugma</t>
  </si>
  <si>
    <t>219</t>
  </si>
  <si>
    <t>Magcargo</t>
  </si>
  <si>
    <t>220</t>
  </si>
  <si>
    <t>Swinub</t>
  </si>
  <si>
    <t>221</t>
  </si>
  <si>
    <t>Piloswine</t>
  </si>
  <si>
    <t>222</t>
  </si>
  <si>
    <t>Corsola</t>
  </si>
  <si>
    <t>222-g</t>
  </si>
  <si>
    <t>Galarian Corsola</t>
  </si>
  <si>
    <t>223</t>
  </si>
  <si>
    <t>Remoraid</t>
  </si>
  <si>
    <t>224</t>
  </si>
  <si>
    <t>Octillery</t>
  </si>
  <si>
    <t>225</t>
  </si>
  <si>
    <t>Delibird</t>
  </si>
  <si>
    <t>226</t>
  </si>
  <si>
    <t>Mantine</t>
  </si>
  <si>
    <t>227</t>
  </si>
  <si>
    <t>Skarmory</t>
  </si>
  <si>
    <t>228</t>
  </si>
  <si>
    <t>Houndour</t>
  </si>
  <si>
    <t>229</t>
  </si>
  <si>
    <t>Houndoom</t>
  </si>
  <si>
    <t>229-m</t>
  </si>
  <si>
    <t>Mega Houndoom</t>
  </si>
  <si>
    <t>230</t>
  </si>
  <si>
    <t>Kingdra</t>
  </si>
  <si>
    <t>231</t>
  </si>
  <si>
    <t>Phanpy</t>
  </si>
  <si>
    <t>232</t>
  </si>
  <si>
    <t>Donphan</t>
  </si>
  <si>
    <t>233</t>
  </si>
  <si>
    <t>Porygon2</t>
  </si>
  <si>
    <t>234</t>
  </si>
  <si>
    <t>Stantler</t>
  </si>
  <si>
    <t>235</t>
  </si>
  <si>
    <t>Smeargle</t>
  </si>
  <si>
    <t>236</t>
  </si>
  <si>
    <t>Tyrogue</t>
  </si>
  <si>
    <t>237</t>
  </si>
  <si>
    <t>Hitmontop</t>
  </si>
  <si>
    <t>238</t>
  </si>
  <si>
    <t>Smoochum</t>
  </si>
  <si>
    <t>239</t>
  </si>
  <si>
    <t>Elekid</t>
  </si>
  <si>
    <t>240</t>
  </si>
  <si>
    <t>Magby</t>
  </si>
  <si>
    <t>241</t>
  </si>
  <si>
    <t>Miltank</t>
  </si>
  <si>
    <t>242</t>
  </si>
  <si>
    <t>Blissey</t>
  </si>
  <si>
    <t>243</t>
  </si>
  <si>
    <t>Raikou</t>
  </si>
  <si>
    <t>244</t>
  </si>
  <si>
    <t>Entei</t>
  </si>
  <si>
    <t>245</t>
  </si>
  <si>
    <t>Suicune</t>
  </si>
  <si>
    <t>246</t>
  </si>
  <si>
    <t>Larvitar</t>
  </si>
  <si>
    <t>247</t>
  </si>
  <si>
    <t>Pupitar</t>
  </si>
  <si>
    <t>248</t>
  </si>
  <si>
    <t>Tyranitar</t>
  </si>
  <si>
    <t>248-m</t>
  </si>
  <si>
    <t>Mega Tyranitar</t>
  </si>
  <si>
    <t>249</t>
  </si>
  <si>
    <t>Lugia</t>
  </si>
  <si>
    <t>250</t>
  </si>
  <si>
    <t>Ho-oh</t>
  </si>
  <si>
    <t>251</t>
  </si>
  <si>
    <t>Celebi</t>
  </si>
  <si>
    <t>252</t>
  </si>
  <si>
    <t>Treecko</t>
  </si>
  <si>
    <t>253</t>
  </si>
  <si>
    <t>Grovyle</t>
  </si>
  <si>
    <t>254</t>
  </si>
  <si>
    <t>Sceptile</t>
  </si>
  <si>
    <t>254-m</t>
  </si>
  <si>
    <t>Mega Sceptile</t>
  </si>
  <si>
    <t>255</t>
  </si>
  <si>
    <t>Torchic</t>
  </si>
  <si>
    <t>256</t>
  </si>
  <si>
    <t>Combusken</t>
  </si>
  <si>
    <t>257</t>
  </si>
  <si>
    <t>Blaziken</t>
  </si>
  <si>
    <t>257-m</t>
  </si>
  <si>
    <t>Mega Blaziken</t>
  </si>
  <si>
    <t>258</t>
  </si>
  <si>
    <t>Mudkip</t>
  </si>
  <si>
    <t>259</t>
  </si>
  <si>
    <t>Marshtomp</t>
  </si>
  <si>
    <t>260</t>
  </si>
  <si>
    <t>Swampert</t>
  </si>
  <si>
    <t>260-m</t>
  </si>
  <si>
    <t>Mega Swampert</t>
  </si>
  <si>
    <t>261</t>
  </si>
  <si>
    <t>Poochyena</t>
  </si>
  <si>
    <t>262</t>
  </si>
  <si>
    <t>Mightyena</t>
  </si>
  <si>
    <t>263</t>
  </si>
  <si>
    <t>Zigzagoon</t>
  </si>
  <si>
    <t>263-g</t>
  </si>
  <si>
    <t>Galarian Zigzagoon</t>
  </si>
  <si>
    <t>264</t>
  </si>
  <si>
    <t>Linoone</t>
  </si>
  <si>
    <t>264-g</t>
  </si>
  <si>
    <t>Galarian Linoone</t>
  </si>
  <si>
    <t>265</t>
  </si>
  <si>
    <t>Wurmple</t>
  </si>
  <si>
    <t>266</t>
  </si>
  <si>
    <t>Silcoon</t>
  </si>
  <si>
    <t>267</t>
  </si>
  <si>
    <t>Beautifly</t>
  </si>
  <si>
    <t>268</t>
  </si>
  <si>
    <t>Cascoon</t>
  </si>
  <si>
    <t>269</t>
  </si>
  <si>
    <t>Dustox</t>
  </si>
  <si>
    <t>270</t>
  </si>
  <si>
    <t>Lotad</t>
  </si>
  <si>
    <t>271</t>
  </si>
  <si>
    <t>Lombre</t>
  </si>
  <si>
    <t>272</t>
  </si>
  <si>
    <t>Ludicolo</t>
  </si>
  <si>
    <t>273</t>
  </si>
  <si>
    <t>Seedot</t>
  </si>
  <si>
    <t>274</t>
  </si>
  <si>
    <t>Nuzleaf</t>
  </si>
  <si>
    <t>275</t>
  </si>
  <si>
    <t>Shiftry</t>
  </si>
  <si>
    <t>276</t>
  </si>
  <si>
    <t>Taillow</t>
  </si>
  <si>
    <t>277</t>
  </si>
  <si>
    <t>Swellow</t>
  </si>
  <si>
    <t>278</t>
  </si>
  <si>
    <t>Wingull</t>
  </si>
  <si>
    <t>279</t>
  </si>
  <si>
    <t>Pelipper</t>
  </si>
  <si>
    <t>280</t>
  </si>
  <si>
    <t>Ralts</t>
  </si>
  <si>
    <t>281</t>
  </si>
  <si>
    <t>Kirlia</t>
  </si>
  <si>
    <t>282</t>
  </si>
  <si>
    <t>Gardevoir</t>
  </si>
  <si>
    <t>282-m</t>
  </si>
  <si>
    <t>Mega Gardevoir</t>
  </si>
  <si>
    <t>283</t>
  </si>
  <si>
    <t>Surskit</t>
  </si>
  <si>
    <t>284</t>
  </si>
  <si>
    <t>Masquerain</t>
  </si>
  <si>
    <t>285</t>
  </si>
  <si>
    <t>Shroomish</t>
  </si>
  <si>
    <t>286</t>
  </si>
  <si>
    <t>Breloom</t>
  </si>
  <si>
    <t>287</t>
  </si>
  <si>
    <t>Slakoth</t>
  </si>
  <si>
    <t>288</t>
  </si>
  <si>
    <t>Vigoroth</t>
  </si>
  <si>
    <t>289</t>
  </si>
  <si>
    <t>Slaking</t>
  </si>
  <si>
    <t>290</t>
  </si>
  <si>
    <t>Nincada</t>
  </si>
  <si>
    <t>291</t>
  </si>
  <si>
    <t>Ninjask</t>
  </si>
  <si>
    <t>292</t>
  </si>
  <si>
    <t>Shedinja</t>
  </si>
  <si>
    <t>293</t>
  </si>
  <si>
    <t>Whismur</t>
  </si>
  <si>
    <t>294</t>
  </si>
  <si>
    <t>Loudred</t>
  </si>
  <si>
    <t>295</t>
  </si>
  <si>
    <t>Exploud</t>
  </si>
  <si>
    <t>296</t>
  </si>
  <si>
    <t>Makuhita</t>
  </si>
  <si>
    <t>297</t>
  </si>
  <si>
    <t>Hariyama</t>
  </si>
  <si>
    <t>298</t>
  </si>
  <si>
    <t>Azurill</t>
  </si>
  <si>
    <t>299</t>
  </si>
  <si>
    <t>Nosepass</t>
  </si>
  <si>
    <t>300</t>
  </si>
  <si>
    <t>Skitty</t>
  </si>
  <si>
    <t>301</t>
  </si>
  <si>
    <t>Delcatty</t>
  </si>
  <si>
    <t>302</t>
  </si>
  <si>
    <t>Sableye</t>
  </si>
  <si>
    <t>302-m</t>
  </si>
  <si>
    <t>Mega Sableye</t>
  </si>
  <si>
    <t>303</t>
  </si>
  <si>
    <t>Mawile</t>
  </si>
  <si>
    <t>303-m</t>
  </si>
  <si>
    <t>Mega Mawile</t>
  </si>
  <si>
    <t>304</t>
  </si>
  <si>
    <t>Aron</t>
  </si>
  <si>
    <t>305</t>
  </si>
  <si>
    <t>Lairon</t>
  </si>
  <si>
    <t>306</t>
  </si>
  <si>
    <t>Aggron</t>
  </si>
  <si>
    <t>306-m</t>
  </si>
  <si>
    <t>Mega Aggron</t>
  </si>
  <si>
    <t>307</t>
  </si>
  <si>
    <t>Meditite</t>
  </si>
  <si>
    <t>308</t>
  </si>
  <si>
    <t>Medicham</t>
  </si>
  <si>
    <t>308-m</t>
  </si>
  <si>
    <t>Mega Medicham</t>
  </si>
  <si>
    <t>309</t>
  </si>
  <si>
    <t>Electrike</t>
  </si>
  <si>
    <t>310</t>
  </si>
  <si>
    <t>Manectric</t>
  </si>
  <si>
    <t>310-m</t>
  </si>
  <si>
    <t>Mega Manectric</t>
  </si>
  <si>
    <t>311</t>
  </si>
  <si>
    <t>Plusle</t>
  </si>
  <si>
    <t>312</t>
  </si>
  <si>
    <t>Minun</t>
  </si>
  <si>
    <t>313</t>
  </si>
  <si>
    <t>Volbeat</t>
  </si>
  <si>
    <t>314</t>
  </si>
  <si>
    <t>Illumise</t>
  </si>
  <si>
    <t>315</t>
  </si>
  <si>
    <t>Roselia</t>
  </si>
  <si>
    <t>316</t>
  </si>
  <si>
    <t>Gulpin</t>
  </si>
  <si>
    <t>317</t>
  </si>
  <si>
    <t>Swalot</t>
  </si>
  <si>
    <t>318</t>
  </si>
  <si>
    <t>Carvanha</t>
  </si>
  <si>
    <t>319</t>
  </si>
  <si>
    <t>Sharpedo</t>
  </si>
  <si>
    <t>319-m</t>
  </si>
  <si>
    <t>Mega Sharpedo</t>
  </si>
  <si>
    <t>320</t>
  </si>
  <si>
    <t>Wailmer</t>
  </si>
  <si>
    <t>321</t>
  </si>
  <si>
    <t>Wailord</t>
  </si>
  <si>
    <t>322</t>
  </si>
  <si>
    <t>Numel</t>
  </si>
  <si>
    <t>323</t>
  </si>
  <si>
    <t>Camerupt</t>
  </si>
  <si>
    <t>323-m</t>
  </si>
  <si>
    <t>Mega Camerupt</t>
  </si>
  <si>
    <t>324</t>
  </si>
  <si>
    <t>Torkoal</t>
  </si>
  <si>
    <t>325</t>
  </si>
  <si>
    <t>Spoink</t>
  </si>
  <si>
    <t>326</t>
  </si>
  <si>
    <t>Grumpig</t>
  </si>
  <si>
    <t>327</t>
  </si>
  <si>
    <t>Spinda</t>
  </si>
  <si>
    <t>328</t>
  </si>
  <si>
    <t>Trapinch</t>
  </si>
  <si>
    <t>329</t>
  </si>
  <si>
    <t>Vibrava</t>
  </si>
  <si>
    <t>330</t>
  </si>
  <si>
    <t>Flygon</t>
  </si>
  <si>
    <t>331</t>
  </si>
  <si>
    <t>Cacnea</t>
  </si>
  <si>
    <t>332</t>
  </si>
  <si>
    <t>Cacturne</t>
  </si>
  <si>
    <t>333</t>
  </si>
  <si>
    <t>Swablu</t>
  </si>
  <si>
    <t>334</t>
  </si>
  <si>
    <t>Altaria</t>
  </si>
  <si>
    <t>334-m</t>
  </si>
  <si>
    <t>Mega Altaria</t>
  </si>
  <si>
    <t>335</t>
  </si>
  <si>
    <t>Zangoose</t>
  </si>
  <si>
    <t>336</t>
  </si>
  <si>
    <t>Seviper</t>
  </si>
  <si>
    <t>337</t>
  </si>
  <si>
    <t>Lunatone</t>
  </si>
  <si>
    <t>338</t>
  </si>
  <si>
    <t>Solrock</t>
  </si>
  <si>
    <t>339</t>
  </si>
  <si>
    <t>Barboach</t>
  </si>
  <si>
    <t>340</t>
  </si>
  <si>
    <t>Whiscash</t>
  </si>
  <si>
    <t>341</t>
  </si>
  <si>
    <t>Corphish</t>
  </si>
  <si>
    <t>342</t>
  </si>
  <si>
    <t>Crawdaunt</t>
  </si>
  <si>
    <t>343</t>
  </si>
  <si>
    <t>Baltoy</t>
  </si>
  <si>
    <t>344</t>
  </si>
  <si>
    <t>Claydol</t>
  </si>
  <si>
    <t>345</t>
  </si>
  <si>
    <t>Lileep</t>
  </si>
  <si>
    <t>346</t>
  </si>
  <si>
    <t>Cradily</t>
  </si>
  <si>
    <t>347</t>
  </si>
  <si>
    <t>Anorith</t>
  </si>
  <si>
    <t>348</t>
  </si>
  <si>
    <t>Armaldo</t>
  </si>
  <si>
    <t>349</t>
  </si>
  <si>
    <t>Feebas</t>
  </si>
  <si>
    <t>350</t>
  </si>
  <si>
    <t>Milotic</t>
  </si>
  <si>
    <t>351</t>
  </si>
  <si>
    <t>Castform</t>
  </si>
  <si>
    <t>351-s</t>
  </si>
  <si>
    <t>Castform Sunny Form</t>
  </si>
  <si>
    <t>351-r</t>
  </si>
  <si>
    <t>Castform Rainy Form</t>
  </si>
  <si>
    <t>351-i</t>
  </si>
  <si>
    <t>Castform Snowy Form</t>
  </si>
  <si>
    <t>352</t>
  </si>
  <si>
    <t>Kecleon</t>
  </si>
  <si>
    <t>353</t>
  </si>
  <si>
    <t>Shuppet</t>
  </si>
  <si>
    <t>354</t>
  </si>
  <si>
    <t>Banette</t>
  </si>
  <si>
    <t>354-m</t>
  </si>
  <si>
    <t>Mega Banette</t>
  </si>
  <si>
    <t>355</t>
  </si>
  <si>
    <t>Duskull</t>
  </si>
  <si>
    <t>356</t>
  </si>
  <si>
    <t>Dusclops</t>
  </si>
  <si>
    <t>357</t>
  </si>
  <si>
    <t>Tropius</t>
  </si>
  <si>
    <t>358</t>
  </si>
  <si>
    <t>Chimecho</t>
  </si>
  <si>
    <t>359</t>
  </si>
  <si>
    <t>Absol</t>
  </si>
  <si>
    <t>359-m</t>
  </si>
  <si>
    <t>Mega Absol</t>
  </si>
  <si>
    <t>360</t>
  </si>
  <si>
    <t>Wynaut</t>
  </si>
  <si>
    <t>361</t>
  </si>
  <si>
    <t>Snorunt</t>
  </si>
  <si>
    <t>362</t>
  </si>
  <si>
    <t>Glalie</t>
  </si>
  <si>
    <t>362-m</t>
  </si>
  <si>
    <t>Mega Glalie</t>
  </si>
  <si>
    <t>363</t>
  </si>
  <si>
    <t>Spheal</t>
  </si>
  <si>
    <t>364</t>
  </si>
  <si>
    <t>Sealeo</t>
  </si>
  <si>
    <t>365</t>
  </si>
  <si>
    <t>Walrein</t>
  </si>
  <si>
    <t>366</t>
  </si>
  <si>
    <t>Clamperl</t>
  </si>
  <si>
    <t>367</t>
  </si>
  <si>
    <t>Huntail</t>
  </si>
  <si>
    <t>368</t>
  </si>
  <si>
    <t>Gorebyss</t>
  </si>
  <si>
    <t>369</t>
  </si>
  <si>
    <t>Relicanth</t>
  </si>
  <si>
    <t>370</t>
  </si>
  <si>
    <t>Luvdisc</t>
  </si>
  <si>
    <t>371</t>
  </si>
  <si>
    <t>Bagon</t>
  </si>
  <si>
    <t>372</t>
  </si>
  <si>
    <t>Shelgon</t>
  </si>
  <si>
    <t>373</t>
  </si>
  <si>
    <t>373-m</t>
  </si>
  <si>
    <t>Mega Salamence</t>
  </si>
  <si>
    <t>374</t>
  </si>
  <si>
    <t>Beldum</t>
  </si>
  <si>
    <t>375</t>
  </si>
  <si>
    <t>Metang</t>
  </si>
  <si>
    <t>376</t>
  </si>
  <si>
    <t>Metagross</t>
  </si>
  <si>
    <t>376-m</t>
  </si>
  <si>
    <t>Mega Metagross</t>
  </si>
  <si>
    <t>377</t>
  </si>
  <si>
    <t>Regirock</t>
  </si>
  <si>
    <t>378</t>
  </si>
  <si>
    <t>Regice</t>
  </si>
  <si>
    <t>379</t>
  </si>
  <si>
    <t>Registeel</t>
  </si>
  <si>
    <t>380</t>
  </si>
  <si>
    <t>Latias</t>
  </si>
  <si>
    <t>380-m</t>
  </si>
  <si>
    <t>Mega Latias</t>
  </si>
  <si>
    <t>381</t>
  </si>
  <si>
    <t>Latios</t>
  </si>
  <si>
    <t>381-m</t>
  </si>
  <si>
    <t>Mega Latios</t>
  </si>
  <si>
    <t>382</t>
  </si>
  <si>
    <t>Kyogre</t>
  </si>
  <si>
    <t>382-p</t>
  </si>
  <si>
    <t>Primal Kyogre</t>
  </si>
  <si>
    <t>383</t>
  </si>
  <si>
    <t>Groudon</t>
  </si>
  <si>
    <t>383-p</t>
  </si>
  <si>
    <t>Primal Groudon</t>
  </si>
  <si>
    <t>384</t>
  </si>
  <si>
    <t>Rayquaza</t>
  </si>
  <si>
    <t>384-m</t>
  </si>
  <si>
    <t>Mega Rayquaza</t>
  </si>
  <si>
    <t>385</t>
  </si>
  <si>
    <t>Jirachi</t>
  </si>
  <si>
    <t>386</t>
  </si>
  <si>
    <t>Deoxys Normal Forme</t>
  </si>
  <si>
    <t>386-a</t>
  </si>
  <si>
    <t>Deoxys Attack Forme</t>
  </si>
  <si>
    <t>386-d</t>
  </si>
  <si>
    <t>Deoxys Defense Forme</t>
  </si>
  <si>
    <t>386-s</t>
  </si>
  <si>
    <t>Deoxys Speed Forme</t>
  </si>
  <si>
    <t>387</t>
  </si>
  <si>
    <t>Turtwig</t>
  </si>
  <si>
    <t>388</t>
  </si>
  <si>
    <t>Grotle</t>
  </si>
  <si>
    <t>389</t>
  </si>
  <si>
    <t>Torterra</t>
  </si>
  <si>
    <t>390</t>
  </si>
  <si>
    <t>Chimchar</t>
  </si>
  <si>
    <t>391</t>
  </si>
  <si>
    <t>Monferno</t>
  </si>
  <si>
    <t>392</t>
  </si>
  <si>
    <t>Infernape</t>
  </si>
  <si>
    <t>393</t>
  </si>
  <si>
    <t>Piplup</t>
  </si>
  <si>
    <t>394</t>
  </si>
  <si>
    <t>Prinplup</t>
  </si>
  <si>
    <t>395</t>
  </si>
  <si>
    <t>Empoleon</t>
  </si>
  <si>
    <t>396</t>
  </si>
  <si>
    <t>Starly</t>
  </si>
  <si>
    <t>397</t>
  </si>
  <si>
    <t>Staravia</t>
  </si>
  <si>
    <t>398</t>
  </si>
  <si>
    <t>Staraptor</t>
  </si>
  <si>
    <t>399</t>
  </si>
  <si>
    <t>Bidoof</t>
  </si>
  <si>
    <t>400</t>
  </si>
  <si>
    <t>Bibarel</t>
  </si>
  <si>
    <t>401</t>
  </si>
  <si>
    <t>Kricketot</t>
  </si>
  <si>
    <t>402</t>
  </si>
  <si>
    <t>Kricketune</t>
  </si>
  <si>
    <t>403</t>
  </si>
  <si>
    <t>Shinx</t>
  </si>
  <si>
    <t>404</t>
  </si>
  <si>
    <t>Luxio</t>
  </si>
  <si>
    <t>405</t>
  </si>
  <si>
    <t>Luxray</t>
  </si>
  <si>
    <t>406</t>
  </si>
  <si>
    <t>Budew</t>
  </si>
  <si>
    <t>407</t>
  </si>
  <si>
    <t>Roserade</t>
  </si>
  <si>
    <t>408</t>
  </si>
  <si>
    <t>Cranidos</t>
  </si>
  <si>
    <t>409</t>
  </si>
  <si>
    <t>Rampardos</t>
  </si>
  <si>
    <t>410</t>
  </si>
  <si>
    <t>Shieldon</t>
  </si>
  <si>
    <t>411</t>
  </si>
  <si>
    <t>Bastiodon</t>
  </si>
  <si>
    <t>412</t>
  </si>
  <si>
    <t>Burmy</t>
  </si>
  <si>
    <t>413</t>
  </si>
  <si>
    <t>Wormadam Plant Cloak</t>
  </si>
  <si>
    <t>413-s</t>
  </si>
  <si>
    <t>Wormadam Sandy Cloak</t>
  </si>
  <si>
    <t>413-t</t>
  </si>
  <si>
    <t>Wormadam Trash Cloak</t>
  </si>
  <si>
    <t>414</t>
  </si>
  <si>
    <t>Mothim</t>
  </si>
  <si>
    <t>415</t>
  </si>
  <si>
    <t>Combee</t>
  </si>
  <si>
    <t>416</t>
  </si>
  <si>
    <t>Vespiquen</t>
  </si>
  <si>
    <t>417</t>
  </si>
  <si>
    <t>Pachirisu</t>
  </si>
  <si>
    <t>418</t>
  </si>
  <si>
    <t>Buizel</t>
  </si>
  <si>
    <t>419</t>
  </si>
  <si>
    <t>Floatzel</t>
  </si>
  <si>
    <t>420</t>
  </si>
  <si>
    <t>Cherubi</t>
  </si>
  <si>
    <t>421</t>
  </si>
  <si>
    <t>Cherrim</t>
  </si>
  <si>
    <t>422</t>
  </si>
  <si>
    <t>423</t>
  </si>
  <si>
    <t>424</t>
  </si>
  <si>
    <t>Ambipom</t>
  </si>
  <si>
    <t>425</t>
  </si>
  <si>
    <t>Drifloon</t>
  </si>
  <si>
    <t>426</t>
  </si>
  <si>
    <t>Drifblim</t>
  </si>
  <si>
    <t>427</t>
  </si>
  <si>
    <t>Buneary</t>
  </si>
  <si>
    <t>428</t>
  </si>
  <si>
    <t>Lopunny</t>
  </si>
  <si>
    <t>428-m</t>
  </si>
  <si>
    <t>Mega Lopunny</t>
  </si>
  <si>
    <t>429</t>
  </si>
  <si>
    <t>Mismagius</t>
  </si>
  <si>
    <t>430</t>
  </si>
  <si>
    <t>Honchkrow</t>
  </si>
  <si>
    <t>431</t>
  </si>
  <si>
    <t>Glameow</t>
  </si>
  <si>
    <t>432</t>
  </si>
  <si>
    <t>Purugly</t>
  </si>
  <si>
    <t>433</t>
  </si>
  <si>
    <t>Chingling</t>
  </si>
  <si>
    <t>434</t>
  </si>
  <si>
    <t>Stunky</t>
  </si>
  <si>
    <t>435</t>
  </si>
  <si>
    <t>Skuntank</t>
  </si>
  <si>
    <t>436</t>
  </si>
  <si>
    <t>Bronzor</t>
  </si>
  <si>
    <t>437</t>
  </si>
  <si>
    <t>Bronzong</t>
  </si>
  <si>
    <t>438</t>
  </si>
  <si>
    <t>Bonsly</t>
  </si>
  <si>
    <t>439</t>
  </si>
  <si>
    <t>Mime Jr.</t>
  </si>
  <si>
    <t>440</t>
  </si>
  <si>
    <t>Happiny</t>
  </si>
  <si>
    <t>441</t>
  </si>
  <si>
    <t>Chatot</t>
  </si>
  <si>
    <t>442</t>
  </si>
  <si>
    <t>Spiritomb</t>
  </si>
  <si>
    <t>443</t>
  </si>
  <si>
    <t>Gible</t>
  </si>
  <si>
    <t>444</t>
  </si>
  <si>
    <t>Gabite</t>
  </si>
  <si>
    <t>445</t>
  </si>
  <si>
    <t>Garchomp</t>
  </si>
  <si>
    <t>445-m</t>
  </si>
  <si>
    <t>Mega Garchomp</t>
  </si>
  <si>
    <t>446</t>
  </si>
  <si>
    <t>Munchlax</t>
  </si>
  <si>
    <t>447</t>
  </si>
  <si>
    <t>Riolu</t>
  </si>
  <si>
    <t>448</t>
  </si>
  <si>
    <t>Lucario</t>
  </si>
  <si>
    <t>448-m</t>
  </si>
  <si>
    <t>Mega Lucario</t>
  </si>
  <si>
    <t>449</t>
  </si>
  <si>
    <t>Hippopotas</t>
  </si>
  <si>
    <t>450</t>
  </si>
  <si>
    <t>Hippowdon</t>
  </si>
  <si>
    <t>451</t>
  </si>
  <si>
    <t>Skorupi</t>
  </si>
  <si>
    <t>452</t>
  </si>
  <si>
    <t>Drapion</t>
  </si>
  <si>
    <t>453</t>
  </si>
  <si>
    <t>Croagunk</t>
  </si>
  <si>
    <t>454</t>
  </si>
  <si>
    <t>Toxicroak</t>
  </si>
  <si>
    <t>455</t>
  </si>
  <si>
    <t>Carnivine</t>
  </si>
  <si>
    <t>456</t>
  </si>
  <si>
    <t>Finneon</t>
  </si>
  <si>
    <t>457</t>
  </si>
  <si>
    <t>Lumineon</t>
  </si>
  <si>
    <t>458</t>
  </si>
  <si>
    <t>Mantyke</t>
  </si>
  <si>
    <t>459</t>
  </si>
  <si>
    <t>Snover</t>
  </si>
  <si>
    <t>460</t>
  </si>
  <si>
    <t>Abomasnow</t>
  </si>
  <si>
    <t>460-m</t>
  </si>
  <si>
    <t>Mega Abomasnow</t>
  </si>
  <si>
    <t>461</t>
  </si>
  <si>
    <t>462</t>
  </si>
  <si>
    <t>Magnezone</t>
  </si>
  <si>
    <t>463</t>
  </si>
  <si>
    <t>Lickilicky</t>
  </si>
  <si>
    <t>464</t>
  </si>
  <si>
    <t>Rhyperior</t>
  </si>
  <si>
    <t>465</t>
  </si>
  <si>
    <t>Tangrowth</t>
  </si>
  <si>
    <t>466</t>
  </si>
  <si>
    <t>Electivire</t>
  </si>
  <si>
    <t>467</t>
  </si>
  <si>
    <t>Magmortar</t>
  </si>
  <si>
    <t>468</t>
  </si>
  <si>
    <t>Togekiss</t>
  </si>
  <si>
    <t>469</t>
  </si>
  <si>
    <t>Yanmega</t>
  </si>
  <si>
    <t>470</t>
  </si>
  <si>
    <t>Leafeon</t>
  </si>
  <si>
    <t>471</t>
  </si>
  <si>
    <t>Glaceon</t>
  </si>
  <si>
    <t>472</t>
  </si>
  <si>
    <t>Gliscor</t>
  </si>
  <si>
    <t>473</t>
  </si>
  <si>
    <t>Mamoswine</t>
  </si>
  <si>
    <t>474</t>
  </si>
  <si>
    <t>Porygon-Z</t>
  </si>
  <si>
    <t>475</t>
  </si>
  <si>
    <t>Gallade</t>
  </si>
  <si>
    <t>475-m</t>
  </si>
  <si>
    <t>Mega Gallade</t>
  </si>
  <si>
    <t>476</t>
  </si>
  <si>
    <t>Probopass</t>
  </si>
  <si>
    <t>477</t>
  </si>
  <si>
    <t>Dusknoir</t>
  </si>
  <si>
    <t>478</t>
  </si>
  <si>
    <t>Froslass</t>
  </si>
  <si>
    <t>479</t>
  </si>
  <si>
    <t>479-h</t>
  </si>
  <si>
    <t>479-w</t>
  </si>
  <si>
    <t>479-f</t>
  </si>
  <si>
    <t>479-s</t>
  </si>
  <si>
    <t>479-m</t>
  </si>
  <si>
    <t>480</t>
  </si>
  <si>
    <t>Uxie</t>
  </si>
  <si>
    <t>481</t>
  </si>
  <si>
    <t>Mesprit</t>
  </si>
  <si>
    <t>482</t>
  </si>
  <si>
    <t>Azelf</t>
  </si>
  <si>
    <t>483</t>
  </si>
  <si>
    <t>Dialga</t>
  </si>
  <si>
    <t>484</t>
  </si>
  <si>
    <t>Palkia</t>
  </si>
  <si>
    <t>485</t>
  </si>
  <si>
    <t>Heatran</t>
  </si>
  <si>
    <t>486</t>
  </si>
  <si>
    <t>Regigigas</t>
  </si>
  <si>
    <t>487</t>
  </si>
  <si>
    <t>Giratina Altered Forme</t>
  </si>
  <si>
    <t>487-o</t>
  </si>
  <si>
    <t>Giratina Origin Forme</t>
  </si>
  <si>
    <t>488</t>
  </si>
  <si>
    <t>Cresselia</t>
  </si>
  <si>
    <t>489</t>
  </si>
  <si>
    <t>Phione</t>
  </si>
  <si>
    <t>490</t>
  </si>
  <si>
    <t>Manaphy</t>
  </si>
  <si>
    <t>491</t>
  </si>
  <si>
    <t>Darkrai</t>
  </si>
  <si>
    <t>492</t>
  </si>
  <si>
    <t>Shaymin Land Forme</t>
  </si>
  <si>
    <t>492-s</t>
  </si>
  <si>
    <t>Shaymin Sky Forme</t>
  </si>
  <si>
    <t>493</t>
  </si>
  <si>
    <t>Arceus</t>
  </si>
  <si>
    <t>494</t>
  </si>
  <si>
    <t>Victini</t>
  </si>
  <si>
    <t>495</t>
  </si>
  <si>
    <t>Snivy</t>
  </si>
  <si>
    <t>496</t>
  </si>
  <si>
    <t>Servine</t>
  </si>
  <si>
    <t>497</t>
  </si>
  <si>
    <t>Serperior</t>
  </si>
  <si>
    <t>498</t>
  </si>
  <si>
    <t>Tepig</t>
  </si>
  <si>
    <t>499</t>
  </si>
  <si>
    <t>Pignite</t>
  </si>
  <si>
    <t>500</t>
  </si>
  <si>
    <t>Emboar</t>
  </si>
  <si>
    <t>501</t>
  </si>
  <si>
    <t>Oshawott</t>
  </si>
  <si>
    <t>502</t>
  </si>
  <si>
    <t>Dewott</t>
  </si>
  <si>
    <t>503</t>
  </si>
  <si>
    <t>503-h</t>
  </si>
  <si>
    <t>504</t>
  </si>
  <si>
    <t>Patrat</t>
  </si>
  <si>
    <t>505</t>
  </si>
  <si>
    <t>Watchog</t>
  </si>
  <si>
    <t>506</t>
  </si>
  <si>
    <t>Lillipup</t>
  </si>
  <si>
    <t>507</t>
  </si>
  <si>
    <t>Herdier</t>
  </si>
  <si>
    <t>508</t>
  </si>
  <si>
    <t>Stoutland</t>
  </si>
  <si>
    <t>509</t>
  </si>
  <si>
    <t>Purrloin</t>
  </si>
  <si>
    <t>510</t>
  </si>
  <si>
    <t>Liepard</t>
  </si>
  <si>
    <t>511</t>
  </si>
  <si>
    <t>Pansage</t>
  </si>
  <si>
    <t>512</t>
  </si>
  <si>
    <t>Simisage</t>
  </si>
  <si>
    <t>513</t>
  </si>
  <si>
    <t>Pansear</t>
  </si>
  <si>
    <t>514</t>
  </si>
  <si>
    <t>Simisear</t>
  </si>
  <si>
    <t>515</t>
  </si>
  <si>
    <t>Panpour</t>
  </si>
  <si>
    <t>516</t>
  </si>
  <si>
    <t>Simipour</t>
  </si>
  <si>
    <t>517</t>
  </si>
  <si>
    <t>Munna</t>
  </si>
  <si>
    <t>518</t>
  </si>
  <si>
    <t>Musharna</t>
  </si>
  <si>
    <t>519</t>
  </si>
  <si>
    <t>Pidove</t>
  </si>
  <si>
    <t>520</t>
  </si>
  <si>
    <t>Tranquill</t>
  </si>
  <si>
    <t>521</t>
  </si>
  <si>
    <t>Unfezant</t>
  </si>
  <si>
    <t>522</t>
  </si>
  <si>
    <t>Blitzle</t>
  </si>
  <si>
    <t>523</t>
  </si>
  <si>
    <t>Zebstrika</t>
  </si>
  <si>
    <t>524</t>
  </si>
  <si>
    <t>Roggenrola</t>
  </si>
  <si>
    <t>525</t>
  </si>
  <si>
    <t>Boldore</t>
  </si>
  <si>
    <t>526</t>
  </si>
  <si>
    <t>Gigalith</t>
  </si>
  <si>
    <t>527</t>
  </si>
  <si>
    <t>Woobat</t>
  </si>
  <si>
    <t>528</t>
  </si>
  <si>
    <t>Swoobat</t>
  </si>
  <si>
    <t>529</t>
  </si>
  <si>
    <t>Drilbur</t>
  </si>
  <si>
    <t>530</t>
  </si>
  <si>
    <t>Excadrill</t>
  </si>
  <si>
    <t>531</t>
  </si>
  <si>
    <t>Audino</t>
  </si>
  <si>
    <t>531-m</t>
  </si>
  <si>
    <t>Mega Audino</t>
  </si>
  <si>
    <t>532</t>
  </si>
  <si>
    <t>Timburr</t>
  </si>
  <si>
    <t>533</t>
  </si>
  <si>
    <t>Gurdurr</t>
  </si>
  <si>
    <t>534</t>
  </si>
  <si>
    <t>Conkeldurr</t>
  </si>
  <si>
    <t>535</t>
  </si>
  <si>
    <t>Tympole</t>
  </si>
  <si>
    <t>536</t>
  </si>
  <si>
    <t>Palpitoad</t>
  </si>
  <si>
    <t>537</t>
  </si>
  <si>
    <t>Seismitoad</t>
  </si>
  <si>
    <t>538</t>
  </si>
  <si>
    <t>Throh</t>
  </si>
  <si>
    <t>539</t>
  </si>
  <si>
    <t>Sawk</t>
  </si>
  <si>
    <t>540</t>
  </si>
  <si>
    <t>Sewaddle</t>
  </si>
  <si>
    <t>541</t>
  </si>
  <si>
    <t>Swadloon</t>
  </si>
  <si>
    <t>542</t>
  </si>
  <si>
    <t>Leavanny</t>
  </si>
  <si>
    <t>543</t>
  </si>
  <si>
    <t>Venipede</t>
  </si>
  <si>
    <t>544</t>
  </si>
  <si>
    <t>Whirlipede</t>
  </si>
  <si>
    <t>545</t>
  </si>
  <si>
    <t>Scolipede</t>
  </si>
  <si>
    <t>546</t>
  </si>
  <si>
    <t>Cottonee</t>
  </si>
  <si>
    <t>547</t>
  </si>
  <si>
    <t>Whimsicott</t>
  </si>
  <si>
    <t>548</t>
  </si>
  <si>
    <t>Petilil</t>
  </si>
  <si>
    <t>549</t>
  </si>
  <si>
    <t>549-h</t>
  </si>
  <si>
    <t>550</t>
  </si>
  <si>
    <t>550-b</t>
  </si>
  <si>
    <t>551</t>
  </si>
  <si>
    <t>Sandile</t>
  </si>
  <si>
    <t>552</t>
  </si>
  <si>
    <t>Krokorok</t>
  </si>
  <si>
    <t>553</t>
  </si>
  <si>
    <t>Krookodile</t>
  </si>
  <si>
    <t>554</t>
  </si>
  <si>
    <t>Darumaka</t>
  </si>
  <si>
    <t>554-g</t>
  </si>
  <si>
    <t>Galarian Darumaka</t>
  </si>
  <si>
    <t>555</t>
  </si>
  <si>
    <t>Darmanitan Standard Mode</t>
  </si>
  <si>
    <t>555-z</t>
  </si>
  <si>
    <t>Darmanitan Zen Mode</t>
  </si>
  <si>
    <t>555-g</t>
  </si>
  <si>
    <t>Darmanitan Galarian Standard Mode</t>
  </si>
  <si>
    <t>555-gz</t>
  </si>
  <si>
    <t>Darmanitan Galarian Zen Mode</t>
  </si>
  <si>
    <t>556</t>
  </si>
  <si>
    <t>Maractus</t>
  </si>
  <si>
    <t>557</t>
  </si>
  <si>
    <t>Dwebble</t>
  </si>
  <si>
    <t>558</t>
  </si>
  <si>
    <t>Crustle</t>
  </si>
  <si>
    <t>559</t>
  </si>
  <si>
    <t>Scraggy</t>
  </si>
  <si>
    <t>560</t>
  </si>
  <si>
    <t>Scrafty</t>
  </si>
  <si>
    <t>561</t>
  </si>
  <si>
    <t>Sigilyph</t>
  </si>
  <si>
    <t>562</t>
  </si>
  <si>
    <t>Yamask</t>
  </si>
  <si>
    <t>562-g</t>
  </si>
  <si>
    <t>Galarian Yamask</t>
  </si>
  <si>
    <t>563</t>
  </si>
  <si>
    <t>Cofagrigus</t>
  </si>
  <si>
    <t>564</t>
  </si>
  <si>
    <t>Tirtouga</t>
  </si>
  <si>
    <t>565</t>
  </si>
  <si>
    <t>Carracosta</t>
  </si>
  <si>
    <t>566</t>
  </si>
  <si>
    <t>Archen</t>
  </si>
  <si>
    <t>567</t>
  </si>
  <si>
    <t>Archeops</t>
  </si>
  <si>
    <t>568</t>
  </si>
  <si>
    <t>Trubbish</t>
  </si>
  <si>
    <t>569</t>
  </si>
  <si>
    <t>Garbodor</t>
  </si>
  <si>
    <t>570</t>
  </si>
  <si>
    <t>570-h</t>
  </si>
  <si>
    <t>571</t>
  </si>
  <si>
    <t>571-h</t>
  </si>
  <si>
    <t>572</t>
  </si>
  <si>
    <t>Minccino</t>
  </si>
  <si>
    <t>573</t>
  </si>
  <si>
    <t>Cinccino</t>
  </si>
  <si>
    <t>574</t>
  </si>
  <si>
    <t>Gothita</t>
  </si>
  <si>
    <t>575</t>
  </si>
  <si>
    <t>Gothorita</t>
  </si>
  <si>
    <t>576</t>
  </si>
  <si>
    <t>Gothitelle</t>
  </si>
  <si>
    <t>577</t>
  </si>
  <si>
    <t>Solosis</t>
  </si>
  <si>
    <t>578</t>
  </si>
  <si>
    <t>Duosion</t>
  </si>
  <si>
    <t>579</t>
  </si>
  <si>
    <t>Reuniclus</t>
  </si>
  <si>
    <t>580</t>
  </si>
  <si>
    <t>Ducklett</t>
  </si>
  <si>
    <t>581</t>
  </si>
  <si>
    <t>Swanna</t>
  </si>
  <si>
    <t>582</t>
  </si>
  <si>
    <t>Vanillite</t>
  </si>
  <si>
    <t>583</t>
  </si>
  <si>
    <t>Vanillish</t>
  </si>
  <si>
    <t>584</t>
  </si>
  <si>
    <t>Vanilluxe</t>
  </si>
  <si>
    <t>585</t>
  </si>
  <si>
    <t>Deerling</t>
  </si>
  <si>
    <t>586</t>
  </si>
  <si>
    <t>Sawsbuck</t>
  </si>
  <si>
    <t>587</t>
  </si>
  <si>
    <t>Emolga</t>
  </si>
  <si>
    <t>588</t>
  </si>
  <si>
    <t>Karrablast</t>
  </si>
  <si>
    <t>589</t>
  </si>
  <si>
    <t>Escavalier</t>
  </si>
  <si>
    <t>590</t>
  </si>
  <si>
    <t>Foongus</t>
  </si>
  <si>
    <t>591</t>
  </si>
  <si>
    <t>Amoonguss</t>
  </si>
  <si>
    <t>592</t>
  </si>
  <si>
    <t>Frillish</t>
  </si>
  <si>
    <t>593</t>
  </si>
  <si>
    <t>Jellicent</t>
  </si>
  <si>
    <t>594</t>
  </si>
  <si>
    <t>Alomomola</t>
  </si>
  <si>
    <t>595</t>
  </si>
  <si>
    <t>Joltik</t>
  </si>
  <si>
    <t>596</t>
  </si>
  <si>
    <t>Galvantula</t>
  </si>
  <si>
    <t>597</t>
  </si>
  <si>
    <t>Ferroseed</t>
  </si>
  <si>
    <t>598</t>
  </si>
  <si>
    <t>Ferrothorn</t>
  </si>
  <si>
    <t>599</t>
  </si>
  <si>
    <t>Klink</t>
  </si>
  <si>
    <t>600</t>
  </si>
  <si>
    <t>Klang</t>
  </si>
  <si>
    <t>601</t>
  </si>
  <si>
    <t>Klinklang</t>
  </si>
  <si>
    <t>602</t>
  </si>
  <si>
    <t>Tynamo</t>
  </si>
  <si>
    <t>603</t>
  </si>
  <si>
    <t>Eelektrik</t>
  </si>
  <si>
    <t>604</t>
  </si>
  <si>
    <t>Eelektross</t>
  </si>
  <si>
    <t>605</t>
  </si>
  <si>
    <t>Elgyem</t>
  </si>
  <si>
    <t>606</t>
  </si>
  <si>
    <t>Beheeyem</t>
  </si>
  <si>
    <t>607</t>
  </si>
  <si>
    <t>Litwick</t>
  </si>
  <si>
    <t>608</t>
  </si>
  <si>
    <t>Lampent</t>
  </si>
  <si>
    <t>609</t>
  </si>
  <si>
    <t>Chandelure</t>
  </si>
  <si>
    <t>610</t>
  </si>
  <si>
    <t>Axew</t>
  </si>
  <si>
    <t>611</t>
  </si>
  <si>
    <t>Fraxure</t>
  </si>
  <si>
    <t>612</t>
  </si>
  <si>
    <t>Haxorus</t>
  </si>
  <si>
    <t>613</t>
  </si>
  <si>
    <t>Cubchoo</t>
  </si>
  <si>
    <t>614</t>
  </si>
  <si>
    <t>Beartic</t>
  </si>
  <si>
    <t>615</t>
  </si>
  <si>
    <t>Cryogonal</t>
  </si>
  <si>
    <t>616</t>
  </si>
  <si>
    <t>Shelmet</t>
  </si>
  <si>
    <t>617</t>
  </si>
  <si>
    <t>Accelgor</t>
  </si>
  <si>
    <t>618</t>
  </si>
  <si>
    <t>Stunfisk</t>
  </si>
  <si>
    <t>618-g</t>
  </si>
  <si>
    <t>Galarian Stunfisk</t>
  </si>
  <si>
    <t>619</t>
  </si>
  <si>
    <t>Mienfoo</t>
  </si>
  <si>
    <t>620</t>
  </si>
  <si>
    <t>Mienshao</t>
  </si>
  <si>
    <t>621</t>
  </si>
  <si>
    <t>Druddigon</t>
  </si>
  <si>
    <t>622</t>
  </si>
  <si>
    <t>Golett</t>
  </si>
  <si>
    <t>623</t>
  </si>
  <si>
    <t>Golurk</t>
  </si>
  <si>
    <t>624</t>
  </si>
  <si>
    <t>Pawniard</t>
  </si>
  <si>
    <t>625</t>
  </si>
  <si>
    <t>Bisharp</t>
  </si>
  <si>
    <t>626</t>
  </si>
  <si>
    <t>Bouffalant</t>
  </si>
  <si>
    <t>627</t>
  </si>
  <si>
    <t>Rufflet</t>
  </si>
  <si>
    <t>628</t>
  </si>
  <si>
    <t>628-h</t>
  </si>
  <si>
    <t>629</t>
  </si>
  <si>
    <t>Vullaby</t>
  </si>
  <si>
    <t>630</t>
  </si>
  <si>
    <t>Mandibuzz</t>
  </si>
  <si>
    <t>631</t>
  </si>
  <si>
    <t>Heatmor</t>
  </si>
  <si>
    <t>632</t>
  </si>
  <si>
    <t>Durant</t>
  </si>
  <si>
    <t>633</t>
  </si>
  <si>
    <t>Deino</t>
  </si>
  <si>
    <t>634</t>
  </si>
  <si>
    <t>Zweilous</t>
  </si>
  <si>
    <t>635</t>
  </si>
  <si>
    <t>Hydreigon</t>
  </si>
  <si>
    <t>636</t>
  </si>
  <si>
    <t>Larvesta</t>
  </si>
  <si>
    <t>637</t>
  </si>
  <si>
    <t>Volcarona</t>
  </si>
  <si>
    <t>638</t>
  </si>
  <si>
    <t>Cobalion</t>
  </si>
  <si>
    <t>639</t>
  </si>
  <si>
    <t>Terrakion</t>
  </si>
  <si>
    <t>640</t>
  </si>
  <si>
    <t>Virizion</t>
  </si>
  <si>
    <t>641</t>
  </si>
  <si>
    <t>641-t</t>
  </si>
  <si>
    <t>642</t>
  </si>
  <si>
    <t>642-t</t>
  </si>
  <si>
    <t>643</t>
  </si>
  <si>
    <t>Reshiram</t>
  </si>
  <si>
    <t>644</t>
  </si>
  <si>
    <t>Zekrom</t>
  </si>
  <si>
    <t>645</t>
  </si>
  <si>
    <t>645-t</t>
  </si>
  <si>
    <t>646</t>
  </si>
  <si>
    <t>Kyurem</t>
  </si>
  <si>
    <t>646-b</t>
  </si>
  <si>
    <t>Black Kyurem</t>
  </si>
  <si>
    <t>646-w</t>
  </si>
  <si>
    <t>White Kyurem</t>
  </si>
  <si>
    <t>647</t>
  </si>
  <si>
    <t>Keldeo Ordinary Forme</t>
  </si>
  <si>
    <t>647-r</t>
  </si>
  <si>
    <t>Keldeo Resolute Forme</t>
  </si>
  <si>
    <t>648</t>
  </si>
  <si>
    <t>Meloetta Aria Forme</t>
  </si>
  <si>
    <t>648-p</t>
  </si>
  <si>
    <t>Meloetta Pirouette Forme</t>
  </si>
  <si>
    <t>649</t>
  </si>
  <si>
    <t>Genesect</t>
  </si>
  <si>
    <t>650</t>
  </si>
  <si>
    <t>Chespin</t>
  </si>
  <si>
    <t>651</t>
  </si>
  <si>
    <t>Quilladin</t>
  </si>
  <si>
    <t>652</t>
  </si>
  <si>
    <t>Chesnaught</t>
  </si>
  <si>
    <t>653</t>
  </si>
  <si>
    <t>Fennekin</t>
  </si>
  <si>
    <t>654</t>
  </si>
  <si>
    <t>Braixen</t>
  </si>
  <si>
    <t>655</t>
  </si>
  <si>
    <t>Delphox</t>
  </si>
  <si>
    <t>656</t>
  </si>
  <si>
    <t>Froakie</t>
  </si>
  <si>
    <t>657</t>
  </si>
  <si>
    <t>Frogadier</t>
  </si>
  <si>
    <t>658</t>
  </si>
  <si>
    <t>Greninja</t>
  </si>
  <si>
    <t>658-a</t>
  </si>
  <si>
    <t>Ash-Greninja</t>
  </si>
  <si>
    <t>659</t>
  </si>
  <si>
    <t>Bunnelby</t>
  </si>
  <si>
    <t>660</t>
  </si>
  <si>
    <t>Diggersby</t>
  </si>
  <si>
    <t>661</t>
  </si>
  <si>
    <t>Fletchling</t>
  </si>
  <si>
    <t>662</t>
  </si>
  <si>
    <t>Fletchinder</t>
  </si>
  <si>
    <t>663</t>
  </si>
  <si>
    <t>Talonflame</t>
  </si>
  <si>
    <t>664</t>
  </si>
  <si>
    <t>Scatterbug</t>
  </si>
  <si>
    <t>665</t>
  </si>
  <si>
    <t>Spewpa</t>
  </si>
  <si>
    <t>666</t>
  </si>
  <si>
    <t>667</t>
  </si>
  <si>
    <t>Litleo</t>
  </si>
  <si>
    <t>668</t>
  </si>
  <si>
    <t>Pyroar</t>
  </si>
  <si>
    <t>669</t>
  </si>
  <si>
    <t>FlabÃ©bÃ©</t>
  </si>
  <si>
    <t>670</t>
  </si>
  <si>
    <t>Floette</t>
  </si>
  <si>
    <t>671</t>
  </si>
  <si>
    <t>672</t>
  </si>
  <si>
    <t>Skiddo</t>
  </si>
  <si>
    <t>673</t>
  </si>
  <si>
    <t>Gogoat</t>
  </si>
  <si>
    <t>674</t>
  </si>
  <si>
    <t>Pancham</t>
  </si>
  <si>
    <t>675</t>
  </si>
  <si>
    <t>Pangoro</t>
  </si>
  <si>
    <t>676</t>
  </si>
  <si>
    <t>Furfrou</t>
  </si>
  <si>
    <t>677</t>
  </si>
  <si>
    <t>Espurr</t>
  </si>
  <si>
    <t>678</t>
  </si>
  <si>
    <t>678-f</t>
  </si>
  <si>
    <t>679</t>
  </si>
  <si>
    <t>Honedge</t>
  </si>
  <si>
    <t>680</t>
  </si>
  <si>
    <t>Doublade</t>
  </si>
  <si>
    <t>681</t>
  </si>
  <si>
    <t>Aegislash Blade Forme</t>
  </si>
  <si>
    <t>681-b</t>
  </si>
  <si>
    <t>Aegislash Shield Forme</t>
  </si>
  <si>
    <t>682</t>
  </si>
  <si>
    <t>Spritzee</t>
  </si>
  <si>
    <t>683</t>
  </si>
  <si>
    <t>Aromatisse</t>
  </si>
  <si>
    <t>684</t>
  </si>
  <si>
    <t>Swirlix</t>
  </si>
  <si>
    <t>685</t>
  </si>
  <si>
    <t>Slurpuff</t>
  </si>
  <si>
    <t>686</t>
  </si>
  <si>
    <t>Inkay</t>
  </si>
  <si>
    <t>687</t>
  </si>
  <si>
    <t>Malamar</t>
  </si>
  <si>
    <t>688</t>
  </si>
  <si>
    <t>Binacle</t>
  </si>
  <si>
    <t>689</t>
  </si>
  <si>
    <t>Barbaracle</t>
  </si>
  <si>
    <t>690</t>
  </si>
  <si>
    <t>Skrelp</t>
  </si>
  <si>
    <t>691</t>
  </si>
  <si>
    <t>Dragalge</t>
  </si>
  <si>
    <t>692</t>
  </si>
  <si>
    <t>Clauncher</t>
  </si>
  <si>
    <t>693</t>
  </si>
  <si>
    <t>Clawitzer</t>
  </si>
  <si>
    <t>694</t>
  </si>
  <si>
    <t>Helioptile</t>
  </si>
  <si>
    <t>695</t>
  </si>
  <si>
    <t>Heliolisk</t>
  </si>
  <si>
    <t>696</t>
  </si>
  <si>
    <t>Tyrunt</t>
  </si>
  <si>
    <t>697</t>
  </si>
  <si>
    <t>Tyrantrum</t>
  </si>
  <si>
    <t>698</t>
  </si>
  <si>
    <t>Amaura</t>
  </si>
  <si>
    <t>699</t>
  </si>
  <si>
    <t>Aurorus</t>
  </si>
  <si>
    <t>700</t>
  </si>
  <si>
    <t>Sylveon</t>
  </si>
  <si>
    <t>701</t>
  </si>
  <si>
    <t>Hawlucha</t>
  </si>
  <si>
    <t>702</t>
  </si>
  <si>
    <t>Dedenne</t>
  </si>
  <si>
    <t>703</t>
  </si>
  <si>
    <t>Carbink</t>
  </si>
  <si>
    <t>704</t>
  </si>
  <si>
    <t>Goomy</t>
  </si>
  <si>
    <t>705</t>
  </si>
  <si>
    <t>705-h</t>
  </si>
  <si>
    <t>706</t>
  </si>
  <si>
    <t>706-h</t>
  </si>
  <si>
    <t>707</t>
  </si>
  <si>
    <t>Klefki</t>
  </si>
  <si>
    <t>708</t>
  </si>
  <si>
    <t>Phantump</t>
  </si>
  <si>
    <t>709</t>
  </si>
  <si>
    <t>Trevenant</t>
  </si>
  <si>
    <t>710</t>
  </si>
  <si>
    <t>Pumpkaboo Average Size</t>
  </si>
  <si>
    <t>710-s</t>
  </si>
  <si>
    <t>Pumpkaboo Small Size</t>
  </si>
  <si>
    <t>710-l</t>
  </si>
  <si>
    <t>Pumpkaboo Large Size</t>
  </si>
  <si>
    <t>710-h</t>
  </si>
  <si>
    <t>Pumpkaboo Super Size</t>
  </si>
  <si>
    <t>711</t>
  </si>
  <si>
    <t>Gourgeist Average Size</t>
  </si>
  <si>
    <t>711-s</t>
  </si>
  <si>
    <t>Gourgeist Small Size</t>
  </si>
  <si>
    <t>711-l</t>
  </si>
  <si>
    <t>Gourgeist Large Size</t>
  </si>
  <si>
    <t>711-h</t>
  </si>
  <si>
    <t>Gourgeist Super Size</t>
  </si>
  <si>
    <t>712</t>
  </si>
  <si>
    <t>Bergmite</t>
  </si>
  <si>
    <t>713</t>
  </si>
  <si>
    <t>713-h</t>
  </si>
  <si>
    <t>714</t>
  </si>
  <si>
    <t>Noibat</t>
  </si>
  <si>
    <t>715</t>
  </si>
  <si>
    <t>Noivern</t>
  </si>
  <si>
    <t>716</t>
  </si>
  <si>
    <t>Xerneas</t>
  </si>
  <si>
    <t>717</t>
  </si>
  <si>
    <t>Yveltal</t>
  </si>
  <si>
    <t>718</t>
  </si>
  <si>
    <t>Zygarde 50% Forme</t>
  </si>
  <si>
    <t>718-10</t>
  </si>
  <si>
    <t>Zygarde 10% Forme</t>
  </si>
  <si>
    <t>718-c</t>
  </si>
  <si>
    <t>Zygarde Complete Forme</t>
  </si>
  <si>
    <t>719</t>
  </si>
  <si>
    <t>Diancie</t>
  </si>
  <si>
    <t>719-m</t>
  </si>
  <si>
    <t>Mega Diancie</t>
  </si>
  <si>
    <t>720</t>
  </si>
  <si>
    <t>Hoopa Hoopa Confined</t>
  </si>
  <si>
    <t>720-u</t>
  </si>
  <si>
    <t>Hoopa Hoopa Unbound</t>
  </si>
  <si>
    <t>721</t>
  </si>
  <si>
    <t>Volcanion</t>
  </si>
  <si>
    <t>722</t>
  </si>
  <si>
    <t>Rowlet</t>
  </si>
  <si>
    <t>723</t>
  </si>
  <si>
    <t>Dartrix</t>
  </si>
  <si>
    <t>724</t>
  </si>
  <si>
    <t>724-h</t>
  </si>
  <si>
    <t>725</t>
  </si>
  <si>
    <t>Litten</t>
  </si>
  <si>
    <t>726</t>
  </si>
  <si>
    <t>Torracat</t>
  </si>
  <si>
    <t>727</t>
  </si>
  <si>
    <t>Incineroar</t>
  </si>
  <si>
    <t>728</t>
  </si>
  <si>
    <t>Popplio</t>
  </si>
  <si>
    <t>729</t>
  </si>
  <si>
    <t>Brionne</t>
  </si>
  <si>
    <t>730</t>
  </si>
  <si>
    <t>Primarina</t>
  </si>
  <si>
    <t>731</t>
  </si>
  <si>
    <t>Pikipek</t>
  </si>
  <si>
    <t>732</t>
  </si>
  <si>
    <t>Trumbeak</t>
  </si>
  <si>
    <t>733</t>
  </si>
  <si>
    <t>Toucannon</t>
  </si>
  <si>
    <t>734</t>
  </si>
  <si>
    <t>Yungoos</t>
  </si>
  <si>
    <t>735</t>
  </si>
  <si>
    <t>Gumshoos</t>
  </si>
  <si>
    <t>736</t>
  </si>
  <si>
    <t>Grubbin</t>
  </si>
  <si>
    <t>737</t>
  </si>
  <si>
    <t>Charjabug</t>
  </si>
  <si>
    <t>738</t>
  </si>
  <si>
    <t>Vikavolt</t>
  </si>
  <si>
    <t>739</t>
  </si>
  <si>
    <t>Crabrawler</t>
  </si>
  <si>
    <t>740</t>
  </si>
  <si>
    <t>Crabominable</t>
  </si>
  <si>
    <t>741-p</t>
  </si>
  <si>
    <t>741-pau</t>
  </si>
  <si>
    <t>741-s</t>
  </si>
  <si>
    <t>742</t>
  </si>
  <si>
    <t>Cutiefly</t>
  </si>
  <si>
    <t>743</t>
  </si>
  <si>
    <t>Ribombee</t>
  </si>
  <si>
    <t>744</t>
  </si>
  <si>
    <t>Rockruff</t>
  </si>
  <si>
    <t>Own Tempo Rockruff</t>
  </si>
  <si>
    <t>745</t>
  </si>
  <si>
    <t>745-d</t>
  </si>
  <si>
    <t>745-m</t>
  </si>
  <si>
    <t>746</t>
  </si>
  <si>
    <t>Wishiwashi Solo Form</t>
  </si>
  <si>
    <t>746-s</t>
  </si>
  <si>
    <t>Wishiwashi School Form</t>
  </si>
  <si>
    <t>747</t>
  </si>
  <si>
    <t>Mareanie</t>
  </si>
  <si>
    <t>748</t>
  </si>
  <si>
    <t>Toxapex</t>
  </si>
  <si>
    <t>749</t>
  </si>
  <si>
    <t>Mudbray</t>
  </si>
  <si>
    <t>750</t>
  </si>
  <si>
    <t>Mudsdale</t>
  </si>
  <si>
    <t>751</t>
  </si>
  <si>
    <t>Dewpider</t>
  </si>
  <si>
    <t>752</t>
  </si>
  <si>
    <t>Araquanid</t>
  </si>
  <si>
    <t>753</t>
  </si>
  <si>
    <t>Fomantis</t>
  </si>
  <si>
    <t>754</t>
  </si>
  <si>
    <t>Lurantis</t>
  </si>
  <si>
    <t>755</t>
  </si>
  <si>
    <t>Morelull</t>
  </si>
  <si>
    <t>756</t>
  </si>
  <si>
    <t>Shiinotic</t>
  </si>
  <si>
    <t>757</t>
  </si>
  <si>
    <t>Salandit</t>
  </si>
  <si>
    <t>758</t>
  </si>
  <si>
    <t>Salazzle</t>
  </si>
  <si>
    <t>759</t>
  </si>
  <si>
    <t>Stufful</t>
  </si>
  <si>
    <t>760</t>
  </si>
  <si>
    <t>Bewear</t>
  </si>
  <si>
    <t>761</t>
  </si>
  <si>
    <t>Bounsweet</t>
  </si>
  <si>
    <t>762</t>
  </si>
  <si>
    <t>Steenee</t>
  </si>
  <si>
    <t>763</t>
  </si>
  <si>
    <t>Tsareena</t>
  </si>
  <si>
    <t>764</t>
  </si>
  <si>
    <t>Comfey</t>
  </si>
  <si>
    <t>765</t>
  </si>
  <si>
    <t>Oranguru</t>
  </si>
  <si>
    <t>766</t>
  </si>
  <si>
    <t>Passimian</t>
  </si>
  <si>
    <t>767</t>
  </si>
  <si>
    <t>Wimpod</t>
  </si>
  <si>
    <t>768</t>
  </si>
  <si>
    <t>Golisopod</t>
  </si>
  <si>
    <t>769</t>
  </si>
  <si>
    <t>Sandygast</t>
  </si>
  <si>
    <t>770</t>
  </si>
  <si>
    <t>Palossand</t>
  </si>
  <si>
    <t>771</t>
  </si>
  <si>
    <t>Pyukumuku</t>
  </si>
  <si>
    <t>772</t>
  </si>
  <si>
    <t>Type: Null</t>
  </si>
  <si>
    <t>773</t>
  </si>
  <si>
    <t>Silvally</t>
  </si>
  <si>
    <t>774</t>
  </si>
  <si>
    <t>774-r</t>
  </si>
  <si>
    <t>Minior Core Form</t>
  </si>
  <si>
    <t>775</t>
  </si>
  <si>
    <t>Komala</t>
  </si>
  <si>
    <t>776</t>
  </si>
  <si>
    <t>Turtonator</t>
  </si>
  <si>
    <t>777</t>
  </si>
  <si>
    <t>Togedemaru</t>
  </si>
  <si>
    <t>778</t>
  </si>
  <si>
    <t>Mimikyu</t>
  </si>
  <si>
    <t>779</t>
  </si>
  <si>
    <t>Bruxish</t>
  </si>
  <si>
    <t>780</t>
  </si>
  <si>
    <t>Drampa</t>
  </si>
  <si>
    <t>781</t>
  </si>
  <si>
    <t>Dhelmise</t>
  </si>
  <si>
    <t>782</t>
  </si>
  <si>
    <t>Jangmo-o</t>
  </si>
  <si>
    <t>783</t>
  </si>
  <si>
    <t>Hakamo-o</t>
  </si>
  <si>
    <t>784</t>
  </si>
  <si>
    <t>Kommo-o</t>
  </si>
  <si>
    <t>785</t>
  </si>
  <si>
    <t>Tapu Koko</t>
  </si>
  <si>
    <t>786</t>
  </si>
  <si>
    <t>Tapu Lele</t>
  </si>
  <si>
    <t>787</t>
  </si>
  <si>
    <t>Tapu Bulu</t>
  </si>
  <si>
    <t>788</t>
  </si>
  <si>
    <t>Tapu Fini</t>
  </si>
  <si>
    <t>789</t>
  </si>
  <si>
    <t>Cosmog</t>
  </si>
  <si>
    <t>790</t>
  </si>
  <si>
    <t>Cosmoem</t>
  </si>
  <si>
    <t>791</t>
  </si>
  <si>
    <t>Solgaleo</t>
  </si>
  <si>
    <t>792</t>
  </si>
  <si>
    <t>Lunala</t>
  </si>
  <si>
    <t>793</t>
  </si>
  <si>
    <t>Nihilego</t>
  </si>
  <si>
    <t>794</t>
  </si>
  <si>
    <t>Buzzwole</t>
  </si>
  <si>
    <t>795</t>
  </si>
  <si>
    <t>Pheromosa</t>
  </si>
  <si>
    <t>796</t>
  </si>
  <si>
    <t>Xurkitree</t>
  </si>
  <si>
    <t>797</t>
  </si>
  <si>
    <t>Celesteela</t>
  </si>
  <si>
    <t>798</t>
  </si>
  <si>
    <t>Kartana</t>
  </si>
  <si>
    <t>799</t>
  </si>
  <si>
    <t>Guzzlord</t>
  </si>
  <si>
    <t>800</t>
  </si>
  <si>
    <t>Necrozma</t>
  </si>
  <si>
    <t>800-dm</t>
  </si>
  <si>
    <t>Dusk Mane Necrozma</t>
  </si>
  <si>
    <t>800-dw</t>
  </si>
  <si>
    <t>Dawn Wings Necrozma</t>
  </si>
  <si>
    <t>800-u</t>
  </si>
  <si>
    <t>Ultra Necrozma</t>
  </si>
  <si>
    <t>801</t>
  </si>
  <si>
    <t>Magearna</t>
  </si>
  <si>
    <t>802</t>
  </si>
  <si>
    <t>Marshadow</t>
  </si>
  <si>
    <t>803</t>
  </si>
  <si>
    <t>Poipole</t>
  </si>
  <si>
    <t>804</t>
  </si>
  <si>
    <t>Naganadel</t>
  </si>
  <si>
    <t>805</t>
  </si>
  <si>
    <t>Stakataka</t>
  </si>
  <si>
    <t>806</t>
  </si>
  <si>
    <t>Blacephalon</t>
  </si>
  <si>
    <t>807</t>
  </si>
  <si>
    <t>Zeraora</t>
  </si>
  <si>
    <t>808</t>
  </si>
  <si>
    <t>Meltan</t>
  </si>
  <si>
    <t>809</t>
  </si>
  <si>
    <t>Melmetal</t>
  </si>
  <si>
    <t>810</t>
  </si>
  <si>
    <t>Grookey</t>
  </si>
  <si>
    <t>811</t>
  </si>
  <si>
    <t>Thwackey</t>
  </si>
  <si>
    <t>812</t>
  </si>
  <si>
    <t>Rillaboom</t>
  </si>
  <si>
    <t>813</t>
  </si>
  <si>
    <t>Scorbunny</t>
  </si>
  <si>
    <t>814</t>
  </si>
  <si>
    <t>Raboot</t>
  </si>
  <si>
    <t>815</t>
  </si>
  <si>
    <t>Cinderace</t>
  </si>
  <si>
    <t>816</t>
  </si>
  <si>
    <t>Sobble</t>
  </si>
  <si>
    <t>817</t>
  </si>
  <si>
    <t>Drizzile</t>
  </si>
  <si>
    <t>818</t>
  </si>
  <si>
    <t>Inteleon</t>
  </si>
  <si>
    <t>819</t>
  </si>
  <si>
    <t>Skwovet</t>
  </si>
  <si>
    <t>820</t>
  </si>
  <si>
    <t>Greedent</t>
  </si>
  <si>
    <t>821</t>
  </si>
  <si>
    <t>Rookidee</t>
  </si>
  <si>
    <t>822</t>
  </si>
  <si>
    <t>Corvisquire</t>
  </si>
  <si>
    <t>823</t>
  </si>
  <si>
    <t>Corviknight</t>
  </si>
  <si>
    <t>824</t>
  </si>
  <si>
    <t>Blipbug</t>
  </si>
  <si>
    <t>825</t>
  </si>
  <si>
    <t>Dottler</t>
  </si>
  <si>
    <t>826</t>
  </si>
  <si>
    <t>Orbeetle</t>
  </si>
  <si>
    <t>827</t>
  </si>
  <si>
    <t>Nickit</t>
  </si>
  <si>
    <t>828</t>
  </si>
  <si>
    <t>Thievul</t>
  </si>
  <si>
    <t>829</t>
  </si>
  <si>
    <t>Gossifleur</t>
  </si>
  <si>
    <t>830</t>
  </si>
  <si>
    <t>Eldegoss</t>
  </si>
  <si>
    <t>831</t>
  </si>
  <si>
    <t>Wooloo</t>
  </si>
  <si>
    <t>832</t>
  </si>
  <si>
    <t>Dubwool</t>
  </si>
  <si>
    <t>833</t>
  </si>
  <si>
    <t>Chewtle</t>
  </si>
  <si>
    <t>834</t>
  </si>
  <si>
    <t>Drednaw</t>
  </si>
  <si>
    <t>835</t>
  </si>
  <si>
    <t>Yamper</t>
  </si>
  <si>
    <t>836</t>
  </si>
  <si>
    <t>Boltund</t>
  </si>
  <si>
    <t>837</t>
  </si>
  <si>
    <t>Rolycoly</t>
  </si>
  <si>
    <t>838</t>
  </si>
  <si>
    <t>Carkol</t>
  </si>
  <si>
    <t>839</t>
  </si>
  <si>
    <t>Coalossal</t>
  </si>
  <si>
    <t>840</t>
  </si>
  <si>
    <t>Applin</t>
  </si>
  <si>
    <t>841</t>
  </si>
  <si>
    <t>Flapple</t>
  </si>
  <si>
    <t>842</t>
  </si>
  <si>
    <t>Appletun</t>
  </si>
  <si>
    <t>Silicobra</t>
  </si>
  <si>
    <t>844</t>
  </si>
  <si>
    <t>Sandaconda</t>
  </si>
  <si>
    <t>845</t>
  </si>
  <si>
    <t>Cramorant</t>
  </si>
  <si>
    <t>846</t>
  </si>
  <si>
    <t>Arrokuda</t>
  </si>
  <si>
    <t>847</t>
  </si>
  <si>
    <t>Barraskewda</t>
  </si>
  <si>
    <t>848</t>
  </si>
  <si>
    <t>Toxel</t>
  </si>
  <si>
    <t>849</t>
  </si>
  <si>
    <t>849-l</t>
  </si>
  <si>
    <t>850</t>
  </si>
  <si>
    <t>Sizzlipede</t>
  </si>
  <si>
    <t>851</t>
  </si>
  <si>
    <t>Centiskorch</t>
  </si>
  <si>
    <t>852</t>
  </si>
  <si>
    <t>Clobbopus</t>
  </si>
  <si>
    <t>853</t>
  </si>
  <si>
    <t>Grapploct</t>
  </si>
  <si>
    <t>854</t>
  </si>
  <si>
    <t>Sinistea</t>
  </si>
  <si>
    <t>855</t>
  </si>
  <si>
    <t>Polteageist</t>
  </si>
  <si>
    <t>856</t>
  </si>
  <si>
    <t>Hatenna</t>
  </si>
  <si>
    <t>857</t>
  </si>
  <si>
    <t>Hattrem</t>
  </si>
  <si>
    <t>858</t>
  </si>
  <si>
    <t>Hatterene</t>
  </si>
  <si>
    <t>859</t>
  </si>
  <si>
    <t>Impidimp</t>
  </si>
  <si>
    <t>860</t>
  </si>
  <si>
    <t>Morgrem</t>
  </si>
  <si>
    <t>861</t>
  </si>
  <si>
    <t>Grimmsnarl</t>
  </si>
  <si>
    <t>862</t>
  </si>
  <si>
    <t>Obstagoon</t>
  </si>
  <si>
    <t>Perrserker</t>
  </si>
  <si>
    <t>864</t>
  </si>
  <si>
    <t>Cursola</t>
  </si>
  <si>
    <t>865</t>
  </si>
  <si>
    <t>Sirfetch'd</t>
  </si>
  <si>
    <t>866</t>
  </si>
  <si>
    <t>Mr. Rime</t>
  </si>
  <si>
    <t>867</t>
  </si>
  <si>
    <t>Runerigus</t>
  </si>
  <si>
    <t>868</t>
  </si>
  <si>
    <t>Milcery</t>
  </si>
  <si>
    <t>869</t>
  </si>
  <si>
    <t>870</t>
  </si>
  <si>
    <t>Falinks</t>
  </si>
  <si>
    <t>871</t>
  </si>
  <si>
    <t>Pincurchin</t>
  </si>
  <si>
    <t>872</t>
  </si>
  <si>
    <t>Snom</t>
  </si>
  <si>
    <t>873</t>
  </si>
  <si>
    <t>Frosmoth</t>
  </si>
  <si>
    <t>874</t>
  </si>
  <si>
    <t>Stonjourner</t>
  </si>
  <si>
    <t>875</t>
  </si>
  <si>
    <t>875-n</t>
  </si>
  <si>
    <t>Eiscue Noice Face</t>
  </si>
  <si>
    <t>876</t>
  </si>
  <si>
    <t>876-f</t>
  </si>
  <si>
    <t>877</t>
  </si>
  <si>
    <t>Morpeko Full Belly Mode</t>
  </si>
  <si>
    <t>877-h</t>
  </si>
  <si>
    <t>Morpeko Hangry Mode</t>
  </si>
  <si>
    <t>878</t>
  </si>
  <si>
    <t>Cufant</t>
  </si>
  <si>
    <t>879</t>
  </si>
  <si>
    <t>Copperajah</t>
  </si>
  <si>
    <t>880</t>
  </si>
  <si>
    <t>Dracozolt</t>
  </si>
  <si>
    <t>881</t>
  </si>
  <si>
    <t>Arctozolt</t>
  </si>
  <si>
    <t>882</t>
  </si>
  <si>
    <t>Dracovish</t>
  </si>
  <si>
    <t>883</t>
  </si>
  <si>
    <t>Arctovish</t>
  </si>
  <si>
    <t>884</t>
  </si>
  <si>
    <t>Duraludon</t>
  </si>
  <si>
    <t>885</t>
  </si>
  <si>
    <t>Dreepy</t>
  </si>
  <si>
    <t>886</t>
  </si>
  <si>
    <t>Drakloak</t>
  </si>
  <si>
    <t>887</t>
  </si>
  <si>
    <t>Dragapult</t>
  </si>
  <si>
    <t>888-c</t>
  </si>
  <si>
    <t>Zacian Crowned Sword</t>
  </si>
  <si>
    <t>Zacian Hero of Many Battles</t>
  </si>
  <si>
    <t>889-c</t>
  </si>
  <si>
    <t>Zamazenta Crowned Shield</t>
  </si>
  <si>
    <t>Zamazenta Hero of Many Battles</t>
  </si>
  <si>
    <t>890</t>
  </si>
  <si>
    <t>Eternatus</t>
  </si>
  <si>
    <t>890-e</t>
  </si>
  <si>
    <t>Eternatus Eternamax</t>
  </si>
  <si>
    <t>Kubfu</t>
  </si>
  <si>
    <t>892-r</t>
  </si>
  <si>
    <t>Zarude</t>
  </si>
  <si>
    <t>Regieleki</t>
  </si>
  <si>
    <t>Regidrago</t>
  </si>
  <si>
    <t>Glastrier</t>
  </si>
  <si>
    <t>Spectrier</t>
  </si>
  <si>
    <t>Calyrex</t>
  </si>
  <si>
    <t>898-i</t>
  </si>
  <si>
    <t>Calyrex Ice Rider</t>
  </si>
  <si>
    <t>898-s</t>
  </si>
  <si>
    <t>Calyrex Shadow Rider</t>
  </si>
  <si>
    <t>Wyrdeer</t>
  </si>
  <si>
    <t>Kleavor</t>
  </si>
  <si>
    <t>901-b</t>
  </si>
  <si>
    <t>902-f</t>
  </si>
  <si>
    <t>Basculegion-F</t>
  </si>
  <si>
    <t>Sneasler</t>
  </si>
  <si>
    <t>Overqwil</t>
  </si>
  <si>
    <t>905-t</t>
  </si>
  <si>
    <t>Sprigatito</t>
  </si>
  <si>
    <t>Floragato</t>
  </si>
  <si>
    <t>Meowscarada</t>
  </si>
  <si>
    <t>Fuecoco</t>
  </si>
  <si>
    <t>Crocalor</t>
  </si>
  <si>
    <t>Quaxly</t>
  </si>
  <si>
    <t>Quaxwell</t>
  </si>
  <si>
    <t>Quaquaval</t>
  </si>
  <si>
    <t>Lechonk</t>
  </si>
  <si>
    <t>916-f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</si>
  <si>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</si>
  <si>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</si>
  <si>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</si>
  <si>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</si>
  <si>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</si>
  <si>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</si>
  <si>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</si>
  <si>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</si>
  <si>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Fidough</t>
  </si>
  <si>
    <t>Dachsbun</t>
  </si>
  <si>
    <t>Smoliv</t>
  </si>
  <si>
    <t>Dolliv</t>
  </si>
  <si>
    <t>Arboliva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</si>
  <si>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</si>
  <si>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</si>
  <si>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</si>
  <si>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</si>
  <si>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</si>
  <si>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</si>
  <si>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</si>
  <si>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</si>
  <si>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</si>
  <si>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</si>
  <si>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</si>
  <si>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</si>
  <si>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</si>
  <si>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</si>
  <si>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</si>
  <si>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</si>
  <si>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</si>
  <si>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</si>
  <si>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</si>
  <si>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</si>
  <si>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</si>
  <si>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</si>
  <si>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</si>
  <si>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</si>
  <si>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</si>
  <si>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</si>
  <si>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</si>
  <si>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</si>
  <si>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</si>
  <si>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960-b</t>
  </si>
  <si>
    <t>960-y</t>
  </si>
  <si>
    <t>960-w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</si>
  <si>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</si>
  <si>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</si>
  <si>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</si>
  <si>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</si>
  <si>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</si>
  <si>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</si>
  <si>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</si>
  <si>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</si>
  <si>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</si>
  <si>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</si>
  <si>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</si>
  <si>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</si>
  <si>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</si>
  <si>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</si>
  <si>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</si>
  <si>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</si>
  <si>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976-r</t>
  </si>
  <si>
    <t>Gimmighoul Roaming</t>
  </si>
  <si>
    <t>Dondozo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</si>
  <si>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</si>
  <si>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</si>
  <si>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</si>
  <si>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</si>
  <si>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</si>
  <si>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</si>
  <si>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</si>
  <si>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</si>
  <si>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</si>
  <si>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</si>
  <si>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</si>
  <si>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</si>
  <si>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</si>
  <si>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</si>
  <si>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</si>
  <si>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</si>
  <si>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</si>
  <si>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</si>
  <si>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</si>
  <si>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</si>
  <si>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</si>
  <si>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</si>
  <si>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</si>
  <si>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</si>
  <si>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</si>
  <si>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</si>
  <si>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</si>
  <si>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</si>
  <si>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</si>
  <si>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</si>
  <si>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</si>
  <si>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Okidogi</t>
  </si>
  <si>
    <t>Munkidori</t>
  </si>
  <si>
    <t>Fezandipiti</t>
  </si>
  <si>
    <t>1017-w</t>
  </si>
  <si>
    <t>1017-h</t>
  </si>
  <si>
    <t>1017-c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</si>
  <si>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</si>
  <si>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</si>
  <si>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</si>
  <si>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</si>
  <si>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</si>
  <si>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</si>
  <si>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</si>
  <si>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</si>
  <si>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Best Matchups</t>
  </si>
  <si>
    <t>Worst Matchups</t>
  </si>
  <si>
    <t>games</t>
  </si>
  <si>
    <t>Choose 
up to 3 Pokemon 
to view individual 
Matchup Data</t>
  </si>
  <si>
    <t>Matchup Selection</t>
  </si>
  <si>
    <t>PALKIA Academy Showdown Reporting Spreadsheet</t>
  </si>
  <si>
    <t>A Project By Bauerdad</t>
  </si>
  <si>
    <t>BauerdadVGC</t>
  </si>
  <si>
    <t>Feel free to reach out to me via Twitter/Discord if you have any questions or comments about this project!</t>
  </si>
  <si>
    <t>Bauerdad</t>
  </si>
  <si>
    <t>PALKIA Academy</t>
  </si>
  <si>
    <t>New: Support me on Ko-Fi</t>
  </si>
  <si>
    <t>PASRS</t>
  </si>
  <si>
    <t>Ver 4.3, (MAR 1, '24)</t>
  </si>
  <si>
    <t>Version History &amp; Update Links:</t>
  </si>
  <si>
    <t>https://pastebin.com/raw/TNSWxDAw</t>
  </si>
  <si>
    <t>Tips and Tricks</t>
  </si>
  <si>
    <t xml:space="preserve"> * Be sure to use a consistent team and a paste to match (even nicknames) for every game!
 * When you're ready to make changes to your team, Make a new copy of this spreadsheet and start using the new paste there!</t>
  </si>
  <si>
    <t>Current Limitations</t>
  </si>
  <si>
    <t xml:space="preserve"> * Pokepastes with fewer than 6 Pokemon are not supported 
 * PASRS is only tested for VGC Doubles on Pokemon Showdown. Other formats are not supported.
 * Hisuian-Zoroark needs some extra fixes to work better
 * Urshifu won't work on "Pokemon Used" filter, but DOES on the lead/back filter
 * Ditto is not supported (I am not prepared for the headache at this time)
 * Paldean-Wooper and Flabebe are not supported (they break the paste-reading function)</t>
  </si>
  <si>
    <t>Opp Mons Unsorted</t>
  </si>
  <si>
    <t># Games Faced</t>
  </si>
  <si>
    <t># Games Beaten</t>
  </si>
  <si>
    <t>AN for mons</t>
  </si>
  <si>
    <t>BF for win</t>
  </si>
  <si>
    <t>AN and AO are player leads</t>
  </si>
  <si>
    <t>CV Tera Mon</t>
  </si>
  <si>
    <t>CW Tera Type</t>
  </si>
  <si>
    <t>Totals</t>
  </si>
  <si>
    <t>Games Played</t>
  </si>
  <si>
    <t>Tera</t>
  </si>
  <si>
    <t>Games Won</t>
  </si>
  <si>
    <t>Usage Stats</t>
  </si>
  <si>
    <t>Times Used</t>
  </si>
  <si>
    <t>Times Won</t>
  </si>
  <si>
    <t>Usage</t>
  </si>
  <si>
    <t>Tera Count</t>
  </si>
  <si>
    <t>Tera AND win</t>
  </si>
  <si>
    <t>Tera WinRate</t>
  </si>
  <si>
    <t>Games Lost</t>
  </si>
  <si>
    <t>Win %</t>
  </si>
  <si>
    <t>Lead Stats</t>
  </si>
  <si>
    <t>Times LED</t>
  </si>
  <si>
    <t>Lead Wins</t>
  </si>
  <si>
    <t>WR% as Lead</t>
  </si>
  <si>
    <t>% as Lead</t>
  </si>
  <si>
    <t>OTS Stuff</t>
  </si>
  <si>
    <t>OTS win %</t>
  </si>
  <si>
    <t>CTS win %</t>
  </si>
  <si>
    <t>Total OTS count</t>
  </si>
  <si>
    <t>Total CTS count</t>
  </si>
  <si>
    <t>OTS win count</t>
  </si>
  <si>
    <t>OTS lose count</t>
  </si>
  <si>
    <t>CTS win count</t>
  </si>
  <si>
    <t>CTS lose count</t>
  </si>
  <si>
    <t>P1 Name and Mons</t>
  </si>
  <si>
    <t>P2 Name and Mons</t>
  </si>
  <si>
    <t>Leads</t>
  </si>
  <si>
    <t>Start ELO</t>
  </si>
  <si>
    <t>End ELO</t>
  </si>
  <si>
    <t>USAGE of MONS</t>
  </si>
  <si>
    <t>&lt;- DATA</t>
  </si>
  <si>
    <t>CALCS -&gt;</t>
  </si>
  <si>
    <t>Player Mon 1</t>
  </si>
  <si>
    <t>Player Mon 2</t>
  </si>
  <si>
    <t>Player Mon 3</t>
  </si>
  <si>
    <t>Player Mon 4</t>
  </si>
  <si>
    <t xml:space="preserve">Player Lead </t>
  </si>
  <si>
    <t>Player Lead</t>
  </si>
  <si>
    <t>Opp Lead</t>
  </si>
  <si>
    <t>Opp Back</t>
  </si>
  <si>
    <t>PLAYER NUMBER</t>
  </si>
  <si>
    <t>Player Tera</t>
  </si>
  <si>
    <t>Player Tera Type</t>
  </si>
  <si>
    <t>Opp Tera</t>
  </si>
  <si>
    <t>Opp Tera Type</t>
  </si>
  <si>
    <t>OPP NAME</t>
  </si>
  <si>
    <t>P1 Moves start</t>
  </si>
  <si>
    <t>P1 Moves End</t>
  </si>
  <si>
    <t>P2 Moves Start</t>
  </si>
  <si>
    <t>P2 Moves end</t>
  </si>
  <si>
    <t>PLAYERS RANGE</t>
  </si>
  <si>
    <t>$ CLEAN</t>
  </si>
  <si>
    <t>PLAYER ELO</t>
  </si>
  <si>
    <t>OPP ELO</t>
  </si>
  <si>
    <t>Replays</t>
  </si>
  <si>
    <t>Player 1</t>
  </si>
  <si>
    <t>Pokémon 1</t>
  </si>
  <si>
    <t>Pokémon 2</t>
  </si>
  <si>
    <t>Pokémon 3</t>
  </si>
  <si>
    <t>Pokémon 4</t>
  </si>
  <si>
    <t>Pokémon 5</t>
  </si>
  <si>
    <t>Pokémon 6</t>
  </si>
  <si>
    <t>Player 2</t>
  </si>
  <si>
    <t>P1 Tera</t>
  </si>
  <si>
    <t>P1 Tera Type</t>
  </si>
  <si>
    <t>P2 Tera</t>
  </si>
  <si>
    <t>P2 Tera Type</t>
  </si>
  <si>
    <t>P1 Lead</t>
  </si>
  <si>
    <t>P2 Lead</t>
  </si>
  <si>
    <t>NUM BATT LINES</t>
  </si>
  <si>
    <t>P1</t>
  </si>
  <si>
    <t>P2</t>
  </si>
  <si>
    <t>P1 - 1</t>
  </si>
  <si>
    <t>P1 - 2</t>
  </si>
  <si>
    <t>P1 - 3</t>
  </si>
  <si>
    <t>P1 - 4</t>
  </si>
  <si>
    <t>P2 - 1</t>
  </si>
  <si>
    <t>P2 - 2</t>
  </si>
  <si>
    <t>P2 - 3</t>
  </si>
  <si>
    <t>P2 - 4</t>
  </si>
  <si>
    <t>Is player?</t>
  </si>
  <si>
    <t>DoByG</t>
  </si>
  <si>
    <t>cts</t>
  </si>
  <si>
    <t>1032</t>
  </si>
  <si>
    <t>1037</t>
  </si>
  <si>
    <t>1017</t>
  </si>
  <si>
    <t>1071</t>
  </si>
  <si>
    <t/>
  </si>
  <si>
    <t>P1 MOVES START</t>
  </si>
  <si>
    <t>Alcremie:Baby-Doll Eyes:2</t>
  </si>
  <si>
    <t>Salamence:Dragon Dance:2</t>
  </si>
  <si>
    <t>Salamence:Dragon Claw:2</t>
  </si>
  <si>
    <t>Salamence:Dual Wingbeat:1</t>
  </si>
  <si>
    <t>Skeledirge:Will-O-Wisp:1</t>
  </si>
  <si>
    <t>Weavile:Fake Out:1</t>
  </si>
  <si>
    <t>P1 MOVES END</t>
  </si>
  <si>
    <t>P2 MOVES START</t>
  </si>
  <si>
    <t>Hitmonlee:Fake Out:1</t>
  </si>
  <si>
    <t>Hitmonlee:Coaching:2</t>
  </si>
  <si>
    <t>Hitmonlee:Low Sweep:1</t>
  </si>
  <si>
    <t>Gyarados:Dragon Dance:1</t>
  </si>
  <si>
    <t>Gyarados:Protect:2</t>
  </si>
  <si>
    <t>Gyarados:Waterfall:2</t>
  </si>
  <si>
    <t>Gyarados:Tera Blast:2</t>
  </si>
  <si>
    <t>Clefable:Follow Me:2</t>
  </si>
  <si>
    <t>Dragonite:Extreme Speed:3</t>
  </si>
  <si>
    <t>P2 MOVES END</t>
  </si>
  <si>
    <t>diogo10egas</t>
  </si>
  <si>
    <t>1076</t>
  </si>
  <si>
    <t>1007</t>
  </si>
  <si>
    <t>1100</t>
  </si>
  <si>
    <t>Salamence:Dragon Dance:1</t>
  </si>
  <si>
    <t>Alcremie:Decorate:1</t>
  </si>
  <si>
    <t>Alcremie:Calm Mind:1</t>
  </si>
  <si>
    <t>Gholdengo:Make It Rain:4</t>
  </si>
  <si>
    <t>Weavile:Protect:1</t>
  </si>
  <si>
    <t>Weavile:Ice Spinner:1</t>
  </si>
  <si>
    <t>Weavile:Foul Play:1</t>
  </si>
  <si>
    <t>Annihilape:Protect:1</t>
  </si>
  <si>
    <t>Annihilape:Drain Punch:2</t>
  </si>
  <si>
    <t>Annihilape:Rage Fist:1</t>
  </si>
  <si>
    <t>Umbreon:Skill Swap:1</t>
  </si>
  <si>
    <t>Umbreon:Foul Play:1</t>
  </si>
  <si>
    <t>Archaludon:Heavy Slam:1</t>
  </si>
  <si>
    <t>Ogerpon:Spiky Shield:1</t>
  </si>
  <si>
    <t>Ogerpon:Follow Me:1</t>
  </si>
  <si>
    <t>Ogerpon:Ivy Cudgel:1</t>
  </si>
  <si>
    <t>Larateamo</t>
  </si>
  <si>
    <t>Urshifu-*</t>
  </si>
  <si>
    <t>1000</t>
  </si>
  <si>
    <t>1041</t>
  </si>
  <si>
    <t>Skeledirge:Torch Song:1</t>
  </si>
  <si>
    <t>Skeledirge:Tera Blast:1</t>
  </si>
  <si>
    <t>Exeggutor:Draco Meteor:2</t>
  </si>
  <si>
    <t>Urshifu:Surging Strikes:2</t>
  </si>
  <si>
    <t>Raging Bolt:Snarl:1</t>
  </si>
  <si>
    <t>Raging Bolt:Draco Meteor:1</t>
  </si>
  <si>
    <t>Raging Bolt:Electroweb:1</t>
  </si>
  <si>
    <t>Incineroar:Fake Out:1</t>
  </si>
  <si>
    <t>Incineroar:Flare Blitz:1</t>
  </si>
  <si>
    <t>Incineroar:Knock Off:2</t>
  </si>
  <si>
    <t>Amoonguss:Sludge Bomb:2</t>
  </si>
  <si>
    <t>thaoss</t>
  </si>
  <si>
    <t>1040</t>
  </si>
  <si>
    <t>Salamence:Protect:1</t>
  </si>
  <si>
    <t>Alcremie:Draining Kiss:1</t>
  </si>
  <si>
    <t>Skeledirge:Protect:1</t>
  </si>
  <si>
    <t>Skeledirge:Torch Song:2</t>
  </si>
  <si>
    <t>Weavile:Ice Spinner:2</t>
  </si>
  <si>
    <t>Urshifu:U-turn:1</t>
  </si>
  <si>
    <t>Urshifu:Close Combat:1</t>
  </si>
  <si>
    <t>Farigiraf:Trick Room:1</t>
  </si>
  <si>
    <t>Farigiraf:Dazzling Gleam:3</t>
  </si>
  <si>
    <t>Farigiraf:Helping Hand:2</t>
  </si>
  <si>
    <t>Farigiraf:Psychic Noise:1</t>
  </si>
  <si>
    <t>Ursaluna:Hyper Voice:1</t>
  </si>
  <si>
    <t>Incineroar:Flare Blitz:2</t>
  </si>
  <si>
    <t>Sheet Ref is:</t>
  </si>
  <si>
    <t>Base Data</t>
  </si>
  <si>
    <t>MOVE DATA DUMP</t>
  </si>
  <si>
    <t>POKEMON</t>
  </si>
  <si>
    <t>MOVE</t>
  </si>
  <si>
    <t>COUNT</t>
  </si>
  <si>
    <t>AS A NUM</t>
  </si>
  <si>
    <t>Baby-Doll Eyes</t>
  </si>
  <si>
    <t>Protect</t>
  </si>
  <si>
    <t>Draco Meteor</t>
  </si>
  <si>
    <t>Calm Mind</t>
  </si>
  <si>
    <t>Will-O-Wisp</t>
  </si>
  <si>
    <t>Ancient Power</t>
  </si>
  <si>
    <t>Draining Kiss</t>
  </si>
  <si>
    <t>Tera Blast</t>
  </si>
  <si>
    <t>Sunny Day</t>
  </si>
  <si>
    <t>Ice Spinner</t>
  </si>
  <si>
    <t>Flash Cannon</t>
  </si>
  <si>
    <t>Shadow Ball</t>
  </si>
  <si>
    <t>Dragon Claw</t>
  </si>
  <si>
    <t>Foul Play</t>
  </si>
  <si>
    <t>Power Gem</t>
  </si>
  <si>
    <t>Dual Wingbeat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</si>
</sst>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rgb="FFF7EFE8"/>
      <name val="Arial"/>
      <scheme val="minor"/>
    </font>
    <font>
      <b/>
      <sz val="15.0"/>
      <color rgb="FFF7EFE8"/>
      <name val="Lexend"/>
    </font>
    <font/>
    <font>
      <b/>
      <sz val="11.0"/>
      <color rgb="FFFF0000"/>
      <name val="Arial"/>
      <scheme val="minor"/>
    </font>
    <font>
      <b/>
      <sz val="12.0"/>
      <color theme="1"/>
      <name val="Arial"/>
      <scheme val="minor"/>
    </font>
    <font>
      <sz val="9.0"/>
      <color theme="1"/>
      <name val="Arial"/>
      <scheme val="minor"/>
    </font>
    <font>
      <b/>
      <sz val="8.0"/>
      <color theme="1"/>
      <name val="Arial"/>
      <scheme val="minor"/>
    </font>
    <font>
      <b/>
      <u/>
      <sz val="13.0"/>
      <color rgb="FF0000FF"/>
    </font>
    <font>
      <color theme="1"/>
      <name val="Arial"/>
      <scheme val="minor"/>
    </font>
    <font>
      <sz val="12.0"/>
      <color rgb="FF666666"/>
      <name val="Lexend"/>
    </font>
    <font>
      <u/>
      <sz val="8.0"/>
      <color rgb="FF0000FF"/>
      <name val="Oswald"/>
    </font>
    <font>
      <sz val="8.0"/>
      <color theme="1"/>
      <name val="Oswald"/>
    </font>
    <font>
      <sz val="13.0"/>
      <color theme="1"/>
      <name val="Oswald"/>
    </font>
    <font>
      <sz val="8.0"/>
      <color theme="1"/>
      <name val="Lexend"/>
    </font>
    <font>
      <u/>
      <sz val="8.0"/>
      <color rgb="FF1155CC"/>
      <name val="Oswald"/>
    </font>
    <font>
      <u/>
      <sz val="8.0"/>
      <color rgb="FF1155CC"/>
      <name val="Oswald"/>
    </font>
    <font>
      <u/>
      <sz val="8.0"/>
      <color rgb="FF1155CC"/>
      <name val="Oswald"/>
    </font>
    <font>
      <sz val="13.0"/>
      <color rgb="FF1155CC"/>
      <name val="Oswald"/>
    </font>
    <font>
      <u/>
      <sz val="8.0"/>
      <color rgb="FF1155CC"/>
      <name val="Oswald"/>
    </font>
    <font>
      <u/>
      <sz val="8.0"/>
      <color rgb="FF1155CC"/>
      <name val="Lexend"/>
    </font>
    <font>
      <u/>
      <sz val="8.0"/>
      <color rgb="FF1155CC"/>
      <name val="Lexend"/>
    </font>
    <font>
      <u/>
      <sz val="8.0"/>
      <color rgb="FF1155CC"/>
      <name val="Oswald"/>
    </font>
    <font>
      <u/>
      <sz val="8.0"/>
      <color rgb="FF1155CC"/>
      <name val="Oswald"/>
    </font>
    <font>
      <u/>
      <sz val="8.0"/>
      <color rgb="FF1155CC"/>
      <name val="Lexend"/>
    </font>
    <font>
      <u/>
      <sz val="8.0"/>
      <color rgb="FF1155CC"/>
      <name val="Lexend"/>
    </font>
    <font>
      <u/>
      <sz val="8.0"/>
      <color rgb="FF1155CC"/>
      <name val="Lexend"/>
    </font>
    <font>
      <u/>
      <sz val="8.0"/>
      <color rgb="FF1155CC"/>
      <name val="Lexend"/>
    </font>
    <font>
      <b/>
      <color theme="1"/>
      <name val="Arial"/>
      <scheme val="minor"/>
    </font>
    <font>
      <b/>
      <color rgb="FF980000"/>
      <name val="Arial"/>
      <scheme val="minor"/>
    </font>
    <font>
      <sz val="11.0"/>
      <color rgb="FF000000"/>
      <name val="Inconsolata"/>
    </font>
    <font>
      <b/>
      <color rgb="FFFF9900"/>
      <name val="Arial"/>
      <scheme val="minor"/>
    </font>
    <font>
      <b/>
      <color rgb="FFF7981D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b/>
      <sz val="9.0"/>
      <color theme="1"/>
      <name val="Arial"/>
      <scheme val="minor"/>
    </font>
    <font>
      <b/>
      <sz val="13.0"/>
      <color rgb="FFFF0000"/>
      <name val="Lexend"/>
    </font>
    <font>
      <b/>
      <color theme="1"/>
      <name val="Lexend"/>
    </font>
    <font>
      <color theme="1"/>
      <name val="Lexend"/>
    </font>
    <font>
      <sz val="14.0"/>
      <color theme="1"/>
      <name val="Lexend"/>
    </font>
    <font>
      <sz val="9.0"/>
      <color rgb="FFF7981D"/>
      <name val="&quot;Google Sans Mono&quot;"/>
    </font>
    <font>
      <sz val="6.0"/>
      <color theme="1"/>
      <name val="Lexend"/>
    </font>
    <font>
      <sz val="6.0"/>
      <color theme="1"/>
      <name val="Arial"/>
      <scheme val="minor"/>
    </font>
    <font>
      <b/>
      <sz val="12.0"/>
      <color theme="1"/>
      <name val="Lexend"/>
    </font>
    <font>
      <b/>
      <sz val="13.0"/>
      <color theme="1"/>
      <name val="Lexend"/>
    </font>
    <font>
      <b/>
      <sz val="20.0"/>
      <color theme="1"/>
      <name val="Arial"/>
      <scheme val="minor"/>
    </font>
    <font>
      <sz val="9.0"/>
      <color rgb="FF000000"/>
      <name val="&quot;Google Sans Mono&quot;"/>
    </font>
    <font>
      <color rgb="FF000000"/>
      <name val="Roboto"/>
    </font>
    <font>
      <sz val="11.0"/>
      <color theme="1"/>
      <name val="Calibri"/>
    </font>
    <font>
      <color theme="1"/>
      <name val="Arial"/>
    </font>
    <font>
      <color theme="1"/>
      <name val="Roboto"/>
    </font>
    <font>
      <b/>
      <color theme="1"/>
      <name val="Roboto"/>
    </font>
    <font>
      <b/>
      <sz val="11.0"/>
      <color theme="1"/>
      <name val="Roboto"/>
    </font>
    <font>
      <b/>
      <i/>
      <color rgb="FF666666"/>
      <name val="Arial"/>
      <scheme val="minor"/>
    </font>
    <font>
      <b/>
      <sz val="21.0"/>
      <color theme="1"/>
      <name val="Lexend"/>
    </font>
    <font>
      <sz val="11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rgb="FF000000"/>
      <name val="Inconsolata"/>
    </font>
    <font>
      <b/>
      <u/>
      <sz val="18.0"/>
      <color rgb="FF0000FF"/>
      <name val="Lexend"/>
    </font>
    <font>
      <b/>
      <sz val="12.0"/>
      <color rgb="FF5079B2"/>
      <name val="Lexend"/>
    </font>
    <font>
      <b/>
      <sz val="18.0"/>
      <color theme="1"/>
      <name val="Lexend"/>
    </font>
    <font>
      <b/>
      <u/>
      <sz val="15.0"/>
      <color rgb="FF6AA84F"/>
      <name val="Lexend"/>
    </font>
    <font>
      <b/>
      <sz val="12.0"/>
      <color rgb="FFE06666"/>
      <name val="Lexend"/>
    </font>
    <font>
      <b/>
      <u/>
      <sz val="12.0"/>
      <color rgb="FF0000FF"/>
    </font>
    <font>
      <b/>
      <sz val="9.0"/>
      <color rgb="FF000000"/>
      <name val="&quot;Google Sans Mono&quot;"/>
    </font>
    <font>
      <color theme="1"/>
      <name val="Nunito"/>
    </font>
    <font>
      <b/>
      <color rgb="FFFF0000"/>
      <name val="Nunito"/>
    </font>
    <font>
      <color rgb="FFFF9900"/>
      <name val="Nunito"/>
    </font>
    <font>
      <sz val="11.0"/>
      <color rgb="FFF7981D"/>
      <name val="Inconsolata"/>
    </font>
    <font>
      <i/>
      <color rgb="FF666666"/>
      <name val="Arial"/>
      <scheme val="minor"/>
    </font>
    <font>
      <i/>
      <sz val="9.0"/>
      <color rgb="FF666666"/>
      <name val="&quot;Google Sans Mono&quot;"/>
    </font>
  </fonts>
  <fills count="31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7CB4D"/>
        <bgColor rgb="FFF7CB4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5079B2"/>
        <bgColor rgb="FF5079B2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38761D"/>
      </left>
    </border>
    <border>
      <right style="thick">
        <color rgb="FF38761D"/>
      </right>
    </border>
    <border>
      <top style="thin">
        <color rgb="FF000000"/>
      </top>
    </border>
    <border>
      <left style="medium">
        <color rgb="FFBF9000"/>
      </left>
      <top style="thin">
        <color rgb="FF000000"/>
      </top>
    </border>
    <border>
      <left style="medium">
        <color rgb="FFBF9000"/>
      </lef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top style="thick">
        <color rgb="FFB6D7A8"/>
      </top>
    </border>
    <border>
      <left style="thick">
        <color rgb="FF5079B2"/>
      </left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vertical="center"/>
    </xf>
    <xf borderId="2" fillId="2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2" fontId="2" numFmtId="0" xfId="0" applyAlignment="1" applyBorder="1" applyFont="1">
      <alignment horizontal="right" readingOrder="0" vertical="center"/>
    </xf>
    <xf borderId="0" fillId="0" fontId="5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left" readingOrder="0" vertical="center"/>
    </xf>
    <xf borderId="3" fillId="0" fontId="4" numFmtId="0" xfId="0" applyBorder="1" applyFont="1"/>
    <xf borderId="4" fillId="3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2" fillId="4" fontId="9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5" fillId="5" fontId="10" numFmtId="0" xfId="0" applyAlignment="1" applyBorder="1" applyFill="1" applyFont="1">
      <alignment horizontal="center" vertical="center"/>
    </xf>
    <xf borderId="0" fillId="5" fontId="10" numFmtId="0" xfId="0" applyAlignment="1" applyFont="1">
      <alignment horizontal="center" vertical="center"/>
    </xf>
    <xf borderId="6" fillId="5" fontId="10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0" fillId="0" fontId="10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 vertical="center"/>
    </xf>
    <xf borderId="2" fillId="6" fontId="4" numFmtId="0" xfId="0" applyBorder="1" applyFont="1"/>
    <xf borderId="2" fillId="7" fontId="1" numFmtId="0" xfId="0" applyAlignment="1" applyBorder="1" applyFill="1" applyFont="1">
      <alignment horizontal="center" readingOrder="0" vertical="center"/>
    </xf>
    <xf borderId="3" fillId="6" fontId="4" numFmtId="0" xfId="0" applyBorder="1" applyFont="1"/>
    <xf borderId="0" fillId="6" fontId="1" numFmtId="0" xfId="0" applyAlignment="1" applyFont="1">
      <alignment horizontal="center" readingOrder="0" vertical="center"/>
    </xf>
    <xf borderId="0" fillId="8" fontId="11" numFmtId="0" xfId="0" applyAlignment="1" applyFill="1" applyFont="1">
      <alignment horizontal="right" readingOrder="0" vertical="center"/>
    </xf>
    <xf borderId="0" fillId="8" fontId="12" numFmtId="0" xfId="0" applyAlignment="1" applyFont="1">
      <alignment readingOrder="0" shrinkToFit="0" vertical="bottom" wrapText="0"/>
    </xf>
    <xf borderId="7" fillId="8" fontId="13" numFmtId="0" xfId="0" applyAlignment="1" applyBorder="1" applyFont="1">
      <alignment vertical="bottom"/>
    </xf>
    <xf borderId="7" fillId="8" fontId="14" numFmtId="0" xfId="0" applyAlignment="1" applyBorder="1" applyFont="1">
      <alignment horizontal="center" vertical="center"/>
    </xf>
    <xf borderId="8" fillId="8" fontId="15" numFmtId="0" xfId="0" applyAlignment="1" applyBorder="1" applyFont="1">
      <alignment readingOrder="0" shrinkToFit="0" vertical="top" wrapText="1"/>
    </xf>
    <xf borderId="7" fillId="8" fontId="4" numFmtId="0" xfId="0" applyBorder="1" applyFont="1"/>
    <xf borderId="0" fillId="8" fontId="15" numFmtId="0" xfId="0" applyAlignment="1" applyFont="1">
      <alignment readingOrder="0" shrinkToFit="0" vertical="top" wrapText="1"/>
    </xf>
    <xf borderId="0" fillId="9" fontId="16" numFmtId="0" xfId="0" applyAlignment="1" applyFill="1" applyFont="1">
      <alignment readingOrder="0" shrinkToFit="0" vertical="bottom" wrapText="0"/>
    </xf>
    <xf borderId="0" fillId="9" fontId="13" numFmtId="0" xfId="0" applyAlignment="1" applyFont="1">
      <alignment vertical="bottom"/>
    </xf>
    <xf borderId="0" fillId="9" fontId="14" numFmtId="0" xfId="0" applyAlignment="1" applyFont="1">
      <alignment horizontal="center" vertical="center"/>
    </xf>
    <xf borderId="9" fillId="9" fontId="15" numFmtId="0" xfId="0" applyAlignment="1" applyBorder="1" applyFont="1">
      <alignment readingOrder="0" shrinkToFit="0" vertical="bottom" wrapText="1"/>
    </xf>
    <xf borderId="0" fillId="9" fontId="15" numFmtId="0" xfId="0" applyAlignment="1" applyFont="1">
      <alignment readingOrder="0" shrinkToFit="0" vertical="bottom" wrapText="1"/>
    </xf>
    <xf borderId="0" fillId="8" fontId="17" numFmtId="0" xfId="0" applyAlignment="1" applyFont="1">
      <alignment readingOrder="0" shrinkToFit="0" vertical="bottom" wrapText="0"/>
    </xf>
    <xf borderId="0" fillId="8" fontId="13" numFmtId="0" xfId="0" applyAlignment="1" applyFont="1">
      <alignment vertical="bottom"/>
    </xf>
    <xf borderId="0" fillId="8" fontId="14" numFmtId="0" xfId="0" applyAlignment="1" applyFont="1">
      <alignment horizontal="center" vertical="center"/>
    </xf>
    <xf borderId="9" fillId="8" fontId="15" numFmtId="0" xfId="0" applyAlignment="1" applyBorder="1" applyFont="1">
      <alignment readingOrder="0" shrinkToFit="0" vertical="bottom" wrapText="1"/>
    </xf>
    <xf borderId="0" fillId="8" fontId="15" numFmtId="0" xfId="0" applyAlignment="1" applyFont="1">
      <alignment readingOrder="0" shrinkToFit="0" vertical="bottom" wrapText="1"/>
    </xf>
    <xf borderId="0" fillId="8" fontId="13" numFmtId="0" xfId="0" applyAlignment="1" applyFont="1">
      <alignment readingOrder="0" shrinkToFit="0" vertical="bottom" wrapText="0"/>
    </xf>
    <xf borderId="0" fillId="9" fontId="13" numFmtId="0" xfId="0" applyAlignment="1" applyFont="1">
      <alignment readingOrder="0" shrinkToFit="0" vertical="bottom" wrapText="0"/>
    </xf>
    <xf borderId="0" fillId="8" fontId="18" numFmtId="0" xfId="0" applyAlignment="1" applyFont="1">
      <alignment vertical="bottom"/>
    </xf>
    <xf borderId="0" fillId="8" fontId="19" numFmtId="0" xfId="0" applyAlignment="1" applyFont="1">
      <alignment horizontal="center" vertical="center"/>
    </xf>
    <xf borderId="0" fillId="8" fontId="15" numFmtId="0" xfId="0" applyAlignment="1" applyFont="1">
      <alignment readingOrder="0" shrinkToFit="0" vertical="bottom" wrapText="1"/>
    </xf>
    <xf borderId="0" fillId="9" fontId="13" numFmtId="0" xfId="0" applyAlignment="1" applyFont="1">
      <alignment readingOrder="0" vertical="bottom"/>
    </xf>
    <xf borderId="0" fillId="9" fontId="20" numFmtId="0" xfId="0" applyAlignment="1" applyFont="1">
      <alignment vertical="bottom"/>
    </xf>
    <xf borderId="0" fillId="9" fontId="19" numFmtId="0" xfId="0" applyAlignment="1" applyFont="1">
      <alignment horizontal="center" vertical="center"/>
    </xf>
    <xf borderId="9" fillId="9" fontId="21" numFmtId="0" xfId="0" applyAlignment="1" applyBorder="1" applyFont="1">
      <alignment readingOrder="0" shrinkToFit="0" vertical="bottom" wrapText="1"/>
    </xf>
    <xf borderId="0" fillId="9" fontId="22" numFmtId="0" xfId="0" applyAlignment="1" applyFont="1">
      <alignment readingOrder="0" shrinkToFit="0" vertical="bottom" wrapText="1"/>
    </xf>
    <xf borderId="0" fillId="8" fontId="23" numFmtId="0" xfId="0" applyAlignment="1" applyFont="1">
      <alignment readingOrder="0" vertical="bottom"/>
    </xf>
    <xf borderId="0" fillId="9" fontId="24" numFmtId="0" xfId="0" applyAlignment="1" applyFont="1">
      <alignment readingOrder="0" vertical="bottom"/>
    </xf>
    <xf borderId="0" fillId="9" fontId="15" numFmtId="0" xfId="0" applyAlignment="1" applyFont="1">
      <alignment readingOrder="0" shrinkToFit="0" vertical="bottom" wrapText="1"/>
    </xf>
    <xf borderId="0" fillId="8" fontId="15" numFmtId="0" xfId="0" applyAlignment="1" applyFont="1">
      <alignment shrinkToFit="0" vertical="bottom" wrapText="1"/>
    </xf>
    <xf borderId="0" fillId="9" fontId="25" numFmtId="0" xfId="0" applyAlignment="1" applyFont="1">
      <alignment shrinkToFit="0" vertical="bottom" wrapText="1"/>
    </xf>
    <xf borderId="0" fillId="8" fontId="26" numFmtId="0" xfId="0" applyAlignment="1" applyFont="1">
      <alignment shrinkToFit="0" vertical="bottom" wrapText="1"/>
    </xf>
    <xf borderId="9" fillId="8" fontId="15" numFmtId="0" xfId="0" applyAlignment="1" applyBorder="1" applyFont="1">
      <alignment shrinkToFit="0" vertical="bottom" wrapText="1"/>
    </xf>
    <xf borderId="0" fillId="9" fontId="15" numFmtId="0" xfId="0" applyAlignment="1" applyFont="1">
      <alignment shrinkToFit="0" vertical="bottom" wrapText="1"/>
    </xf>
    <xf borderId="9" fillId="8" fontId="27" numFmtId="0" xfId="0" applyAlignment="1" applyBorder="1" applyFont="1">
      <alignment shrinkToFit="0" vertical="bottom" wrapText="1"/>
    </xf>
    <xf borderId="9" fillId="9" fontId="28" numFmtId="0" xfId="0" applyAlignment="1" applyBorder="1" applyFont="1">
      <alignment shrinkToFit="0" vertical="bottom" wrapText="1"/>
    </xf>
    <xf borderId="9" fillId="9" fontId="15" numFmtId="0" xfId="0" applyAlignment="1" applyBorder="1" applyFont="1">
      <alignment shrinkToFit="0" vertical="bottom" wrapText="1"/>
    </xf>
    <xf borderId="0" fillId="0" fontId="2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Font="1"/>
    <xf borderId="0" fillId="0" fontId="30" numFmtId="0" xfId="0" applyFont="1"/>
    <xf borderId="0" fillId="8" fontId="31" numFmtId="0" xfId="0" applyFont="1"/>
    <xf borderId="0" fillId="10" fontId="29" numFmtId="0" xfId="0" applyFill="1" applyFont="1"/>
    <xf borderId="0" fillId="11" fontId="10" numFmtId="0" xfId="0" applyFill="1" applyFont="1"/>
    <xf borderId="0" fillId="0" fontId="32" numFmtId="0" xfId="0" applyAlignment="1" applyFont="1">
      <alignment readingOrder="0" vertical="center"/>
    </xf>
    <xf borderId="0" fillId="0" fontId="33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top"/>
    </xf>
    <xf borderId="0" fillId="0" fontId="10" numFmtId="0" xfId="0" applyAlignment="1" applyFont="1">
      <alignment horizontal="center" vertical="center"/>
    </xf>
    <xf borderId="0" fillId="0" fontId="35" numFmtId="0" xfId="0" applyAlignment="1" applyFont="1">
      <alignment horizontal="center" readingOrder="0" vertical="top"/>
    </xf>
    <xf borderId="0" fillId="0" fontId="29" numFmtId="0" xfId="0" applyAlignment="1" applyFont="1">
      <alignment horizontal="center" readingOrder="0" vertical="bottom"/>
    </xf>
    <xf borderId="10" fillId="0" fontId="36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0" fillId="0" fontId="36" numFmtId="0" xfId="0" applyAlignment="1" applyBorder="1" applyFont="1">
      <alignment horizontal="center" readingOrder="0" vertical="bottom"/>
    </xf>
    <xf borderId="11" fillId="0" fontId="35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/>
    </xf>
    <xf borderId="13" fillId="0" fontId="29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35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shrinkToFit="0" vertical="center" wrapText="1"/>
    </xf>
    <xf borderId="14" fillId="0" fontId="35" numFmtId="0" xfId="0" applyAlignment="1" applyBorder="1" applyFont="1">
      <alignment horizontal="center" readingOrder="0" vertical="center"/>
    </xf>
    <xf borderId="15" fillId="0" fontId="4" numFmtId="0" xfId="0" applyBorder="1" applyFont="1"/>
    <xf borderId="16" fillId="0" fontId="36" numFmtId="0" xfId="0" applyAlignment="1" applyBorder="1" applyFont="1">
      <alignment horizontal="center" readingOrder="0" vertical="center"/>
    </xf>
    <xf borderId="17" fillId="0" fontId="10" numFmtId="0" xfId="0" applyAlignment="1" applyBorder="1" applyFont="1">
      <alignment horizontal="center" readingOrder="0" vertical="center"/>
    </xf>
    <xf borderId="17" fillId="0" fontId="4" numFmtId="0" xfId="0" applyBorder="1" applyFont="1"/>
    <xf borderId="18" fillId="0" fontId="4" numFmtId="0" xfId="0" applyBorder="1" applyFont="1"/>
    <xf borderId="13" fillId="0" fontId="10" numFmtId="0" xfId="0" applyAlignment="1" applyBorder="1" applyFont="1">
      <alignment horizontal="center" readingOrder="0" vertical="center"/>
    </xf>
    <xf borderId="19" fillId="0" fontId="10" numFmtId="0" xfId="0" applyAlignment="1" applyBorder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20" fillId="0" fontId="4" numFmtId="0" xfId="0" applyBorder="1" applyFont="1"/>
    <xf borderId="0" fillId="0" fontId="38" numFmtId="0" xfId="0" applyAlignment="1" applyFont="1">
      <alignment horizontal="center" readingOrder="0"/>
    </xf>
    <xf borderId="0" fillId="0" fontId="38" numFmtId="0" xfId="0" applyFont="1"/>
    <xf borderId="0" fillId="0" fontId="39" numFmtId="0" xfId="0" applyFont="1"/>
    <xf borderId="0" fillId="0" fontId="40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8" fontId="10" numFmtId="0" xfId="0" applyFont="1"/>
    <xf borderId="0" fillId="12" fontId="10" numFmtId="0" xfId="0" applyFill="1" applyFont="1"/>
    <xf borderId="0" fillId="12" fontId="40" numFmtId="0" xfId="0" applyAlignment="1" applyFont="1">
      <alignment horizontal="center" readingOrder="0" vertical="center"/>
    </xf>
    <xf borderId="0" fillId="12" fontId="39" numFmtId="0" xfId="0" applyAlignment="1" applyFont="1">
      <alignment horizontal="center" readingOrder="0" vertical="center"/>
    </xf>
    <xf borderId="0" fillId="13" fontId="10" numFmtId="0" xfId="0" applyAlignment="1" applyFill="1" applyFont="1">
      <alignment readingOrder="0"/>
    </xf>
    <xf borderId="0" fillId="8" fontId="41" numFmtId="0" xfId="0" applyFont="1"/>
    <xf borderId="0" fillId="13" fontId="10" numFmtId="0" xfId="0" applyFont="1"/>
    <xf borderId="0" fillId="0" fontId="10" numFmtId="49" xfId="0" applyAlignment="1" applyFont="1" applyNumberFormat="1">
      <alignment readingOrder="0"/>
    </xf>
    <xf borderId="0" fillId="0" fontId="29" numFmtId="49" xfId="0" applyAlignment="1" applyFont="1" applyNumberFormat="1">
      <alignment readingOrder="0"/>
    </xf>
    <xf borderId="0" fillId="0" fontId="29" numFmtId="49" xfId="0" applyFont="1" applyNumberFormat="1"/>
    <xf borderId="0" fillId="0" fontId="40" numFmtId="49" xfId="0" applyAlignment="1" applyFont="1" applyNumberFormat="1">
      <alignment horizontal="center" readingOrder="0" vertical="center"/>
    </xf>
    <xf borderId="0" fillId="0" fontId="39" numFmtId="49" xfId="0" applyAlignment="1" applyFont="1" applyNumberFormat="1">
      <alignment horizontal="center" readingOrder="0" vertical="center"/>
    </xf>
    <xf borderId="0" fillId="0" fontId="42" numFmtId="49" xfId="0" applyAlignment="1" applyFont="1" applyNumberFormat="1">
      <alignment horizontal="center" vertical="center"/>
    </xf>
    <xf borderId="0" fillId="0" fontId="10" numFmtId="49" xfId="0" applyFont="1" applyNumberFormat="1"/>
    <xf borderId="0" fillId="0" fontId="38" numFmtId="49" xfId="0" applyAlignment="1" applyFont="1" applyNumberFormat="1">
      <alignment horizontal="center"/>
    </xf>
    <xf borderId="0" fillId="8" fontId="10" numFmtId="49" xfId="0" applyFont="1" applyNumberFormat="1"/>
    <xf borderId="0" fillId="12" fontId="40" numFmtId="49" xfId="0" applyAlignment="1" applyFont="1" applyNumberFormat="1">
      <alignment horizontal="center" readingOrder="0" vertical="center"/>
    </xf>
    <xf borderId="0" fillId="12" fontId="10" numFmtId="49" xfId="0" applyFont="1" applyNumberFormat="1"/>
    <xf borderId="0" fillId="12" fontId="39" numFmtId="49" xfId="0" applyAlignment="1" applyFont="1" applyNumberFormat="1">
      <alignment horizontal="center" readingOrder="0" vertical="center"/>
    </xf>
    <xf borderId="0" fillId="12" fontId="43" numFmtId="49" xfId="0" applyFont="1" applyNumberFormat="1"/>
    <xf borderId="0" fillId="14" fontId="10" numFmtId="0" xfId="0" applyFill="1" applyFont="1"/>
    <xf borderId="0" fillId="15" fontId="10" numFmtId="0" xfId="0" applyFill="1" applyFont="1"/>
    <xf borderId="0" fillId="16" fontId="10" numFmtId="0" xfId="0" applyFill="1" applyFont="1"/>
    <xf borderId="0" fillId="17" fontId="44" numFmtId="0" xfId="0" applyAlignment="1" applyFill="1" applyFont="1">
      <alignment horizontal="center" readingOrder="0"/>
    </xf>
    <xf borderId="0" fillId="11" fontId="44" numFmtId="0" xfId="0" applyAlignment="1" applyFont="1">
      <alignment horizontal="center" readingOrder="0"/>
    </xf>
    <xf borderId="0" fillId="10" fontId="45" numFmtId="0" xfId="0" applyAlignment="1" applyFont="1">
      <alignment horizontal="center" readingOrder="0" vertical="center"/>
    </xf>
    <xf borderId="0" fillId="17" fontId="10" numFmtId="0" xfId="0" applyFont="1"/>
    <xf borderId="0" fillId="17" fontId="39" numFmtId="0" xfId="0" applyAlignment="1" applyFont="1">
      <alignment horizontal="center" readingOrder="0" vertical="center"/>
    </xf>
    <xf borderId="0" fillId="17" fontId="39" numFmtId="0" xfId="0" applyAlignment="1" applyFont="1">
      <alignment horizontal="right" readingOrder="0" vertical="center"/>
    </xf>
    <xf borderId="0" fillId="17" fontId="39" numFmtId="0" xfId="0" applyAlignment="1" applyFont="1">
      <alignment horizontal="left" readingOrder="0" vertical="center"/>
    </xf>
    <xf borderId="0" fillId="11" fontId="39" numFmtId="0" xfId="0" applyAlignment="1" applyFont="1">
      <alignment horizontal="center" readingOrder="0" vertical="center"/>
    </xf>
    <xf borderId="0" fillId="11" fontId="39" numFmtId="0" xfId="0" applyAlignment="1" applyFont="1">
      <alignment horizontal="right" readingOrder="0" vertical="center"/>
    </xf>
    <xf borderId="0" fillId="11" fontId="39" numFmtId="0" xfId="0" applyAlignment="1" applyFont="1">
      <alignment horizontal="left" readingOrder="0" vertical="center"/>
    </xf>
    <xf borderId="0" fillId="10" fontId="10" numFmtId="0" xfId="0" applyFont="1"/>
    <xf borderId="0" fillId="10" fontId="29" numFmtId="0" xfId="0" applyAlignment="1" applyFont="1">
      <alignment horizontal="center" readingOrder="0" vertical="bottom"/>
    </xf>
    <xf borderId="0" fillId="10" fontId="10" numFmtId="0" xfId="0" applyAlignment="1" applyFont="1">
      <alignment horizontal="center" readingOrder="0"/>
    </xf>
    <xf borderId="0" fillId="16" fontId="10" numFmtId="0" xfId="0" applyAlignment="1" applyFont="1">
      <alignment horizontal="center" readingOrder="0"/>
    </xf>
    <xf borderId="0" fillId="10" fontId="46" numFmtId="9" xfId="0" applyAlignment="1" applyFont="1" applyNumberFormat="1">
      <alignment horizontal="center" vertical="center"/>
    </xf>
    <xf borderId="0" fillId="10" fontId="39" numFmtId="0" xfId="0" applyAlignment="1" applyFont="1">
      <alignment horizontal="center" shrinkToFit="0" vertical="center" wrapText="1"/>
    </xf>
    <xf borderId="0" fillId="16" fontId="10" numFmtId="0" xfId="0" applyAlignment="1" applyFont="1">
      <alignment horizontal="center" shrinkToFit="0" vertical="center" wrapText="1"/>
    </xf>
    <xf borderId="0" fillId="18" fontId="10" numFmtId="0" xfId="0" applyFill="1" applyFont="1"/>
    <xf borderId="0" fillId="19" fontId="10" numFmtId="0" xfId="0" applyFill="1" applyFont="1"/>
    <xf borderId="0" fillId="20" fontId="10" numFmtId="0" xfId="0" applyFill="1" applyFont="1"/>
    <xf borderId="0" fillId="13" fontId="44" numFmtId="0" xfId="0" applyAlignment="1" applyFont="1">
      <alignment horizontal="center" readingOrder="0"/>
    </xf>
    <xf borderId="0" fillId="5" fontId="44" numFmtId="0" xfId="0" applyAlignment="1" applyFont="1">
      <alignment horizontal="center" readingOrder="0"/>
    </xf>
    <xf borderId="0" fillId="21" fontId="45" numFmtId="0" xfId="0" applyAlignment="1" applyFill="1" applyFont="1">
      <alignment horizontal="center" readingOrder="0" vertical="center"/>
    </xf>
    <xf borderId="0" fillId="13" fontId="39" numFmtId="0" xfId="0" applyFont="1"/>
    <xf borderId="0" fillId="13" fontId="39" numFmtId="0" xfId="0" applyAlignment="1" applyFont="1">
      <alignment horizontal="center" readingOrder="0" vertical="center"/>
    </xf>
    <xf borderId="0" fillId="13" fontId="39" numFmtId="0" xfId="0" applyAlignment="1" applyFont="1">
      <alignment horizontal="right" vertical="center"/>
    </xf>
    <xf borderId="0" fillId="13" fontId="39" numFmtId="0" xfId="0" applyAlignment="1" applyFont="1">
      <alignment horizontal="left" vertical="center"/>
    </xf>
    <xf borderId="0" fillId="13" fontId="39" numFmtId="0" xfId="0" applyAlignment="1" applyFont="1">
      <alignment vertical="center"/>
    </xf>
    <xf borderId="0" fillId="5" fontId="31" numFmtId="0" xfId="0" applyFont="1"/>
    <xf borderId="0" fillId="5" fontId="39" numFmtId="0" xfId="0" applyAlignment="1" applyFont="1">
      <alignment horizontal="right" readingOrder="0" vertical="center"/>
    </xf>
    <xf borderId="0" fillId="5" fontId="39" numFmtId="0" xfId="0" applyAlignment="1" applyFont="1">
      <alignment horizontal="center" readingOrder="0" vertical="center"/>
    </xf>
    <xf borderId="0" fillId="5" fontId="39" numFmtId="0" xfId="0" applyAlignment="1" applyFont="1">
      <alignment horizontal="left" readingOrder="0" vertical="center"/>
    </xf>
    <xf borderId="0" fillId="21" fontId="10" numFmtId="0" xfId="0" applyFont="1"/>
    <xf borderId="0" fillId="21" fontId="29" numFmtId="0" xfId="0" applyAlignment="1" applyFont="1">
      <alignment horizontal="center" readingOrder="0" vertical="bottom"/>
    </xf>
    <xf borderId="0" fillId="21" fontId="10" numFmtId="0" xfId="0" applyAlignment="1" applyFont="1">
      <alignment horizontal="center" readingOrder="0"/>
    </xf>
    <xf borderId="0" fillId="20" fontId="10" numFmtId="0" xfId="0" applyAlignment="1" applyFont="1">
      <alignment horizontal="center" readingOrder="0"/>
    </xf>
    <xf borderId="0" fillId="21" fontId="46" numFmtId="9" xfId="0" applyAlignment="1" applyFont="1" applyNumberFormat="1">
      <alignment horizontal="center" vertical="center"/>
    </xf>
    <xf borderId="0" fillId="21" fontId="39" numFmtId="0" xfId="0" applyAlignment="1" applyFont="1">
      <alignment horizontal="center" shrinkToFit="0" vertical="center" wrapText="1"/>
    </xf>
    <xf borderId="0" fillId="20" fontId="10" numFmtId="0" xfId="0" applyAlignment="1" applyFont="1">
      <alignment horizontal="center" shrinkToFit="0" vertical="center" wrapText="1"/>
    </xf>
    <xf borderId="21" fillId="0" fontId="10" numFmtId="0" xfId="0" applyBorder="1" applyFont="1"/>
    <xf borderId="21" fillId="8" fontId="31" numFmtId="0" xfId="0" applyBorder="1" applyFont="1"/>
    <xf borderId="0" fillId="0" fontId="29" numFmtId="0" xfId="0" applyFont="1"/>
    <xf borderId="0" fillId="8" fontId="47" numFmtId="0" xfId="0" applyFont="1"/>
    <xf borderId="0" fillId="22" fontId="10" numFmtId="0" xfId="0" applyFill="1" applyFont="1"/>
    <xf borderId="0" fillId="8" fontId="48" numFmtId="0" xfId="0" applyAlignment="1" applyFont="1">
      <alignment readingOrder="0"/>
    </xf>
    <xf borderId="0" fillId="8" fontId="31" numFmtId="0" xfId="0" applyAlignment="1" applyFont="1">
      <alignment readingOrder="0"/>
    </xf>
    <xf borderId="0" fillId="0" fontId="49" numFmtId="0" xfId="0" applyAlignment="1" applyFont="1">
      <alignment vertical="bottom"/>
    </xf>
    <xf borderId="0" fillId="0" fontId="49" numFmtId="0" xfId="0" applyAlignment="1" applyFont="1">
      <alignment readingOrder="0" vertical="bottom"/>
    </xf>
    <xf borderId="0" fillId="0" fontId="50" numFmtId="0" xfId="0" applyAlignment="1" applyFont="1">
      <alignment vertical="bottom"/>
    </xf>
    <xf borderId="0" fillId="8" fontId="51" numFmtId="0" xfId="0" applyAlignment="1" applyFont="1">
      <alignment vertical="bottom"/>
    </xf>
    <xf borderId="0" fillId="8" fontId="51" numFmtId="0" xfId="0" applyAlignment="1" applyFont="1">
      <alignment readingOrder="0" vertical="bottom"/>
    </xf>
    <xf borderId="0" fillId="0" fontId="50" numFmtId="0" xfId="0" applyAlignment="1" applyFont="1">
      <alignment readingOrder="0" vertical="bottom"/>
    </xf>
    <xf borderId="0" fillId="0" fontId="52" numFmtId="0" xfId="0" applyAlignment="1" applyFont="1">
      <alignment horizontal="center" vertical="bottom"/>
    </xf>
    <xf borderId="0" fillId="0" fontId="53" numFmtId="0" xfId="0" applyAlignment="1" applyFont="1">
      <alignment horizontal="center" vertical="bottom"/>
    </xf>
    <xf borderId="0" fillId="0" fontId="51" numFmtId="0" xfId="0" applyAlignment="1" applyFont="1">
      <alignment vertical="bottom"/>
    </xf>
    <xf borderId="0" fillId="0" fontId="50" numFmtId="0" xfId="0" applyAlignment="1" applyFont="1">
      <alignment horizontal="center" vertical="bottom"/>
    </xf>
    <xf borderId="0" fillId="0" fontId="51" numFmtId="0" xfId="0" applyAlignment="1" applyFont="1">
      <alignment horizontal="center" vertical="bottom"/>
    </xf>
    <xf borderId="0" fillId="0" fontId="51" numFmtId="0" xfId="0" applyAlignment="1" applyFont="1">
      <alignment horizontal="center" readingOrder="0" vertical="bottom"/>
    </xf>
    <xf borderId="0" fillId="0" fontId="51" numFmtId="0" xfId="0" applyAlignment="1" applyFont="1">
      <alignment readingOrder="0" vertical="bottom"/>
    </xf>
    <xf borderId="0" fillId="0" fontId="49" numFmtId="0" xfId="0" applyAlignment="1" applyFont="1">
      <alignment horizontal="right" vertical="bottom"/>
    </xf>
    <xf borderId="0" fillId="0" fontId="49" numFmtId="0" xfId="0" applyAlignment="1" applyFont="1">
      <alignment horizontal="right" readingOrder="0" vertical="bottom"/>
    </xf>
    <xf borderId="0" fillId="0" fontId="50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23" fontId="10" numFmtId="0" xfId="0" applyFill="1" applyFont="1"/>
    <xf borderId="0" fillId="24" fontId="10" numFmtId="0" xfId="0" applyFill="1" applyFont="1"/>
    <xf borderId="0" fillId="19" fontId="44" numFmtId="0" xfId="0" applyAlignment="1" applyFont="1">
      <alignment horizontal="center" readingOrder="0"/>
    </xf>
    <xf borderId="0" fillId="4" fontId="44" numFmtId="0" xfId="0" applyAlignment="1" applyFont="1">
      <alignment horizontal="center" readingOrder="0"/>
    </xf>
    <xf borderId="0" fillId="19" fontId="39" numFmtId="0" xfId="0" applyAlignment="1" applyFont="1">
      <alignment horizontal="center" readingOrder="0" vertical="center"/>
    </xf>
    <xf borderId="0" fillId="19" fontId="39" numFmtId="0" xfId="0" applyAlignment="1" applyFont="1">
      <alignment horizontal="right" readingOrder="0" vertical="center"/>
    </xf>
    <xf borderId="0" fillId="19" fontId="39" numFmtId="0" xfId="0" applyAlignment="1" applyFont="1">
      <alignment horizontal="left" readingOrder="0" vertical="center"/>
    </xf>
    <xf borderId="0" fillId="4" fontId="39" numFmtId="0" xfId="0" applyFont="1"/>
    <xf borderId="0" fillId="4" fontId="39" numFmtId="0" xfId="0" applyAlignment="1" applyFont="1">
      <alignment horizontal="center" readingOrder="0" vertical="center"/>
    </xf>
    <xf borderId="0" fillId="4" fontId="39" numFmtId="0" xfId="0" applyAlignment="1" applyFont="1">
      <alignment horizontal="right" vertical="center"/>
    </xf>
    <xf borderId="0" fillId="4" fontId="39" numFmtId="0" xfId="0" applyAlignment="1" applyFont="1">
      <alignment horizontal="left" vertical="center"/>
    </xf>
    <xf borderId="0" fillId="4" fontId="39" numFmtId="0" xfId="0" applyAlignment="1" applyFont="1">
      <alignment vertical="center"/>
    </xf>
    <xf borderId="0" fillId="25" fontId="10" numFmtId="0" xfId="0" applyFill="1" applyFont="1"/>
    <xf borderId="22" fillId="25" fontId="10" numFmtId="0" xfId="0" applyBorder="1" applyFont="1"/>
    <xf borderId="0" fillId="26" fontId="54" numFmtId="0" xfId="0" applyAlignment="1" applyFill="1" applyFont="1">
      <alignment horizontal="left" readingOrder="0" shrinkToFit="0" vertical="center" wrapText="1"/>
    </xf>
    <xf borderId="0" fillId="26" fontId="55" numFmtId="0" xfId="0" applyAlignment="1" applyFont="1">
      <alignment horizontal="center" readingOrder="0" vertical="center"/>
    </xf>
    <xf borderId="0" fillId="25" fontId="55" numFmtId="0" xfId="0" applyAlignment="1" applyFont="1">
      <alignment horizontal="center" readingOrder="0" vertical="center"/>
    </xf>
    <xf borderId="0" fillId="26" fontId="56" numFmtId="0" xfId="0" applyAlignment="1" applyFont="1">
      <alignment horizontal="center" readingOrder="0" vertical="center"/>
    </xf>
    <xf borderId="0" fillId="26" fontId="57" numFmtId="0" xfId="0" applyAlignment="1" applyFont="1">
      <alignment horizontal="center" readingOrder="0" vertical="center"/>
    </xf>
    <xf borderId="0" fillId="26" fontId="39" numFmtId="0" xfId="0" applyAlignment="1" applyFont="1">
      <alignment horizontal="center" readingOrder="0" vertical="center"/>
    </xf>
    <xf borderId="0" fillId="26" fontId="39" numFmtId="0" xfId="0" applyAlignment="1" applyFont="1">
      <alignment horizontal="right" vertical="center"/>
    </xf>
    <xf borderId="0" fillId="26" fontId="39" numFmtId="0" xfId="0" applyAlignment="1" applyFont="1">
      <alignment horizontal="left" vertical="center"/>
    </xf>
    <xf borderId="0" fillId="26" fontId="39" numFmtId="0" xfId="0" applyAlignment="1" applyFont="1">
      <alignment vertical="center"/>
    </xf>
    <xf borderId="0" fillId="25" fontId="39" numFmtId="0" xfId="0" applyAlignment="1" applyFont="1">
      <alignment horizontal="center" readingOrder="0" vertical="center"/>
    </xf>
    <xf borderId="0" fillId="27" fontId="58" numFmtId="0" xfId="0" applyFill="1" applyFont="1"/>
    <xf borderId="0" fillId="27" fontId="10" numFmtId="0" xfId="0" applyFont="1"/>
    <xf borderId="0" fillId="8" fontId="58" numFmtId="0" xfId="0" applyFont="1"/>
    <xf borderId="0" fillId="28" fontId="10" numFmtId="0" xfId="0" applyFill="1" applyFont="1"/>
    <xf borderId="1" fillId="25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59" numFmtId="0" xfId="0" applyAlignment="1" applyFont="1">
      <alignment readingOrder="0" vertical="center"/>
    </xf>
    <xf borderId="0" fillId="0" fontId="60" numFmtId="0" xfId="0" applyAlignment="1" applyFont="1">
      <alignment horizontal="center" readingOrder="0" shrinkToFit="0" vertical="center" wrapText="1"/>
    </xf>
    <xf borderId="0" fillId="0" fontId="61" numFmtId="0" xfId="0" applyAlignment="1" applyFont="1">
      <alignment readingOrder="0" vertical="center"/>
    </xf>
    <xf borderId="0" fillId="0" fontId="62" numFmtId="0" xfId="0" applyAlignment="1" applyFont="1">
      <alignment horizontal="center" readingOrder="0" vertical="center"/>
    </xf>
    <xf borderId="0" fillId="0" fontId="63" numFmtId="0" xfId="0" applyAlignment="1" applyFont="1">
      <alignment horizontal="right" readingOrder="0"/>
    </xf>
    <xf borderId="0" fillId="0" fontId="45" numFmtId="0" xfId="0" applyAlignment="1" applyFont="1">
      <alignment horizontal="right" readingOrder="0" vertical="center"/>
    </xf>
    <xf borderId="0" fillId="0" fontId="64" numFmtId="0" xfId="0" applyAlignment="1" applyFont="1">
      <alignment horizontal="left" readingOrder="0" vertical="center"/>
    </xf>
    <xf borderId="0" fillId="0" fontId="44" numFmtId="0" xfId="0" applyAlignment="1" applyFont="1">
      <alignment horizontal="center" readingOrder="0" vertical="center"/>
    </xf>
    <xf borderId="0" fillId="8" fontId="31" numFmtId="0" xfId="0" applyAlignment="1" applyFont="1">
      <alignment readingOrder="0" shrinkToFit="0" vertical="top" wrapText="1"/>
    </xf>
    <xf borderId="0" fillId="8" fontId="65" numFmtId="0" xfId="0" applyFont="1"/>
    <xf borderId="0" fillId="0" fontId="10" numFmtId="1" xfId="0" applyFont="1" applyNumberFormat="1"/>
    <xf borderId="0" fillId="0" fontId="10" numFmtId="3" xfId="0" applyFont="1" applyNumberFormat="1"/>
    <xf borderId="0" fillId="0" fontId="10" numFmtId="3" xfId="0" applyAlignment="1" applyFont="1" applyNumberFormat="1">
      <alignment horizontal="right"/>
    </xf>
    <xf borderId="0" fillId="0" fontId="10" numFmtId="9" xfId="0" applyFont="1" applyNumberFormat="1"/>
    <xf borderId="0" fillId="0" fontId="10" numFmtId="0" xfId="0" applyAlignment="1" applyFont="1">
      <alignment readingOrder="0"/>
    </xf>
    <xf borderId="0" fillId="8" fontId="66" numFmtId="0" xfId="0" applyAlignment="1" applyFont="1">
      <alignment horizontal="center" vertical="center"/>
    </xf>
    <xf borderId="0" fillId="8" fontId="66" numFmtId="3" xfId="0" applyAlignment="1" applyFont="1" applyNumberFormat="1">
      <alignment horizontal="right" vertical="center"/>
    </xf>
    <xf borderId="0" fillId="8" fontId="66" numFmtId="0" xfId="0" applyAlignment="1" applyFont="1">
      <alignment horizontal="center" readingOrder="0" shrinkToFit="0" vertical="center" wrapText="0"/>
    </xf>
    <xf borderId="0" fillId="8" fontId="66" numFmtId="0" xfId="0" applyAlignment="1" applyFont="1">
      <alignment horizontal="center" readingOrder="0" vertical="center"/>
    </xf>
    <xf borderId="0" fillId="8" fontId="66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0" fillId="29" fontId="66" numFmtId="0" xfId="0" applyAlignment="1" applyFill="1" applyFont="1">
      <alignment horizontal="center" readingOrder="0" vertical="center"/>
    </xf>
    <xf borderId="0" fillId="30" fontId="67" numFmtId="0" xfId="0" applyAlignment="1" applyFill="1" applyFont="1">
      <alignment horizontal="center" readingOrder="0" vertical="center"/>
    </xf>
    <xf borderId="0" fillId="0" fontId="66" numFmtId="0" xfId="0" applyAlignment="1" applyFont="1">
      <alignment horizontal="center" vertical="center"/>
    </xf>
    <xf borderId="0" fillId="12" fontId="66" numFmtId="0" xfId="0" applyAlignment="1" applyFont="1">
      <alignment horizontal="center" vertical="center"/>
    </xf>
    <xf borderId="0" fillId="8" fontId="31" numFmtId="0" xfId="0" applyFont="1"/>
    <xf borderId="0" fillId="0" fontId="0" numFmtId="0" xfId="0" applyFont="1"/>
    <xf borderId="0" fillId="8" fontId="10" numFmtId="0" xfId="0" applyAlignment="1" applyFont="1">
      <alignment readingOrder="0"/>
    </xf>
    <xf borderId="0" fillId="22" fontId="66" numFmtId="0" xfId="0" applyAlignment="1" applyFont="1">
      <alignment horizontal="center" vertical="center"/>
    </xf>
    <xf borderId="0" fillId="22" fontId="66" numFmtId="0" xfId="0" applyAlignment="1" applyFont="1">
      <alignment horizontal="center" readingOrder="0" vertical="center"/>
    </xf>
    <xf borderId="0" fillId="22" fontId="31" numFmtId="0" xfId="0" applyFont="1"/>
    <xf borderId="0" fillId="22" fontId="0" numFmtId="0" xfId="0" applyFont="1"/>
    <xf borderId="0" fillId="12" fontId="10" numFmtId="0" xfId="0" applyAlignment="1" applyFont="1">
      <alignment readingOrder="0"/>
    </xf>
    <xf borderId="0" fillId="12" fontId="68" numFmtId="0" xfId="0" applyAlignment="1" applyFont="1">
      <alignment horizontal="center" readingOrder="0" vertical="center"/>
    </xf>
    <xf borderId="0" fillId="12" fontId="66" numFmtId="0" xfId="0" applyAlignment="1" applyFont="1">
      <alignment horizontal="center" readingOrder="0" vertical="center"/>
    </xf>
    <xf borderId="0" fillId="12" fontId="31" numFmtId="0" xfId="0" applyFont="1"/>
    <xf borderId="0" fillId="12" fontId="0" numFmtId="0" xfId="0" applyFont="1"/>
    <xf borderId="0" fillId="8" fontId="69" numFmtId="0" xfId="0" applyFont="1"/>
    <xf borderId="0" fillId="0" fontId="10" numFmtId="4" xfId="0" applyFont="1" applyNumberFormat="1"/>
    <xf borderId="0" fillId="0" fontId="70" numFmtId="0" xfId="0" applyFont="1"/>
    <xf borderId="0" fillId="8" fontId="71" numFmtId="0" xfId="0" applyFont="1"/>
    <xf borderId="0" fillId="22" fontId="10" numFmtId="4" xfId="0" applyFont="1" applyNumberFormat="1"/>
    <xf borderId="0" fillId="12" fontId="10" numFmtId="4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38761D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0"/>
            <c:spPr>
              <a:solidFill>
                <a:srgbClr val="FDDCE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TABLE'!$G$2:$G$5</c:f>
            </c:strRef>
          </c:cat>
          <c:val>
            <c:numRef>
              <c:f>'Move Data TABLE'!$H$2:$H$5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0"/>
            <c:spPr>
              <a:solidFill>
                <a:srgbClr val="FDDCE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TABLE'!$G$8:$G$11</c:f>
            </c:strRef>
          </c:cat>
          <c:val>
            <c:numRef>
              <c:f>'Move Data TABLE'!$H$8:$H$11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0"/>
            <c:spPr>
              <a:solidFill>
                <a:srgbClr val="FDDCE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TABLE'!$J$2:$J$5</c:f>
            </c:strRef>
          </c:cat>
          <c:val>
            <c:numRef>
              <c:f>'Move Data TABLE'!$K$2:$K$5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0"/>
            <c:spPr>
              <a:solidFill>
                <a:srgbClr val="FDDCE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TABLE'!$J$8:$J$11</c:f>
            </c:strRef>
          </c:cat>
          <c:val>
            <c:numRef>
              <c:f>'Move Data TABLE'!$K$8:$K$11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0"/>
            <c:spPr>
              <a:solidFill>
                <a:srgbClr val="FDDCE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TABLE'!$L$2:$L$5</c:f>
            </c:strRef>
          </c:cat>
          <c:val>
            <c:numRef>
              <c:f>'Move Data TABLE'!$M$2:$M$5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explosion val="0"/>
            <c:spPr>
              <a:solidFill>
                <a:srgbClr val="FDDCE8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'Move Data TABLE'!$L$8:$L$11</c:f>
            </c:strRef>
          </c:cat>
          <c:val>
            <c:numRef>
              <c:f>'Move Data TABLE'!$M$8:$M$11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676275" cy="676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676275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</xdr:row>
      <xdr:rowOff>47625</xdr:rowOff>
    </xdr:from>
    <xdr:ext cx="3781425" cy="1885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2</xdr:row>
      <xdr:rowOff>47625</xdr:rowOff>
    </xdr:from>
    <xdr:ext cx="3781425" cy="1885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</xdr:colOff>
      <xdr:row>2</xdr:row>
      <xdr:rowOff>47625</xdr:rowOff>
    </xdr:from>
    <xdr:ext cx="3781425" cy="1885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13</xdr:row>
      <xdr:rowOff>47625</xdr:rowOff>
    </xdr:from>
    <xdr:ext cx="3781425" cy="1885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19050</xdr:colOff>
      <xdr:row>13</xdr:row>
      <xdr:rowOff>47625</xdr:rowOff>
    </xdr:from>
    <xdr:ext cx="3781425" cy="1885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19050</xdr:colOff>
      <xdr:row>13</xdr:row>
      <xdr:rowOff>47625</xdr:rowOff>
    </xdr:from>
    <xdr:ext cx="3781425" cy="18859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38100</xdr:rowOff>
    </xdr:from>
    <xdr:ext cx="742950" cy="742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fa94d0fcba3c7d5c" TargetMode="External"/><Relationship Id="rId2" Type="http://schemas.openxmlformats.org/officeDocument/2006/relationships/hyperlink" Target="https://replay.pokemonshowdown.com/gen9vgc2024regf-2070521419-wij2t1c8a3ua2btvwpmll67vtoyd7z8pw" TargetMode="External"/><Relationship Id="rId3" Type="http://schemas.openxmlformats.org/officeDocument/2006/relationships/hyperlink" Target="https://replay.pokemonshowdown.com/gen9vgc2024regf-2070524515-ylqh6t9rxtx57ssjtfpu83jlbp1wj7opw" TargetMode="External"/><Relationship Id="rId4" Type="http://schemas.openxmlformats.org/officeDocument/2006/relationships/hyperlink" Target="https://replay.pokemonshowdown.com/gen9vgc2024regf-2070529070-n0bmug1nosncwi659y35lhd31swd1tvpw" TargetMode="External"/><Relationship Id="rId5" Type="http://schemas.openxmlformats.org/officeDocument/2006/relationships/hyperlink" Target="https://replay.pokemonshowdown.com/gen9vgc2024regf-2070531987-4qs1znrb8c46bpkqrqbk16u396yg2pypw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twitter.com/bauerdadvgc" TargetMode="External"/><Relationship Id="rId2" Type="http://schemas.openxmlformats.org/officeDocument/2006/relationships/hyperlink" Target="https://discord.gg/P69UHJ67MJ" TargetMode="External"/><Relationship Id="rId3" Type="http://schemas.openxmlformats.org/officeDocument/2006/relationships/hyperlink" Target="https://ko-fi.com/pasrs" TargetMode="External"/><Relationship Id="rId4" Type="http://schemas.openxmlformats.org/officeDocument/2006/relationships/hyperlink" Target="https://ko-fi.com/pasrs" TargetMode="External"/><Relationship Id="rId5" Type="http://schemas.openxmlformats.org/officeDocument/2006/relationships/hyperlink" Target="https://pastebin.com/raw/TNSWxDAw" TargetMode="External"/><Relationship Id="rId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4.38"/>
    <col customWidth="1" min="3" max="4" width="15.13"/>
    <col customWidth="1" min="5" max="5" width="10.25"/>
    <col customWidth="1" min="6" max="6" width="6.88"/>
    <col customWidth="1" min="7" max="11" width="10.88"/>
    <col customWidth="1" min="12" max="12" width="2.38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53.25" customHeight="1">
      <c r="A2" s="1"/>
      <c r="B2" s="1"/>
      <c r="C2" s="2"/>
      <c r="D2" s="3" t="s">
        <v>0</v>
      </c>
      <c r="E2" s="4"/>
      <c r="F2" s="4"/>
      <c r="G2" s="4"/>
      <c r="H2" s="4"/>
      <c r="I2" s="4"/>
      <c r="J2" s="4"/>
      <c r="K2" s="5"/>
    </row>
    <row r="3" ht="3.75" customHeight="1">
      <c r="A3" s="1"/>
      <c r="B3" s="1"/>
      <c r="C3" s="6"/>
    </row>
    <row r="4" ht="18.0" customHeight="1">
      <c r="A4" s="1"/>
      <c r="B4" s="1"/>
      <c r="C4" s="7" t="s">
        <v>1</v>
      </c>
      <c r="D4" s="4"/>
      <c r="E4" s="4"/>
      <c r="F4" s="4"/>
      <c r="G4" s="4"/>
      <c r="H4" s="4"/>
      <c r="I4" s="4"/>
      <c r="J4" s="4"/>
      <c r="K4" s="8"/>
    </row>
    <row r="5" ht="1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21.0" customHeight="1">
      <c r="A6" s="1"/>
      <c r="B6" s="1"/>
      <c r="C6" s="7" t="s">
        <v>2</v>
      </c>
      <c r="D6" s="4"/>
      <c r="E6" s="4"/>
      <c r="F6" s="4"/>
      <c r="G6" s="9" t="s">
        <v>3</v>
      </c>
      <c r="H6" s="9"/>
      <c r="I6" s="9"/>
      <c r="J6" s="9"/>
      <c r="K6" s="9"/>
    </row>
    <row r="7" ht="1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ht="18.0" customHeight="1">
      <c r="A8" s="1"/>
      <c r="B8" s="1"/>
      <c r="C8" s="7" t="s">
        <v>4</v>
      </c>
      <c r="D8" s="4"/>
      <c r="E8" s="4"/>
      <c r="F8" s="4"/>
      <c r="G8" s="11" t="s">
        <v>5</v>
      </c>
      <c r="H8" s="4"/>
      <c r="I8" s="4"/>
      <c r="J8" s="4"/>
      <c r="K8" s="8"/>
    </row>
    <row r="9" ht="30.0" customHeight="1">
      <c r="A9" s="12"/>
      <c r="B9" s="12"/>
      <c r="H9" s="13" t="str">
        <f>VLOOKUP('Team Info From Paste'!D2, PokemonIcons, 2, False)</f>
        <v>#REF!</v>
      </c>
      <c r="I9" s="14" t="str">
        <f>VLOOKUP('Team Info From Paste'!D3, PokemonIcons, 2, False)</f>
        <v>#REF!</v>
      </c>
      <c r="J9" s="15" t="str">
        <f>VLOOKUP('Team Info From Paste'!D4, PokemonIcons, 2, False)</f>
        <v>#REF!</v>
      </c>
    </row>
    <row r="10" ht="30.0" customHeight="1">
      <c r="A10" s="12"/>
      <c r="B10" s="12"/>
      <c r="H10" s="13" t="str">
        <f>VLOOKUP('Team Info From Paste'!D5, PokemonIcons, 2, False)</f>
        <v>#REF!</v>
      </c>
      <c r="I10" s="14" t="str">
        <f>VLOOKUP('Team Info From Paste'!D6, PokemonIcons, 2, False)</f>
        <v>#REF!</v>
      </c>
      <c r="J10" s="15" t="str">
        <f>VLOOKUP('Team Info From Paste'!D7, PokemonIcons, 2, False)</f>
        <v>#REF!</v>
      </c>
    </row>
    <row r="11" ht="24.0" customHeight="1">
      <c r="C11" s="16" t="s">
        <v>6</v>
      </c>
      <c r="D11" s="4"/>
      <c r="E11" s="4"/>
      <c r="F11" s="4"/>
      <c r="G11" s="4"/>
      <c r="H11" s="4"/>
      <c r="I11" s="4"/>
      <c r="J11" s="4"/>
      <c r="K11" s="8"/>
    </row>
    <row r="12" ht="1.5" customHeight="1"/>
    <row r="13" ht="27.75" customHeight="1">
      <c r="B13" s="17"/>
      <c r="C13" s="18" t="s">
        <v>7</v>
      </c>
      <c r="D13" s="19"/>
      <c r="E13" s="19"/>
      <c r="F13" s="19"/>
      <c r="G13" s="20" t="s">
        <v>8</v>
      </c>
      <c r="H13" s="19"/>
      <c r="I13" s="19"/>
      <c r="J13" s="19"/>
      <c r="K13" s="21"/>
      <c r="L13" s="22"/>
    </row>
    <row r="14" ht="18.0" customHeight="1">
      <c r="B14" s="23">
        <v>1.0</v>
      </c>
      <c r="C14" s="24" t="s">
        <v>9</v>
      </c>
      <c r="D14" s="25"/>
      <c r="E14" s="25"/>
      <c r="F14" s="26" t="str">
        <f>IF(COUNTIF(ReplayLinks,C14) &gt; 1, "DUPE", "")</f>
        <v/>
      </c>
      <c r="G14" s="27"/>
      <c r="H14" s="28"/>
      <c r="I14" s="28"/>
      <c r="J14" s="28"/>
      <c r="K14" s="28"/>
      <c r="L14" s="29"/>
    </row>
    <row r="15" ht="18.0" customHeight="1">
      <c r="B15" s="23">
        <v>2.0</v>
      </c>
      <c r="C15" s="30" t="s">
        <v>10</v>
      </c>
      <c r="D15" s="31"/>
      <c r="E15" s="31"/>
      <c r="F15" s="32" t="str">
        <f>IF(COUNTIF(ReplayLinks,C15) &gt; 1, "DUPE", "")</f>
        <v/>
      </c>
      <c r="G15" s="33"/>
      <c r="L15" s="34"/>
    </row>
    <row r="16" ht="18.0" customHeight="1">
      <c r="B16" s="23">
        <v>3.0</v>
      </c>
      <c r="C16" s="35" t="s">
        <v>11</v>
      </c>
      <c r="D16" s="36"/>
      <c r="E16" s="36"/>
      <c r="F16" s="37" t="str">
        <f>IF(COUNTIF(ReplayLinks,C16) &gt; 1, "DUPE", "")</f>
        <v/>
      </c>
      <c r="G16" s="38"/>
      <c r="L16" s="39"/>
    </row>
    <row r="17" ht="18.0" customHeight="1">
      <c r="B17" s="23">
        <v>4.0</v>
      </c>
      <c r="C17" s="30" t="s">
        <v>12</v>
      </c>
      <c r="D17" s="31"/>
      <c r="E17" s="31"/>
      <c r="F17" s="32" t="str">
        <f>IF(COUNTIF(ReplayLinks,C17) &gt; 1, "DUPE", "")</f>
        <v/>
      </c>
      <c r="G17" s="33"/>
      <c r="L17" s="34"/>
    </row>
    <row r="18" ht="18.0" customHeight="1">
      <c r="B18" s="23">
        <v>5.0</v>
      </c>
      <c r="C18" s="40"/>
      <c r="D18" s="36"/>
      <c r="E18" s="36"/>
      <c r="F18" s="37" t="str">
        <f>IF(COUNTIF(ReplayLinks,C18) &gt; 1, "DUPE", "")</f>
        <v/>
      </c>
      <c r="G18" s="38"/>
      <c r="L18" s="39"/>
    </row>
    <row r="19" ht="18.0" customHeight="1">
      <c r="B19" s="23">
        <v>6.0</v>
      </c>
      <c r="C19" s="41"/>
      <c r="D19" s="31"/>
      <c r="E19" s="31"/>
      <c r="F19" s="32" t="str">
        <f>IF(COUNTIF(ReplayLinks,C19) &gt; 1, "DUPE", "")</f>
        <v/>
      </c>
      <c r="G19" s="33"/>
      <c r="L19" s="34"/>
    </row>
    <row r="20">
      <c r="B20" s="23">
        <v>7.0</v>
      </c>
      <c r="C20" s="35"/>
      <c r="D20" s="42"/>
      <c r="E20" s="42"/>
      <c r="F20" s="43" t="str">
        <f>IF(COUNTIF(ReplayLinks,C20) &gt; 1, "DUPE", "")</f>
        <v/>
      </c>
      <c r="G20" s="38"/>
      <c r="L20" s="44"/>
    </row>
    <row r="21" ht="18.0" customHeight="1">
      <c r="B21" s="23">
        <v>8.0</v>
      </c>
      <c r="C21" s="45"/>
      <c r="D21" s="46"/>
      <c r="E21" s="46"/>
      <c r="F21" s="47" t="str">
        <f>IF(COUNTIF(ReplayLinks,C21) &gt; 1, "DUPE", "")</f>
        <v/>
      </c>
      <c r="G21" s="33"/>
      <c r="L21" s="34"/>
    </row>
    <row r="22">
      <c r="B22" s="23">
        <v>9.0</v>
      </c>
      <c r="C22" s="40"/>
      <c r="D22" s="36"/>
      <c r="E22" s="36"/>
      <c r="F22" s="37" t="str">
        <f>IF(COUNTIF(ReplayLinks,C22) &gt; 1, "DUPE", "")</f>
        <v/>
      </c>
      <c r="G22" s="38"/>
      <c r="L22" s="39"/>
    </row>
    <row r="23">
      <c r="B23" s="23">
        <v>10.0</v>
      </c>
      <c r="C23" s="41"/>
      <c r="D23" s="31"/>
      <c r="E23" s="31"/>
      <c r="F23" s="32" t="str">
        <f>IF(COUNTIF(ReplayLinks,C23) &gt; 1, "DUPE", "")</f>
        <v/>
      </c>
      <c r="G23" s="33"/>
      <c r="L23" s="34"/>
    </row>
    <row r="24" ht="18.0" customHeight="1">
      <c r="B24" s="23">
        <v>11.0</v>
      </c>
      <c r="C24" s="35"/>
      <c r="D24" s="36"/>
      <c r="E24" s="36"/>
      <c r="F24" s="37" t="str">
        <f>IF(COUNTIF(ReplayLinks,C24) &gt; 1, "DUPE", "")</f>
        <v/>
      </c>
      <c r="G24" s="38"/>
      <c r="L24" s="39"/>
    </row>
    <row r="25" ht="18.0" customHeight="1">
      <c r="B25" s="23">
        <v>12.0</v>
      </c>
      <c r="C25" s="41"/>
      <c r="D25" s="31"/>
      <c r="E25" s="31"/>
      <c r="F25" s="32" t="str">
        <f>IF(COUNTIF(ReplayLinks,C25) &gt; 1, "DUPE", "")</f>
        <v/>
      </c>
      <c r="G25" s="33"/>
      <c r="L25" s="34"/>
    </row>
    <row r="26" ht="18.0" customHeight="1">
      <c r="B26" s="23">
        <v>13.0</v>
      </c>
      <c r="C26" s="35"/>
      <c r="D26" s="36"/>
      <c r="E26" s="36"/>
      <c r="F26" s="37" t="str">
        <f>IF(COUNTIF(ReplayLinks,C26) &gt; 1, "DUPE", "")</f>
        <v/>
      </c>
      <c r="G26" s="38"/>
      <c r="L26" s="39"/>
    </row>
    <row r="27">
      <c r="B27" s="23">
        <v>14.0</v>
      </c>
      <c r="C27" s="41"/>
      <c r="D27" s="46"/>
      <c r="E27" s="46"/>
      <c r="F27" s="47" t="str">
        <f>IF(COUNTIF(ReplayLinks,C27) &gt; 1, "DUPE", "")</f>
        <v/>
      </c>
      <c r="G27" s="33"/>
      <c r="L27" s="34"/>
    </row>
    <row r="28" ht="18.0" customHeight="1">
      <c r="B28" s="23">
        <v>15.0</v>
      </c>
      <c r="C28" s="35"/>
      <c r="D28" s="42"/>
      <c r="E28" s="42"/>
      <c r="F28" s="43" t="str">
        <f>IF(COUNTIF(ReplayLinks,C28) &gt; 1, "DUPE", "")</f>
        <v/>
      </c>
      <c r="G28" s="38"/>
      <c r="L28" s="39"/>
    </row>
    <row r="29" ht="18.0" customHeight="1">
      <c r="B29" s="23">
        <v>16.0</v>
      </c>
      <c r="C29" s="45"/>
      <c r="D29" s="46"/>
      <c r="E29" s="46"/>
      <c r="F29" s="47" t="str">
        <f>IF(COUNTIF(ReplayLinks,C29) &gt; 1, "DUPE", "")</f>
        <v/>
      </c>
      <c r="G29" s="33"/>
      <c r="L29" s="34"/>
    </row>
    <row r="30" ht="18.0" customHeight="1">
      <c r="B30" s="23">
        <v>17.0</v>
      </c>
      <c r="C30" s="35"/>
      <c r="D30" s="36"/>
      <c r="E30" s="36"/>
      <c r="F30" s="37" t="str">
        <f>IF(COUNTIF(ReplayLinks,C30) &gt; 1, "DUPE", "")</f>
        <v/>
      </c>
      <c r="G30" s="38"/>
      <c r="L30" s="39"/>
    </row>
    <row r="31" ht="18.0" customHeight="1">
      <c r="B31" s="23">
        <v>18.0</v>
      </c>
      <c r="C31" s="30"/>
      <c r="D31" s="31"/>
      <c r="E31" s="31"/>
      <c r="F31" s="32" t="str">
        <f>IF(COUNTIF(ReplayLinks,C31) &gt; 1, "DUPE", "")</f>
        <v/>
      </c>
      <c r="G31" s="33"/>
      <c r="L31" s="34"/>
    </row>
    <row r="32" ht="18.0" customHeight="1">
      <c r="B32" s="23">
        <v>19.0</v>
      </c>
      <c r="C32" s="40"/>
      <c r="D32" s="36"/>
      <c r="E32" s="36"/>
      <c r="F32" s="37" t="str">
        <f>IF(COUNTIF(ReplayLinks,C32) &gt; 1, "DUPE", "")</f>
        <v/>
      </c>
      <c r="G32" s="38"/>
      <c r="L32" s="39"/>
    </row>
    <row r="33" ht="18.0" customHeight="1">
      <c r="B33" s="23">
        <v>20.0</v>
      </c>
      <c r="C33" s="30"/>
      <c r="D33" s="31"/>
      <c r="E33" s="31"/>
      <c r="F33" s="32" t="str">
        <f>IF(COUNTIF(ReplayLinks,C33) &gt; 1, "DUPE", "")</f>
        <v/>
      </c>
      <c r="G33" s="33"/>
      <c r="L33" s="34"/>
    </row>
    <row r="34" ht="18.0" customHeight="1">
      <c r="B34" s="23">
        <v>21.0</v>
      </c>
      <c r="C34" s="35"/>
      <c r="D34" s="36"/>
      <c r="E34" s="36"/>
      <c r="F34" s="37" t="str">
        <f>IF(COUNTIF(ReplayLinks,C34) &gt; 1, "DUPE", "")</f>
        <v/>
      </c>
      <c r="G34" s="38"/>
      <c r="L34" s="39"/>
    </row>
    <row r="35" ht="18.0" customHeight="1">
      <c r="B35" s="23">
        <v>22.0</v>
      </c>
      <c r="C35" s="45"/>
      <c r="D35" s="46"/>
      <c r="E35" s="46"/>
      <c r="F35" s="47" t="str">
        <f>IF(COUNTIF(ReplayLinks,C35) &gt; 1, "DUPE", "")</f>
        <v/>
      </c>
      <c r="G35" s="48"/>
      <c r="L35" s="49"/>
    </row>
    <row r="36" ht="18.0" customHeight="1">
      <c r="B36" s="23">
        <v>23.0</v>
      </c>
      <c r="C36" s="50"/>
      <c r="D36" s="42"/>
      <c r="E36" s="42"/>
      <c r="F36" s="43" t="str">
        <f>IF(COUNTIF(ReplayLinks,C36) &gt; 1, "DUPE", "")</f>
        <v/>
      </c>
      <c r="G36" s="38"/>
      <c r="L36" s="39"/>
    </row>
    <row r="37" ht="18.0" customHeight="1">
      <c r="B37" s="23">
        <v>24.0</v>
      </c>
      <c r="C37" s="45"/>
      <c r="D37" s="46"/>
      <c r="E37" s="46"/>
      <c r="F37" s="47" t="str">
        <f>IF(COUNTIF(ReplayLinks,C37) &gt; 1, "DUPE", "")</f>
        <v/>
      </c>
      <c r="G37" s="33"/>
      <c r="L37" s="34"/>
    </row>
    <row r="38" ht="18.0" customHeight="1">
      <c r="B38" s="23">
        <v>25.0</v>
      </c>
      <c r="C38" s="50"/>
      <c r="D38" s="36"/>
      <c r="E38" s="36"/>
      <c r="F38" s="37" t="str">
        <f>IF(COUNTIF(ReplayLinks,C38) &gt; 1, "DUPE", "")</f>
        <v/>
      </c>
      <c r="G38" s="38"/>
      <c r="L38" s="39"/>
    </row>
    <row r="39" ht="18.0" customHeight="1">
      <c r="B39" s="23">
        <v>26.0</v>
      </c>
      <c r="C39" s="41"/>
      <c r="D39" s="31"/>
      <c r="E39" s="31"/>
      <c r="F39" s="32" t="str">
        <f>IF(COUNTIF(ReplayLinks,C39) &gt; 1, "DUPE", "")</f>
        <v/>
      </c>
      <c r="G39" s="33"/>
      <c r="L39" s="34"/>
    </row>
    <row r="40">
      <c r="B40" s="23">
        <v>27.0</v>
      </c>
      <c r="C40" s="35"/>
      <c r="D40" s="36"/>
      <c r="E40" s="36"/>
      <c r="F40" s="37" t="str">
        <f>IF(COUNTIF(ReplayLinks,C40) &gt; 1, "DUPE", "")</f>
        <v/>
      </c>
      <c r="G40" s="38"/>
      <c r="L40" s="39"/>
    </row>
    <row r="41" ht="18.0" customHeight="1">
      <c r="B41" s="23">
        <v>28.0</v>
      </c>
      <c r="C41" s="30"/>
      <c r="D41" s="31"/>
      <c r="E41" s="31"/>
      <c r="F41" s="32" t="str">
        <f>IF(COUNTIF(ReplayLinks,C41) &gt; 1, "DUPE", "")</f>
        <v/>
      </c>
      <c r="G41" s="33"/>
      <c r="L41" s="34"/>
    </row>
    <row r="42">
      <c r="B42" s="23">
        <v>29.0</v>
      </c>
      <c r="C42" s="35"/>
      <c r="D42" s="36"/>
      <c r="E42" s="36"/>
      <c r="F42" s="37" t="str">
        <f>IF(COUNTIF(ReplayLinks,C42) &gt; 1, "DUPE", "")</f>
        <v/>
      </c>
      <c r="G42" s="38"/>
      <c r="L42" s="39"/>
    </row>
    <row r="43">
      <c r="B43" s="23">
        <v>30.0</v>
      </c>
      <c r="C43" s="51"/>
      <c r="D43" s="46"/>
      <c r="E43" s="46"/>
      <c r="F43" s="47" t="str">
        <f>IF(COUNTIF(ReplayLinks,C43) &gt; 1, "DUPE", "")</f>
        <v/>
      </c>
      <c r="G43" s="33"/>
      <c r="L43" s="52"/>
    </row>
    <row r="44">
      <c r="B44" s="23">
        <v>31.0</v>
      </c>
      <c r="C44" s="50"/>
      <c r="D44" s="42"/>
      <c r="E44" s="42"/>
      <c r="F44" s="43" t="str">
        <f>IF(COUNTIF(ReplayLinks,C44) &gt; 1, "DUPE", "")</f>
        <v/>
      </c>
      <c r="G44" s="38"/>
      <c r="L44" s="44"/>
    </row>
    <row r="45" ht="18.0" customHeight="1">
      <c r="B45" s="23">
        <v>32.0</v>
      </c>
      <c r="C45" s="51"/>
      <c r="D45" s="46"/>
      <c r="E45" s="46"/>
      <c r="F45" s="47" t="str">
        <f>IF(COUNTIF(ReplayLinks,C45) &gt; 1, "DUPE", "")</f>
        <v/>
      </c>
      <c r="G45" s="33"/>
      <c r="L45" s="34"/>
    </row>
    <row r="46" ht="18.0" customHeight="1">
      <c r="B46" s="23">
        <v>33.0</v>
      </c>
      <c r="C46" s="40"/>
      <c r="D46" s="36"/>
      <c r="E46" s="36"/>
      <c r="F46" s="37" t="str">
        <f>IF(COUNTIF(ReplayLinks,C46) &gt; 1, "DUPE", "")</f>
        <v/>
      </c>
      <c r="G46" s="38"/>
      <c r="L46" s="39"/>
    </row>
    <row r="47" ht="22.5" customHeight="1">
      <c r="B47" s="23">
        <v>34.0</v>
      </c>
      <c r="C47" s="41"/>
      <c r="D47" s="31"/>
      <c r="E47" s="31"/>
      <c r="F47" s="32" t="str">
        <f>IF(COUNTIF(ReplayLinks,C47) &gt; 1, "DUPE", "")</f>
        <v/>
      </c>
      <c r="G47" s="33"/>
      <c r="L47" s="52"/>
    </row>
    <row r="48" ht="18.0" customHeight="1">
      <c r="B48" s="23">
        <v>35.0</v>
      </c>
      <c r="C48" s="35"/>
      <c r="D48" s="36"/>
      <c r="E48" s="36"/>
      <c r="F48" s="37" t="str">
        <f>IF(COUNTIF(ReplayLinks,C48) &gt; 1, "DUPE", "")</f>
        <v/>
      </c>
      <c r="G48" s="38"/>
      <c r="L48" s="39"/>
    </row>
    <row r="49" ht="18.0" customHeight="1">
      <c r="B49" s="23">
        <v>36.0</v>
      </c>
      <c r="C49" s="30"/>
      <c r="D49" s="31"/>
      <c r="E49" s="31"/>
      <c r="F49" s="32" t="str">
        <f>IF(COUNTIF(ReplayLinks,C49) &gt; 1, "DUPE", "")</f>
        <v/>
      </c>
      <c r="G49" s="33"/>
      <c r="L49" s="34"/>
    </row>
    <row r="50" ht="18.0" customHeight="1">
      <c r="B50" s="23">
        <v>37.0</v>
      </c>
      <c r="C50" s="35"/>
      <c r="D50" s="36"/>
      <c r="E50" s="36"/>
      <c r="F50" s="37" t="str">
        <f>IF(COUNTIF(ReplayLinks,C50) &gt; 1, "DUPE", "")</f>
        <v/>
      </c>
      <c r="G50" s="38"/>
      <c r="L50" s="53"/>
    </row>
    <row r="51" ht="18.0" customHeight="1">
      <c r="B51" s="23">
        <v>38.0</v>
      </c>
      <c r="C51" s="51"/>
      <c r="D51" s="46"/>
      <c r="E51" s="46"/>
      <c r="F51" s="47" t="str">
        <f>IF(COUNTIF(ReplayLinks,C51) &gt; 1, "DUPE", "")</f>
        <v/>
      </c>
      <c r="G51" s="33"/>
      <c r="L51" s="54"/>
    </row>
    <row r="52" ht="18.0" customHeight="1">
      <c r="B52" s="23">
        <v>39.0</v>
      </c>
      <c r="C52" s="50"/>
      <c r="D52" s="42"/>
      <c r="E52" s="42"/>
      <c r="F52" s="43" t="str">
        <f>IF(COUNTIF(ReplayLinks,C52) &gt; 1, "DUPE", "")</f>
        <v/>
      </c>
      <c r="G52" s="38"/>
      <c r="L52" s="55"/>
    </row>
    <row r="53" ht="18.0" customHeight="1">
      <c r="B53" s="23">
        <v>40.0</v>
      </c>
      <c r="C53" s="51"/>
      <c r="D53" s="46"/>
      <c r="E53" s="46"/>
      <c r="F53" s="47" t="str">
        <f>IF(COUNTIF(ReplayLinks,C53) &gt; 1, "DUPE", "")</f>
        <v/>
      </c>
      <c r="G53" s="33"/>
      <c r="L53" s="54"/>
    </row>
    <row r="54" ht="18.0" customHeight="1">
      <c r="B54" s="23">
        <v>41.0</v>
      </c>
      <c r="C54" s="35"/>
      <c r="D54" s="36"/>
      <c r="E54" s="36"/>
      <c r="F54" s="37" t="str">
        <f>IF(COUNTIF(ReplayLinks,C54) &gt; 1, "DUPE", "")</f>
        <v/>
      </c>
      <c r="G54" s="56"/>
      <c r="L54" s="53"/>
    </row>
    <row r="55" ht="18.0" customHeight="1">
      <c r="B55" s="23">
        <v>42.0</v>
      </c>
      <c r="C55" s="30"/>
      <c r="D55" s="31"/>
      <c r="E55" s="31"/>
      <c r="F55" s="32" t="str">
        <f>IF(COUNTIF(ReplayLinks,C55) &gt; 1, "DUPE", "")</f>
        <v/>
      </c>
      <c r="G55" s="33"/>
      <c r="L55" s="57"/>
    </row>
    <row r="56" ht="18.0" customHeight="1">
      <c r="B56" s="23">
        <v>43.0</v>
      </c>
      <c r="C56" s="35"/>
      <c r="D56" s="36"/>
      <c r="E56" s="36"/>
      <c r="F56" s="37" t="str">
        <f>IF(COUNTIF(ReplayLinks,C56) &gt; 1, "DUPE", "")</f>
        <v/>
      </c>
      <c r="G56" s="38"/>
      <c r="L56" s="53"/>
    </row>
    <row r="57" ht="18.0" customHeight="1">
      <c r="B57" s="23">
        <v>44.0</v>
      </c>
      <c r="C57" s="30"/>
      <c r="D57" s="31"/>
      <c r="E57" s="31"/>
      <c r="F57" s="32" t="str">
        <f>IF(COUNTIF(ReplayLinks,C57) &gt; 1, "DUPE", "")</f>
        <v/>
      </c>
      <c r="G57" s="33"/>
      <c r="L57" s="57"/>
    </row>
    <row r="58">
      <c r="B58" s="23">
        <v>45.0</v>
      </c>
      <c r="C58" s="35"/>
      <c r="D58" s="36"/>
      <c r="E58" s="36"/>
      <c r="F58" s="37" t="str">
        <f>IF(COUNTIF(ReplayLinks,C58) &gt; 1, "DUPE", "")</f>
        <v/>
      </c>
      <c r="G58" s="38"/>
      <c r="L58" s="44"/>
    </row>
    <row r="59" ht="18.0" customHeight="1">
      <c r="B59" s="23">
        <v>46.0</v>
      </c>
      <c r="C59" s="51"/>
      <c r="D59" s="46"/>
      <c r="E59" s="46"/>
      <c r="F59" s="47" t="str">
        <f>IF(COUNTIF(ReplayLinks,C59) &gt; 1, "DUPE", "")</f>
        <v/>
      </c>
      <c r="G59" s="33"/>
      <c r="L59" s="54"/>
    </row>
    <row r="60" ht="18.0" customHeight="1">
      <c r="B60" s="23">
        <v>47.0</v>
      </c>
      <c r="C60" s="50"/>
      <c r="D60" s="42"/>
      <c r="E60" s="42"/>
      <c r="F60" s="43" t="str">
        <f>IF(COUNTIF(ReplayLinks,C60) &gt; 1, "DUPE", "")</f>
        <v/>
      </c>
      <c r="G60" s="38"/>
      <c r="L60" s="55"/>
    </row>
    <row r="61" ht="18.0" customHeight="1">
      <c r="B61" s="23">
        <v>48.0</v>
      </c>
      <c r="C61" s="51"/>
      <c r="D61" s="46"/>
      <c r="E61" s="46"/>
      <c r="F61" s="47" t="str">
        <f>IF(COUNTIF(ReplayLinks,C61) &gt; 1, "DUPE", "")</f>
        <v/>
      </c>
      <c r="G61" s="33"/>
      <c r="L61" s="54"/>
    </row>
    <row r="62" ht="18.0" customHeight="1">
      <c r="B62" s="23">
        <v>49.0</v>
      </c>
      <c r="C62" s="35"/>
      <c r="D62" s="36"/>
      <c r="E62" s="36"/>
      <c r="F62" s="37" t="str">
        <f>IF(COUNTIF(ReplayLinks,C62) &gt; 1, "DUPE", "")</f>
        <v/>
      </c>
      <c r="G62" s="38"/>
      <c r="L62" s="53"/>
    </row>
    <row r="63" ht="18.0" customHeight="1">
      <c r="B63" s="23">
        <v>50.0</v>
      </c>
      <c r="C63" s="30"/>
      <c r="D63" s="31"/>
      <c r="E63" s="31"/>
      <c r="F63" s="32" t="str">
        <f>IF(COUNTIF(ReplayLinks,C63) &gt; 1, "DUPE", "")</f>
        <v/>
      </c>
      <c r="G63" s="33"/>
      <c r="L63" s="57"/>
    </row>
    <row r="64" ht="18.0" customHeight="1">
      <c r="B64" s="23">
        <v>51.0</v>
      </c>
      <c r="C64" s="35"/>
      <c r="D64" s="36"/>
      <c r="E64" s="36"/>
      <c r="F64" s="37" t="str">
        <f>IF(COUNTIF(ReplayLinks,C64) &gt; 1, "DUPE", "")</f>
        <v/>
      </c>
      <c r="G64" s="38"/>
      <c r="L64" s="53"/>
    </row>
    <row r="65">
      <c r="B65" s="23">
        <v>52.0</v>
      </c>
      <c r="C65" s="30"/>
      <c r="D65" s="31"/>
      <c r="E65" s="31"/>
      <c r="F65" s="32" t="str">
        <f>IF(COUNTIF(ReplayLinks,C65) &gt; 1, "DUPE", "")</f>
        <v/>
      </c>
      <c r="G65" s="33"/>
      <c r="L65" s="57"/>
    </row>
    <row r="66">
      <c r="B66" s="23">
        <v>53.0</v>
      </c>
      <c r="C66" s="35"/>
      <c r="D66" s="36"/>
      <c r="E66" s="36"/>
      <c r="F66" s="37" t="str">
        <f>IF(COUNTIF(ReplayLinks,C66) &gt; 1, "DUPE", "")</f>
        <v/>
      </c>
      <c r="G66" s="38"/>
      <c r="L66" s="44"/>
    </row>
    <row r="67">
      <c r="B67" s="23">
        <v>54.0</v>
      </c>
      <c r="C67" s="51"/>
      <c r="D67" s="46"/>
      <c r="E67" s="46"/>
      <c r="F67" s="47" t="str">
        <f>IF(COUNTIF(ReplayLinks,C67) &gt; 1, "DUPE", "")</f>
        <v/>
      </c>
      <c r="G67" s="33"/>
      <c r="L67" s="54"/>
    </row>
    <row r="68">
      <c r="B68" s="23">
        <v>55.0</v>
      </c>
      <c r="C68" s="50"/>
      <c r="D68" s="42"/>
      <c r="E68" s="42"/>
      <c r="F68" s="43" t="str">
        <f>IF(COUNTIF(ReplayLinks,C68) &gt; 1, "DUPE", "")</f>
        <v/>
      </c>
      <c r="G68" s="38"/>
      <c r="L68" s="55"/>
    </row>
    <row r="69">
      <c r="B69" s="23">
        <v>56.0</v>
      </c>
      <c r="C69" s="51"/>
      <c r="D69" s="46"/>
      <c r="E69" s="46"/>
      <c r="F69" s="47" t="str">
        <f>IF(COUNTIF(ReplayLinks,C69) &gt; 1, "DUPE", "")</f>
        <v/>
      </c>
      <c r="G69" s="33"/>
      <c r="L69" s="54"/>
    </row>
    <row r="70">
      <c r="B70" s="23">
        <v>57.0</v>
      </c>
      <c r="C70" s="50"/>
      <c r="D70" s="36"/>
      <c r="E70" s="36"/>
      <c r="F70" s="37" t="str">
        <f>IF(COUNTIF(ReplayLinks,C70) &gt; 1, "DUPE", "")</f>
        <v/>
      </c>
      <c r="G70" s="38"/>
      <c r="L70" s="53"/>
    </row>
    <row r="71">
      <c r="B71" s="23">
        <v>58.0</v>
      </c>
      <c r="C71" s="30"/>
      <c r="D71" s="31"/>
      <c r="E71" s="31"/>
      <c r="F71" s="32" t="str">
        <f>IF(COUNTIF(ReplayLinks,C71) &gt; 1, "DUPE", "")</f>
        <v/>
      </c>
      <c r="G71" s="33"/>
      <c r="L71" s="57"/>
    </row>
    <row r="72">
      <c r="B72" s="23">
        <v>59.0</v>
      </c>
      <c r="C72" s="50"/>
      <c r="D72" s="36"/>
      <c r="E72" s="36"/>
      <c r="F72" s="37" t="str">
        <f>IF(COUNTIF(ReplayLinks,C72) &gt; 1, "DUPE", "")</f>
        <v/>
      </c>
      <c r="G72" s="38"/>
      <c r="L72" s="53"/>
    </row>
    <row r="73">
      <c r="B73" s="23">
        <v>60.0</v>
      </c>
      <c r="C73" s="51"/>
      <c r="D73" s="31"/>
      <c r="E73" s="31"/>
      <c r="F73" s="32" t="str">
        <f>IF(COUNTIF(ReplayLinks,C73) &gt; 1, "DUPE", "")</f>
        <v/>
      </c>
      <c r="G73" s="33"/>
      <c r="L73" s="57"/>
    </row>
    <row r="74">
      <c r="B74" s="23">
        <v>61.0</v>
      </c>
      <c r="C74" s="50"/>
      <c r="D74" s="36"/>
      <c r="E74" s="36"/>
      <c r="F74" s="37" t="str">
        <f>IF(COUNTIF(ReplayLinks,C74) &gt; 1, "DUPE", "")</f>
        <v/>
      </c>
      <c r="G74" s="38"/>
      <c r="L74" s="53"/>
    </row>
    <row r="75">
      <c r="B75" s="23">
        <v>62.0</v>
      </c>
      <c r="C75" s="51"/>
      <c r="D75" s="46"/>
      <c r="E75" s="46"/>
      <c r="F75" s="47" t="str">
        <f>IF(COUNTIF(ReplayLinks,C75) &gt; 1, "DUPE", "")</f>
        <v/>
      </c>
      <c r="G75" s="33"/>
      <c r="L75" s="54"/>
    </row>
    <row r="76">
      <c r="B76" s="23">
        <v>63.0</v>
      </c>
      <c r="C76" s="50"/>
      <c r="D76" s="42"/>
      <c r="E76" s="42"/>
      <c r="F76" s="43" t="str">
        <f>IF(COUNTIF(ReplayLinks,C76) &gt; 1, "DUPE", "")</f>
        <v/>
      </c>
      <c r="G76" s="58"/>
      <c r="L76" s="55"/>
    </row>
    <row r="77">
      <c r="B77" s="23">
        <v>64.0</v>
      </c>
      <c r="C77" s="51"/>
      <c r="D77" s="46"/>
      <c r="E77" s="46"/>
      <c r="F77" s="47" t="str">
        <f>IF(COUNTIF(ReplayLinks,C77) &gt; 1, "DUPE", "")</f>
        <v/>
      </c>
      <c r="G77" s="59"/>
      <c r="L77" s="54"/>
    </row>
    <row r="78">
      <c r="B78" s="23">
        <v>65.0</v>
      </c>
      <c r="C78" s="50"/>
      <c r="D78" s="36"/>
      <c r="E78" s="36"/>
      <c r="F78" s="37" t="str">
        <f>IF(COUNTIF(ReplayLinks,C78) &gt; 1, "DUPE", "")</f>
        <v/>
      </c>
      <c r="G78" s="38"/>
      <c r="L78" s="53"/>
    </row>
    <row r="79">
      <c r="B79" s="23">
        <v>66.0</v>
      </c>
      <c r="C79" s="30"/>
      <c r="D79" s="31"/>
      <c r="E79" s="31"/>
      <c r="F79" s="32" t="str">
        <f>IF(COUNTIF(ReplayLinks,C79) &gt; 1, "DUPE", "")</f>
        <v/>
      </c>
      <c r="G79" s="60"/>
      <c r="L79" s="57"/>
    </row>
    <row r="80">
      <c r="B80" s="23">
        <v>67.0</v>
      </c>
      <c r="C80" s="50"/>
      <c r="D80" s="36"/>
      <c r="E80" s="36"/>
      <c r="F80" s="37" t="str">
        <f>IF(COUNTIF(ReplayLinks,C80) &gt; 1, "DUPE", "")</f>
        <v/>
      </c>
      <c r="G80" s="38"/>
      <c r="L80" s="53"/>
    </row>
    <row r="81">
      <c r="B81" s="23">
        <v>68.0</v>
      </c>
      <c r="C81" s="51"/>
      <c r="D81" s="31"/>
      <c r="E81" s="31"/>
      <c r="F81" s="32" t="str">
        <f>IF(COUNTIF(ReplayLinks,C81) &gt; 1, "DUPE", "")</f>
        <v/>
      </c>
      <c r="G81" s="33"/>
      <c r="L81" s="57"/>
    </row>
    <row r="82">
      <c r="B82" s="23">
        <v>69.0</v>
      </c>
      <c r="C82" s="50"/>
      <c r="D82" s="36"/>
      <c r="E82" s="36"/>
      <c r="F82" s="37" t="str">
        <f>IF(COUNTIF(ReplayLinks,C82) &gt; 1, "DUPE", "")</f>
        <v/>
      </c>
      <c r="G82" s="56"/>
      <c r="L82" s="53"/>
    </row>
    <row r="83">
      <c r="B83" s="23">
        <v>70.0</v>
      </c>
      <c r="C83" s="51"/>
      <c r="D83" s="46"/>
      <c r="E83" s="46"/>
      <c r="F83" s="47" t="str">
        <f>IF(COUNTIF(ReplayLinks,C83) &gt; 1, "DUPE", "")</f>
        <v/>
      </c>
      <c r="G83" s="33"/>
      <c r="L83" s="54"/>
    </row>
    <row r="84">
      <c r="B84" s="23">
        <v>71.0</v>
      </c>
      <c r="C84" s="50"/>
      <c r="D84" s="42"/>
      <c r="E84" s="42"/>
      <c r="F84" s="43" t="str">
        <f>IF(COUNTIF(ReplayLinks,C84) &gt; 1, "DUPE", "")</f>
        <v/>
      </c>
      <c r="G84" s="56"/>
      <c r="L84" s="55"/>
    </row>
    <row r="85">
      <c r="B85" s="23">
        <v>72.0</v>
      </c>
      <c r="C85" s="51"/>
      <c r="D85" s="46"/>
      <c r="E85" s="46"/>
      <c r="F85" s="47" t="str">
        <f>IF(COUNTIF(ReplayLinks,C85) &gt; 1, "DUPE", "")</f>
        <v/>
      </c>
      <c r="G85" s="59"/>
      <c r="L85" s="54"/>
    </row>
    <row r="86">
      <c r="B86" s="23">
        <v>73.0</v>
      </c>
      <c r="C86" s="50"/>
      <c r="D86" s="36"/>
      <c r="E86" s="36"/>
      <c r="F86" s="37" t="str">
        <f>IF(COUNTIF(ReplayLinks,C86) &gt; 1, "DUPE", "")</f>
        <v/>
      </c>
      <c r="G86" s="38"/>
      <c r="L86" s="53"/>
    </row>
    <row r="87">
      <c r="B87" s="23">
        <v>74.0</v>
      </c>
      <c r="C87" s="30"/>
      <c r="D87" s="31"/>
      <c r="E87" s="31"/>
      <c r="F87" s="32" t="str">
        <f>IF(COUNTIF(ReplayLinks,C87) &gt; 1, "DUPE", "")</f>
        <v/>
      </c>
      <c r="G87" s="60"/>
      <c r="L87" s="57"/>
    </row>
    <row r="88">
      <c r="B88" s="23">
        <v>75.0</v>
      </c>
      <c r="C88" s="50"/>
      <c r="D88" s="36"/>
      <c r="E88" s="36"/>
      <c r="F88" s="37" t="str">
        <f>IF(COUNTIF(ReplayLinks,C88) &gt; 1, "DUPE", "")</f>
        <v/>
      </c>
      <c r="G88" s="38"/>
      <c r="L88" s="53"/>
    </row>
    <row r="89">
      <c r="B89" s="23">
        <v>76.0</v>
      </c>
      <c r="C89" s="51"/>
      <c r="D89" s="31"/>
      <c r="E89" s="31"/>
      <c r="F89" s="32" t="str">
        <f>IF(COUNTIF(ReplayLinks,C89) &gt; 1, "DUPE", "")</f>
        <v/>
      </c>
      <c r="G89" s="33"/>
      <c r="L89" s="57"/>
    </row>
    <row r="90">
      <c r="B90" s="23">
        <v>77.0</v>
      </c>
      <c r="C90" s="50"/>
      <c r="D90" s="36"/>
      <c r="E90" s="36"/>
      <c r="F90" s="37" t="str">
        <f>IF(COUNTIF(ReplayLinks,C90) &gt; 1, "DUPE", "")</f>
        <v/>
      </c>
      <c r="G90" s="38"/>
      <c r="L90" s="53"/>
    </row>
    <row r="91">
      <c r="B91" s="23">
        <v>78.0</v>
      </c>
      <c r="C91" s="51"/>
      <c r="D91" s="46"/>
      <c r="E91" s="46"/>
      <c r="F91" s="47" t="str">
        <f>IF(COUNTIF(ReplayLinks,C91) &gt; 1, "DUPE", "")</f>
        <v/>
      </c>
      <c r="G91" s="33"/>
      <c r="L91" s="54"/>
    </row>
    <row r="92">
      <c r="B92" s="23">
        <v>79.0</v>
      </c>
      <c r="C92" s="50"/>
      <c r="D92" s="42"/>
      <c r="E92" s="42"/>
      <c r="F92" s="43" t="str">
        <f>IF(COUNTIF(ReplayLinks,C92) &gt; 1, "DUPE", "")</f>
        <v/>
      </c>
      <c r="G92" s="38"/>
      <c r="L92" s="55"/>
    </row>
    <row r="93">
      <c r="B93" s="23">
        <v>80.0</v>
      </c>
      <c r="C93" s="51"/>
      <c r="D93" s="46"/>
      <c r="E93" s="46"/>
      <c r="F93" s="47" t="str">
        <f>IF(COUNTIF(ReplayLinks,C93) &gt; 1, "DUPE", "")</f>
        <v/>
      </c>
      <c r="G93" s="48"/>
      <c r="L93" s="54"/>
    </row>
    <row r="94">
      <c r="B94" s="23">
        <v>81.0</v>
      </c>
      <c r="C94" s="50"/>
      <c r="D94" s="36"/>
      <c r="E94" s="36"/>
      <c r="F94" s="37" t="str">
        <f>IF(COUNTIF(ReplayLinks,C94) &gt; 1, "DUPE", "")</f>
        <v/>
      </c>
      <c r="G94" s="38"/>
      <c r="L94" s="53"/>
    </row>
    <row r="95">
      <c r="B95" s="23">
        <v>82.0</v>
      </c>
      <c r="C95" s="30"/>
      <c r="D95" s="31"/>
      <c r="E95" s="31"/>
      <c r="F95" s="32" t="str">
        <f>IF(COUNTIF(ReplayLinks,C95) &gt; 1, "DUPE", "")</f>
        <v/>
      </c>
      <c r="G95" s="33"/>
      <c r="L95" s="57"/>
    </row>
    <row r="96">
      <c r="B96" s="23">
        <v>83.0</v>
      </c>
      <c r="C96" s="50"/>
      <c r="D96" s="36"/>
      <c r="E96" s="36"/>
      <c r="F96" s="37" t="str">
        <f>IF(COUNTIF(ReplayLinks,C96) &gt; 1, "DUPE", "")</f>
        <v/>
      </c>
      <c r="G96" s="56"/>
      <c r="L96" s="53"/>
    </row>
    <row r="97">
      <c r="B97" s="23">
        <v>84.0</v>
      </c>
      <c r="C97" s="51"/>
      <c r="D97" s="31"/>
      <c r="E97" s="31"/>
      <c r="F97" s="32" t="str">
        <f>IF(COUNTIF(ReplayLinks,C97) &gt; 1, "DUPE", "")</f>
        <v/>
      </c>
      <c r="G97" s="60"/>
      <c r="L97" s="57"/>
    </row>
    <row r="98">
      <c r="B98" s="23">
        <v>85.0</v>
      </c>
      <c r="C98" s="50"/>
      <c r="D98" s="36"/>
      <c r="E98" s="36"/>
      <c r="F98" s="37" t="str">
        <f>IF(COUNTIF(ReplayLinks,C98) &gt; 1, "DUPE", "")</f>
        <v/>
      </c>
      <c r="G98" s="56"/>
      <c r="L98" s="53"/>
    </row>
    <row r="99">
      <c r="B99" s="23">
        <v>86.0</v>
      </c>
      <c r="C99" s="51"/>
      <c r="D99" s="46"/>
      <c r="E99" s="46"/>
      <c r="F99" s="47" t="str">
        <f>IF(COUNTIF(ReplayLinks,C99) &gt; 1, "DUPE", "")</f>
        <v/>
      </c>
      <c r="G99" s="59"/>
      <c r="L99" s="54"/>
    </row>
    <row r="100">
      <c r="B100" s="23">
        <v>87.0</v>
      </c>
      <c r="C100" s="50"/>
      <c r="D100" s="42"/>
      <c r="E100" s="42"/>
      <c r="F100" s="43" t="str">
        <f>IF(COUNTIF(ReplayLinks,C100) &gt; 1, "DUPE", "")</f>
        <v/>
      </c>
      <c r="G100" s="58"/>
      <c r="L100" s="55"/>
    </row>
    <row r="101">
      <c r="B101" s="23">
        <v>88.0</v>
      </c>
      <c r="C101" s="51"/>
      <c r="D101" s="46"/>
      <c r="E101" s="46"/>
      <c r="F101" s="47" t="str">
        <f>IF(COUNTIF(ReplayLinks,C101) &gt; 1, "DUPE", "")</f>
        <v/>
      </c>
      <c r="G101" s="59"/>
      <c r="L101" s="54"/>
    </row>
    <row r="102">
      <c r="B102" s="23">
        <v>89.0</v>
      </c>
      <c r="C102" s="50"/>
      <c r="D102" s="36"/>
      <c r="E102" s="36"/>
      <c r="F102" s="37" t="str">
        <f>IF(COUNTIF(ReplayLinks,C102) &gt; 1, "DUPE", "")</f>
        <v/>
      </c>
      <c r="G102" s="56"/>
      <c r="L102" s="53"/>
    </row>
    <row r="103">
      <c r="B103" s="23">
        <v>90.0</v>
      </c>
      <c r="C103" s="30"/>
      <c r="D103" s="31"/>
      <c r="E103" s="31"/>
      <c r="F103" s="32" t="str">
        <f>IF(COUNTIF(ReplayLinks,C103) &gt; 1, "DUPE", "")</f>
        <v/>
      </c>
      <c r="G103" s="60"/>
      <c r="L103" s="57"/>
    </row>
    <row r="104">
      <c r="B104" s="23">
        <v>91.0</v>
      </c>
      <c r="C104" s="50"/>
      <c r="D104" s="36"/>
      <c r="E104" s="36"/>
      <c r="F104" s="37" t="str">
        <f>IF(COUNTIF(ReplayLinks,C104) &gt; 1, "DUPE", "")</f>
        <v/>
      </c>
      <c r="G104" s="56"/>
      <c r="L104" s="53"/>
    </row>
    <row r="105">
      <c r="B105" s="23">
        <v>92.0</v>
      </c>
      <c r="C105" s="51"/>
      <c r="D105" s="31"/>
      <c r="E105" s="31"/>
      <c r="F105" s="32" t="str">
        <f>IF(COUNTIF(ReplayLinks,C105) &gt; 1, "DUPE", "")</f>
        <v/>
      </c>
      <c r="G105" s="60"/>
      <c r="L105" s="57"/>
    </row>
    <row r="106">
      <c r="B106" s="23">
        <v>93.0</v>
      </c>
      <c r="C106" s="50"/>
      <c r="D106" s="36"/>
      <c r="E106" s="36"/>
      <c r="F106" s="37" t="str">
        <f>IF(COUNTIF(ReplayLinks,C106) &gt; 1, "DUPE", "")</f>
        <v/>
      </c>
      <c r="G106" s="38"/>
      <c r="L106" s="53"/>
    </row>
    <row r="107">
      <c r="B107" s="23">
        <v>94.0</v>
      </c>
      <c r="C107" s="51"/>
      <c r="D107" s="46"/>
      <c r="E107" s="46"/>
      <c r="F107" s="47" t="str">
        <f>IF(COUNTIF(ReplayLinks,C107) &gt; 1, "DUPE", "")</f>
        <v/>
      </c>
      <c r="G107" s="59"/>
      <c r="L107" s="54"/>
    </row>
    <row r="108">
      <c r="B108" s="23">
        <v>95.0</v>
      </c>
      <c r="C108" s="50"/>
      <c r="D108" s="42"/>
      <c r="E108" s="42"/>
      <c r="F108" s="43" t="str">
        <f>IF(COUNTIF(ReplayLinks,C108) &gt; 1, "DUPE", "")</f>
        <v/>
      </c>
      <c r="G108" s="58"/>
      <c r="L108" s="55"/>
    </row>
    <row r="109">
      <c r="B109" s="23">
        <v>96.0</v>
      </c>
      <c r="C109" s="51"/>
      <c r="D109" s="46"/>
      <c r="E109" s="46"/>
      <c r="F109" s="47" t="str">
        <f>IF(COUNTIF(ReplayLinks,C109) &gt; 1, "DUPE", "")</f>
        <v/>
      </c>
      <c r="G109" s="59"/>
      <c r="L109" s="54"/>
    </row>
    <row r="110">
      <c r="B110" s="23">
        <v>97.0</v>
      </c>
      <c r="C110" s="50"/>
      <c r="D110" s="36"/>
      <c r="E110" s="36"/>
      <c r="F110" s="37" t="str">
        <f>IF(COUNTIF(ReplayLinks,C110) &gt; 1, "DUPE", "")</f>
        <v/>
      </c>
      <c r="G110" s="56"/>
      <c r="L110" s="53"/>
    </row>
    <row r="111">
      <c r="B111" s="23">
        <v>98.0</v>
      </c>
      <c r="C111" s="51"/>
      <c r="D111" s="46"/>
      <c r="E111" s="46"/>
      <c r="F111" s="47" t="str">
        <f>IF(COUNTIF(ReplayLinks,C111) &gt; 1, "DUPE", "")</f>
        <v/>
      </c>
      <c r="G111" s="59"/>
      <c r="L111" s="54"/>
    </row>
    <row r="112">
      <c r="B112" s="23">
        <v>99.0</v>
      </c>
      <c r="C112" s="50"/>
      <c r="D112" s="42"/>
      <c r="E112" s="42"/>
      <c r="F112" s="43" t="str">
        <f>IF(COUNTIF(ReplayLinks,C112) &gt; 1, "DUPE", "")</f>
        <v/>
      </c>
      <c r="G112" s="58"/>
      <c r="L112" s="55"/>
    </row>
    <row r="113">
      <c r="B113" s="23">
        <v>100.0</v>
      </c>
      <c r="C113" s="51"/>
      <c r="D113" s="46"/>
      <c r="E113" s="46"/>
      <c r="F113" s="47" t="str">
        <f>IF(COUNTIF(ReplayLinks,C113) &gt; 1, "DUPE", "")</f>
        <v/>
      </c>
      <c r="G113" s="59"/>
      <c r="L113" s="54"/>
    </row>
  </sheetData>
  <mergeCells count="109">
    <mergeCell ref="D2:J2"/>
    <mergeCell ref="C3:K3"/>
    <mergeCell ref="C4:K4"/>
    <mergeCell ref="C6:F6"/>
    <mergeCell ref="C8:F8"/>
    <mergeCell ref="G8:K8"/>
    <mergeCell ref="C11:K11"/>
    <mergeCell ref="C13:F13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40:K40"/>
    <mergeCell ref="G41:K41"/>
    <mergeCell ref="G42:K42"/>
    <mergeCell ref="G43:K43"/>
    <mergeCell ref="G44:K44"/>
    <mergeCell ref="G45:K45"/>
    <mergeCell ref="G46:K46"/>
    <mergeCell ref="G47:K47"/>
    <mergeCell ref="G48:K48"/>
    <mergeCell ref="G49:K49"/>
    <mergeCell ref="G50:K50"/>
    <mergeCell ref="G51:K51"/>
    <mergeCell ref="G52:K52"/>
    <mergeCell ref="G53:K53"/>
    <mergeCell ref="G110:K110"/>
    <mergeCell ref="G111:K111"/>
    <mergeCell ref="G112:K112"/>
    <mergeCell ref="G113:K113"/>
    <mergeCell ref="G103:K103"/>
    <mergeCell ref="G104:K104"/>
    <mergeCell ref="G105:K105"/>
    <mergeCell ref="G106:K106"/>
    <mergeCell ref="G107:K107"/>
    <mergeCell ref="G108:K108"/>
    <mergeCell ref="G109:K109"/>
    <mergeCell ref="G54:K54"/>
    <mergeCell ref="G55:K55"/>
    <mergeCell ref="G56:K56"/>
    <mergeCell ref="G57:K57"/>
    <mergeCell ref="G58:K58"/>
    <mergeCell ref="G59:K59"/>
    <mergeCell ref="G60:K60"/>
    <mergeCell ref="G61:K61"/>
    <mergeCell ref="G62:K62"/>
    <mergeCell ref="G63:K63"/>
    <mergeCell ref="G64:K64"/>
    <mergeCell ref="G65:K65"/>
    <mergeCell ref="G66:K66"/>
    <mergeCell ref="G67:K67"/>
    <mergeCell ref="G68:K68"/>
    <mergeCell ref="G69:K69"/>
    <mergeCell ref="G70:K70"/>
    <mergeCell ref="G71:K71"/>
    <mergeCell ref="G72:K72"/>
    <mergeCell ref="G73:K73"/>
    <mergeCell ref="G74:K74"/>
    <mergeCell ref="G75:K75"/>
    <mergeCell ref="G76:K76"/>
    <mergeCell ref="G77:K77"/>
    <mergeCell ref="G78:K78"/>
    <mergeCell ref="G79:K79"/>
    <mergeCell ref="G80:K80"/>
    <mergeCell ref="G81:K81"/>
    <mergeCell ref="G82:K82"/>
    <mergeCell ref="G83:K83"/>
    <mergeCell ref="G84:K84"/>
    <mergeCell ref="G85:K85"/>
    <mergeCell ref="G86:K86"/>
    <mergeCell ref="G87:K87"/>
    <mergeCell ref="G88:K88"/>
    <mergeCell ref="G89:K89"/>
    <mergeCell ref="G90:K90"/>
    <mergeCell ref="G91:K91"/>
    <mergeCell ref="G92:K92"/>
    <mergeCell ref="G93:K93"/>
    <mergeCell ref="G94:K94"/>
    <mergeCell ref="G95:K95"/>
    <mergeCell ref="G96:K96"/>
    <mergeCell ref="G97:K97"/>
    <mergeCell ref="G98:K98"/>
    <mergeCell ref="G99:K99"/>
    <mergeCell ref="G100:K100"/>
    <mergeCell ref="G101:K101"/>
    <mergeCell ref="G102:K102"/>
  </mergeCells>
  <conditionalFormatting sqref="F14:F113">
    <cfRule type="notContainsBlanks" dxfId="1" priority="1">
      <formula>LEN(TRIM(F14))&gt;0</formula>
    </cfRule>
  </conditionalFormatting>
  <hyperlinks>
    <hyperlink r:id="rId1" ref="G8"/>
    <hyperlink r:id="rId2" ref="C14"/>
    <hyperlink r:id="rId3" ref="C15"/>
    <hyperlink r:id="rId4" ref="C16"/>
    <hyperlink r:id="rId5" ref="C1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.13"/>
    <col customWidth="1" min="3" max="3" width="23.88"/>
    <col customWidth="1" min="4" max="4" width="23.13"/>
    <col customWidth="1" min="5" max="5" width="24.0"/>
    <col customWidth="1" min="6" max="6" width="11.38"/>
    <col customWidth="1" min="7" max="7" width="13.75"/>
    <col customWidth="1" min="12" max="12" width="13.88"/>
  </cols>
  <sheetData>
    <row r="1">
      <c r="A1" s="17" t="str">
        <f t="array" ref="A1:A42">TRANSPOSE(TEAMDATAFROMPASTE(Paste))</f>
        <v>Alcremie-Matcha-Cream</v>
      </c>
      <c r="C1" s="61" t="s">
        <v>13</v>
      </c>
      <c r="D1" s="61" t="s">
        <v>14</v>
      </c>
      <c r="E1" s="61" t="s">
        <v>15</v>
      </c>
      <c r="F1" s="61" t="s">
        <v>16</v>
      </c>
      <c r="G1" s="61" t="s">
        <v>16</v>
      </c>
      <c r="H1" s="61" t="s">
        <v>16</v>
      </c>
      <c r="I1" s="61" t="s">
        <v>16</v>
      </c>
      <c r="J1" s="61" t="s">
        <v>17</v>
      </c>
      <c r="K1" s="61" t="s">
        <v>18</v>
      </c>
      <c r="L1" s="62"/>
    </row>
    <row r="2">
      <c r="A2" s="63" t="s">
        <v>19</v>
      </c>
      <c r="C2" s="64" t="str">
        <f>TRIM(A1)</f>
        <v>Alcremie-Matcha-Cream</v>
      </c>
      <c r="D2" s="65" t="str">
        <f>IFERROR(VLOOKUP(C2, FormFixes, 2, false), C2)</f>
        <v>Alcremie</v>
      </c>
      <c r="E2" s="66" t="str">
        <f>IF(ISBLANK(VLOOKUP(C2, FormFixes, 3, false)), C2, IFERROR(VLOOKUP(C2, FormFixes, 3, false), C2))</f>
        <v>Alcremie</v>
      </c>
      <c r="F2" s="63" t="str">
        <f>TRIM(A2)</f>
        <v>Decorate</v>
      </c>
      <c r="G2" s="63" t="str">
        <f>TRIM(A3)</f>
        <v>Baby-Doll Eyes</v>
      </c>
      <c r="H2" s="63" t="str">
        <f>TRIM(A4)</f>
        <v>Calm Mind</v>
      </c>
      <c r="I2" s="63" t="str">
        <f>TRIM(A5)</f>
        <v>Draining Kiss</v>
      </c>
      <c r="J2" s="63" t="str">
        <f t="shared" ref="J2:J7" si="1">A31</f>
        <v>Fairy</v>
      </c>
      <c r="K2" s="63" t="str">
        <f t="shared" ref="K2:K7" si="2">TRIM(A37)</f>
        <v>Alcremie-Matcha-Cream</v>
      </c>
    </row>
    <row r="3">
      <c r="A3" s="63" t="s">
        <v>20</v>
      </c>
      <c r="C3" s="64" t="str">
        <f>TRIM(A6)</f>
        <v>Weavile</v>
      </c>
      <c r="D3" s="65" t="str">
        <f>IFERROR(VLOOKUP(C3, FormFixes, 2, false), C3)</f>
        <v>Weavile</v>
      </c>
      <c r="E3" s="66" t="str">
        <f>IF(ISBLANK(VLOOKUP(C3, FormFixes, 3, false)), C3, IFERROR(VLOOKUP(C3, FormFixes, 3, false), C3))</f>
        <v>Weavile</v>
      </c>
      <c r="F3" s="63" t="str">
        <f>TRIM(A7)</f>
        <v>Fake Out</v>
      </c>
      <c r="G3" s="63" t="str">
        <f>TRIM(A8)</f>
        <v>Ice Spinner</v>
      </c>
      <c r="H3" s="63" t="str">
        <f>TRIM(A9)</f>
        <v>Protect</v>
      </c>
      <c r="I3" s="63" t="str">
        <f>TRIM(A10)</f>
        <v>Foul Play</v>
      </c>
      <c r="J3" s="63" t="str">
        <f t="shared" si="1"/>
        <v>Ice</v>
      </c>
      <c r="K3" s="17" t="str">
        <f t="shared" si="2"/>
        <v>Weavile</v>
      </c>
    </row>
    <row r="4">
      <c r="A4" s="63" t="s">
        <v>21</v>
      </c>
      <c r="C4" s="64" t="str">
        <f>TRIM(A11)</f>
        <v>Skeledirge</v>
      </c>
      <c r="D4" s="63" t="str">
        <f>IFERROR(VLOOKUP(C4, FormFixes, 2, false), C4)</f>
        <v>Skeledirge</v>
      </c>
      <c r="E4" s="66" t="str">
        <f>IF(ISBLANK(VLOOKUP(C4, FormFixes, 3, false)), C4, IFERROR(VLOOKUP(C4, FormFixes, 3, false), C4))</f>
        <v>Skeledirge</v>
      </c>
      <c r="F4" s="63" t="str">
        <f>TRIM(A12)</f>
        <v>Torch Song</v>
      </c>
      <c r="G4" s="65" t="str">
        <f>TRIM(A13)</f>
        <v>Protect</v>
      </c>
      <c r="H4" s="63" t="str">
        <f>TRIM(A14)</f>
        <v>Will-O-Wisp</v>
      </c>
      <c r="I4" s="63" t="str">
        <f>TRIM(A15)</f>
        <v>Tera Blast</v>
      </c>
      <c r="J4" s="63" t="str">
        <f t="shared" si="1"/>
        <v>Grass</v>
      </c>
      <c r="K4" s="63" t="str">
        <f t="shared" si="2"/>
        <v>Skeledirge</v>
      </c>
    </row>
    <row r="5">
      <c r="A5" s="63" t="s">
        <v>22</v>
      </c>
      <c r="C5" s="64" t="str">
        <f>TRIM(A16)</f>
        <v>Gholdengo</v>
      </c>
      <c r="D5" s="63" t="str">
        <f>IFERROR(VLOOKUP(C5, FormFixes, 2, false), C5)</f>
        <v>Gholdengo</v>
      </c>
      <c r="E5" s="66" t="str">
        <f>IF(ISBLANK(VLOOKUP(C5, FormFixes, 3, false)), C5, IFERROR(VLOOKUP(C5, FormFixes, 3, false), C5))</f>
        <v>Gholdengo</v>
      </c>
      <c r="F5" s="63" t="str">
        <f>TRIM(A17)</f>
        <v>Make It Rain</v>
      </c>
      <c r="G5" s="63" t="str">
        <f>TRIM(A18)</f>
        <v>Flash Cannon</v>
      </c>
      <c r="H5" s="63" t="str">
        <f>TRIM(A19)</f>
        <v>Shadow Ball</v>
      </c>
      <c r="I5" s="63" t="str">
        <f>TRIM(A20)</f>
        <v>Power Gem</v>
      </c>
      <c r="J5" s="63" t="str">
        <f t="shared" si="1"/>
        <v>Steel</v>
      </c>
      <c r="K5" s="63" t="str">
        <f t="shared" si="2"/>
        <v>Gholdengo</v>
      </c>
    </row>
    <row r="6">
      <c r="A6" s="63" t="s">
        <v>23</v>
      </c>
      <c r="C6" s="64" t="str">
        <f>TRIM(A21)</f>
        <v>Exeggutor-Alola</v>
      </c>
      <c r="D6" s="63" t="str">
        <f>IFERROR(VLOOKUP(C6, FormFixes, 2, false), C6)</f>
        <v>Alolan Exeggutor</v>
      </c>
      <c r="E6" s="66" t="str">
        <f>IF(ISBLANK(VLOOKUP(C6, FormFixes, 3, false)), C6, IFERROR(VLOOKUP(C6, FormFixes, 3, false), C6))</f>
        <v>Exeggutor</v>
      </c>
      <c r="F6" s="63" t="str">
        <f>TRIM(A22)</f>
        <v>Energy Ball</v>
      </c>
      <c r="G6" s="63" t="str">
        <f>TRIM(A23)</f>
        <v>Draco Meteor</v>
      </c>
      <c r="H6" s="63" t="str">
        <f>TRIM(A24)</f>
        <v>Ancient Power</v>
      </c>
      <c r="I6" s="63" t="str">
        <f>TRIM(A25)</f>
        <v>Sunny Day</v>
      </c>
      <c r="J6" s="63" t="str">
        <f t="shared" si="1"/>
        <v>Grass</v>
      </c>
      <c r="K6" s="63" t="str">
        <f t="shared" si="2"/>
        <v>Exeggutor-Alola</v>
      </c>
    </row>
    <row r="7">
      <c r="A7" s="63" t="s">
        <v>24</v>
      </c>
      <c r="C7" s="64" t="str">
        <f>TRIM(A26)</f>
        <v>Salamence</v>
      </c>
      <c r="D7" s="63" t="str">
        <f>IFERROR(VLOOKUP(C7, FormFixes, 2, false), C7)</f>
        <v>Salamence</v>
      </c>
      <c r="E7" s="66" t="str">
        <f>IF(ISBLANK(VLOOKUP(C7, FormFixes, 3, false)), C7, IFERROR(VLOOKUP(C7, FormFixes, 3, false), C7))</f>
        <v>Salamence</v>
      </c>
      <c r="F7" s="63" t="str">
        <f>TRIM(A27)</f>
        <v>Dragon Dance</v>
      </c>
      <c r="G7" s="63" t="str">
        <f>TRIM(A28)</f>
        <v>Protect</v>
      </c>
      <c r="H7" s="63" t="str">
        <f>TRIM(A29)</f>
        <v>Dragon Claw</v>
      </c>
      <c r="I7" s="63" t="str">
        <f>TRIM(A30)</f>
        <v>Dual Wingbeat</v>
      </c>
      <c r="J7" s="63" t="str">
        <f t="shared" si="1"/>
        <v>Flying</v>
      </c>
      <c r="K7" s="63" t="str">
        <f t="shared" si="2"/>
        <v>Salamence</v>
      </c>
    </row>
    <row r="8">
      <c r="A8" s="63" t="s">
        <v>25</v>
      </c>
      <c r="E8" s="63" t="str">
        <f>IFERROR(VLOOKUP(C8, FormFixes, 3, false), C8)</f>
        <v/>
      </c>
    </row>
    <row r="9">
      <c r="A9" s="63" t="s">
        <v>26</v>
      </c>
      <c r="E9" s="65" t="str">
        <f>IFERROR(VLOOKUP(C9, FormFixes, 3, false), C9)</f>
        <v/>
      </c>
    </row>
    <row r="10">
      <c r="A10" s="63" t="s">
        <v>27</v>
      </c>
      <c r="E10" s="63" t="str">
        <f>IFERROR(VLOOKUP(C10, FormFixes, 3, false), C10)</f>
        <v/>
      </c>
    </row>
    <row r="11">
      <c r="A11" s="63" t="s">
        <v>28</v>
      </c>
    </row>
    <row r="12">
      <c r="A12" s="63" t="s">
        <v>29</v>
      </c>
      <c r="C12" s="17" t="s">
        <v>30</v>
      </c>
    </row>
    <row r="13">
      <c r="A13" s="63" t="s">
        <v>26</v>
      </c>
      <c r="C13" s="63" t="str">
        <f t="array" ref="C13:C18">SORT(C2:C7)</f>
        <v>Alcremie-Matcha-Cream</v>
      </c>
    </row>
    <row r="14">
      <c r="A14" s="63" t="s">
        <v>31</v>
      </c>
      <c r="C14" s="63" t="s">
        <v>32</v>
      </c>
    </row>
    <row r="15">
      <c r="A15" s="63" t="s">
        <v>33</v>
      </c>
      <c r="C15" s="63" t="s">
        <v>34</v>
      </c>
      <c r="G15" s="64"/>
    </row>
    <row r="16">
      <c r="A16" s="63" t="s">
        <v>34</v>
      </c>
      <c r="C16" s="63" t="s">
        <v>35</v>
      </c>
    </row>
    <row r="17">
      <c r="A17" s="63" t="s">
        <v>36</v>
      </c>
      <c r="C17" s="63" t="s">
        <v>28</v>
      </c>
      <c r="E17" s="17" t="s">
        <v>37</v>
      </c>
      <c r="F17" s="67" t="str">
        <f>TRIM(HomePage!G6)</f>
        <v>Tacodad</v>
      </c>
      <c r="G17" s="67" t="str">
        <f>TRIM(HomePage!H6)</f>
        <v/>
      </c>
      <c r="H17" s="67" t="str">
        <f>TRIM(HomePage!I6)</f>
        <v/>
      </c>
      <c r="I17" s="67" t="str">
        <f>TRIM(HomePage!J6)</f>
        <v/>
      </c>
      <c r="J17" s="67" t="str">
        <f>TRIM(HomePage!K6)</f>
        <v/>
      </c>
    </row>
    <row r="18">
      <c r="A18" s="63" t="s">
        <v>38</v>
      </c>
      <c r="C18" s="63" t="s">
        <v>23</v>
      </c>
    </row>
    <row r="19">
      <c r="A19" s="63" t="s">
        <v>39</v>
      </c>
    </row>
    <row r="20">
      <c r="A20" s="63" t="s">
        <v>40</v>
      </c>
    </row>
    <row r="21">
      <c r="A21" s="63" t="s">
        <v>32</v>
      </c>
    </row>
    <row r="22">
      <c r="A22" s="63" t="s">
        <v>41</v>
      </c>
    </row>
    <row r="23">
      <c r="A23" s="63" t="s">
        <v>42</v>
      </c>
    </row>
    <row r="24">
      <c r="A24" s="63" t="s">
        <v>43</v>
      </c>
    </row>
    <row r="25">
      <c r="A25" s="63" t="s">
        <v>44</v>
      </c>
    </row>
    <row r="26">
      <c r="A26" s="63" t="s">
        <v>35</v>
      </c>
    </row>
    <row r="27">
      <c r="A27" s="63" t="s">
        <v>45</v>
      </c>
    </row>
    <row r="28">
      <c r="A28" s="63" t="s">
        <v>26</v>
      </c>
    </row>
    <row r="29">
      <c r="A29" s="63" t="s">
        <v>46</v>
      </c>
    </row>
    <row r="30">
      <c r="A30" s="63" t="s">
        <v>47</v>
      </c>
    </row>
    <row r="31">
      <c r="A31" s="63" t="s">
        <v>48</v>
      </c>
    </row>
    <row r="32">
      <c r="A32" s="63" t="s">
        <v>49</v>
      </c>
    </row>
    <row r="33">
      <c r="A33" s="63" t="s">
        <v>50</v>
      </c>
    </row>
    <row r="34">
      <c r="A34" s="63" t="s">
        <v>51</v>
      </c>
    </row>
    <row r="35">
      <c r="A35" s="63" t="s">
        <v>50</v>
      </c>
    </row>
    <row r="36">
      <c r="A36" s="63" t="s">
        <v>52</v>
      </c>
    </row>
    <row r="37">
      <c r="A37" s="63" t="s">
        <v>53</v>
      </c>
    </row>
    <row r="38">
      <c r="A38" s="63" t="s">
        <v>23</v>
      </c>
    </row>
    <row r="39">
      <c r="A39" s="63" t="s">
        <v>28</v>
      </c>
    </row>
    <row r="40">
      <c r="A40" s="63" t="s">
        <v>34</v>
      </c>
    </row>
    <row r="41">
      <c r="A41" s="63" t="s">
        <v>32</v>
      </c>
    </row>
    <row r="42">
      <c r="A42" s="63" t="s">
        <v>35</v>
      </c>
    </row>
  </sheetData>
  <mergeCells count="1">
    <mergeCell ref="L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1.13"/>
    <col customWidth="1" min="2" max="2" width="6.5"/>
    <col customWidth="1" min="3" max="3" width="6.75"/>
    <col customWidth="1" min="4" max="4" width="3.25"/>
    <col customWidth="1" min="5" max="5" width="23.63"/>
    <col customWidth="1" min="6" max="11" width="4.13"/>
    <col customWidth="1" min="12" max="12" width="1.13"/>
    <col customWidth="1" min="13" max="14" width="1.38"/>
    <col customWidth="1" min="15" max="15" width="4.75"/>
    <col customWidth="1" min="16" max="18" width="4.13"/>
    <col customWidth="1" min="19" max="19" width="3.13"/>
    <col customWidth="1" min="20" max="23" width="4.13"/>
    <col customWidth="1" min="24" max="24" width="1.13"/>
    <col customWidth="1" min="25" max="25" width="1.25"/>
    <col customWidth="1" min="26" max="29" width="4.13"/>
    <col customWidth="1" min="30" max="30" width="10.63" outlineLevel="1"/>
    <col customWidth="1" min="31" max="31" width="12.13" outlineLevel="1"/>
    <col customWidth="1" min="32" max="32" width="7.25" outlineLevel="1"/>
  </cols>
  <sheetData>
    <row r="1" ht="20.25" customHeight="1">
      <c r="B1" s="68" t="s">
        <v>54</v>
      </c>
      <c r="AD1" s="69" t="s">
        <v>55</v>
      </c>
    </row>
    <row r="2" ht="16.5" customHeight="1" outlineLevel="1">
      <c r="E2" s="70"/>
      <c r="F2" s="71"/>
      <c r="O2" s="72" t="s">
        <v>56</v>
      </c>
      <c r="S2" s="73"/>
      <c r="T2" s="74" t="s">
        <v>57</v>
      </c>
    </row>
    <row r="3" ht="18.75" customHeight="1" outlineLevel="1"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6" t="s">
        <v>58</v>
      </c>
      <c r="P3" s="77" t="s">
        <v>30</v>
      </c>
      <c r="Q3" s="78"/>
      <c r="R3" s="79"/>
      <c r="T3" s="80" t="s">
        <v>58</v>
      </c>
      <c r="U3" s="81" t="s">
        <v>30</v>
      </c>
      <c r="V3" s="78"/>
      <c r="W3" s="79"/>
      <c r="Z3" s="75"/>
      <c r="AD3" s="82"/>
      <c r="AE3" s="82"/>
      <c r="AF3" s="82"/>
    </row>
    <row r="4" ht="24.75" customHeight="1" outlineLevel="1">
      <c r="C4" s="83" t="s">
        <v>59</v>
      </c>
      <c r="D4" s="84"/>
      <c r="E4" s="85" t="s">
        <v>30</v>
      </c>
      <c r="F4" s="86" t="s">
        <v>60</v>
      </c>
      <c r="G4" s="84"/>
      <c r="H4" s="84"/>
      <c r="I4" s="87" t="s">
        <v>30</v>
      </c>
      <c r="J4" s="84"/>
      <c r="K4" s="84"/>
      <c r="L4" s="84"/>
      <c r="M4" s="84"/>
      <c r="N4" s="88"/>
      <c r="O4" s="89" t="s">
        <v>61</v>
      </c>
      <c r="P4" s="90" t="s">
        <v>30</v>
      </c>
      <c r="Q4" s="91"/>
      <c r="R4" s="92"/>
      <c r="S4" s="73"/>
      <c r="T4" s="89" t="s">
        <v>61</v>
      </c>
      <c r="U4" s="90" t="s">
        <v>30</v>
      </c>
      <c r="V4" s="91"/>
      <c r="W4" s="92"/>
      <c r="X4" s="73"/>
      <c r="Y4" s="73"/>
      <c r="Z4" s="93" t="s">
        <v>30</v>
      </c>
      <c r="AA4" s="84"/>
      <c r="AB4" s="84"/>
      <c r="AC4" s="84"/>
      <c r="AD4" s="94" t="s">
        <v>30</v>
      </c>
      <c r="AE4" s="12"/>
      <c r="AF4" s="12"/>
    </row>
    <row r="5" ht="9.75" customHeight="1">
      <c r="C5" s="95" t="str">
        <f>IF(HomePage!G8 = "https://pokepast.es/df44831dd6e19bf2", "WARNING: You may have forgotten to upate your Pokepaste on the HomePage", IF(HomePage!G6 = "Bauerdad", "WARNING: You may have forgotten your Showdown Username on the HomePage", ""))</f>
        <v/>
      </c>
      <c r="Z5" s="96" t="s">
        <v>62</v>
      </c>
      <c r="AD5" s="96" t="s">
        <v>63</v>
      </c>
      <c r="AE5" s="96" t="s">
        <v>64</v>
      </c>
    </row>
    <row r="6" ht="10.5" customHeight="1">
      <c r="Z6" s="97"/>
      <c r="AA6" s="97"/>
      <c r="AB6" s="97"/>
      <c r="AC6" s="97"/>
      <c r="AD6" s="97"/>
      <c r="AE6" s="97"/>
      <c r="AF6" s="97"/>
    </row>
    <row r="7">
      <c r="B7" s="98" t="s">
        <v>65</v>
      </c>
      <c r="C7" s="98" t="s">
        <v>59</v>
      </c>
      <c r="F7" s="98" t="s">
        <v>66</v>
      </c>
      <c r="L7" s="99"/>
      <c r="M7" s="99"/>
      <c r="N7" s="96"/>
      <c r="O7" s="96" t="s">
        <v>67</v>
      </c>
      <c r="S7" s="100"/>
      <c r="T7" s="98" t="s">
        <v>68</v>
      </c>
      <c r="Z7" s="96" t="s">
        <v>69</v>
      </c>
      <c r="AB7" s="96" t="s">
        <v>70</v>
      </c>
      <c r="AD7" s="96"/>
      <c r="AE7" s="96" t="s">
        <v>69</v>
      </c>
      <c r="AF7" s="96" t="s">
        <v>70</v>
      </c>
    </row>
    <row r="8" ht="24.0" customHeight="1">
      <c r="B8" s="101" t="str">
        <f>'GBG Filtered'!A2</f>
        <v>1</v>
      </c>
      <c r="C8" s="102" t="str">
        <f>'GBG Filtered'!B2</f>
        <v>Loss</v>
      </c>
      <c r="D8" s="102" t="str">
        <f>'GBG Filtered'!C2</f>
        <v>vs</v>
      </c>
      <c r="E8" s="102" t="str">
        <f>'GBG Filtered'!D2</f>
        <v>DoByG</v>
      </c>
      <c r="F8" s="63" t="str">
        <f>IF('GBG Filtered'!E2 &lt;&gt; "", VLOOKUP(IFERROR(VLOOKUP('GBG Filtered'!E2, FormFixes, 2, false), 'GBG Filtered'!E2), PokemonIcons, 2, False), "")</f>
        <v>#REF!</v>
      </c>
      <c r="G8" s="63" t="str">
        <f>IF('GBG Filtered'!F2 &lt;&gt; "", VLOOKUP(IFERROR(VLOOKUP('GBG Filtered'!F2, FormFixes, 2, false), 'GBG Filtered'!F2), PokemonIcons, 2, False), "")</f>
        <v>#REF!</v>
      </c>
      <c r="H8" s="63" t="str">
        <f>IF('GBG Filtered'!G2 &lt;&gt; "", VLOOKUP(IFERROR(VLOOKUP('GBG Filtered'!G2, FormFixes, 2, false), 'GBG Filtered'!G2), PokemonIcons, 2, False), "")</f>
        <v>#REF!</v>
      </c>
      <c r="I8" s="63" t="str">
        <f>IF('GBG Filtered'!H2 &lt;&gt; "", VLOOKUP(IFERROR(VLOOKUP('GBG Filtered'!H2, FormFixes, 2, false), 'GBG Filtered'!H2), PokemonIcons, 2, False), "")</f>
        <v>#REF!</v>
      </c>
      <c r="J8" s="63" t="str">
        <f>IF('GBG Filtered'!I2 &lt;&gt; "", VLOOKUP(IFERROR(VLOOKUP('GBG Filtered'!I2, FormFixes, 2, false), 'GBG Filtered'!I2), PokemonIcons, 2, False), "")</f>
        <v>#REF!</v>
      </c>
      <c r="K8" s="63" t="str">
        <f>IF('GBG Filtered'!J2 &lt;&gt; "", VLOOKUP(IFERROR(VLOOKUP('GBG Filtered'!J2, FormFixes, 2, false), 'GBG Filtered'!J2), PokemonIcons, 2, False), "")</f>
        <v>#REF!</v>
      </c>
      <c r="O8" s="63" t="str">
        <f>IF('GBG Filtered'!N2 &lt;&gt; "", VLOOKUP(IFERROR(VLOOKUP('GBG Filtered'!N2, FormFixes, 2, false), 'GBG Filtered'!N2), PokemonIcons, 2, False), "")</f>
        <v>#REF!</v>
      </c>
      <c r="P8" s="63" t="str">
        <f>IF('GBG Filtered'!O2 &lt;&gt; "", VLOOKUP(IFERROR(VLOOKUP('GBG Filtered'!O2, FormFixes, 2, false), 'GBG Filtered'!O2), PokemonIcons, 2, False), "")</f>
        <v>#REF!</v>
      </c>
      <c r="Q8" s="63" t="str">
        <f>IF('GBG Filtered'!P2 &lt;&gt; "", VLOOKUP(IFERROR(VLOOKUP('GBG Filtered'!P2, FormFixes, 2, false), 'GBG Filtered'!P2), PokemonIcons, 2, False), "")</f>
        <v>#REF!</v>
      </c>
      <c r="R8" s="63" t="str">
        <f>IF('GBG Filtered'!Q2 &lt;&gt; "", VLOOKUP(IFERROR(VLOOKUP('GBG Filtered'!Q2, FormFixes, 2, false), 'GBG Filtered'!Q2), PokemonIcons, 2, False), "")</f>
        <v>#REF!</v>
      </c>
      <c r="T8" s="63" t="str">
        <f>IF('GBG Filtered'!S2 &lt;&gt; "", VLOOKUP(IFERROR(VLOOKUP('GBG Filtered'!S2, FormFixes, 2, false), 'GBG Filtered'!S2), PokemonIcons, 2, False), "")</f>
        <v>#REF!</v>
      </c>
      <c r="U8" s="63" t="str">
        <f>IF('GBG Filtered'!T2 &lt;&gt; "", VLOOKUP(IFERROR(VLOOKUP('GBG Filtered'!T2, FormFixes, 2, false), 'GBG Filtered'!T2), PokemonIcons, 2, False), "")</f>
        <v>#REF!</v>
      </c>
      <c r="V8" s="63" t="str">
        <f>IF('GBG Filtered'!U2 &lt;&gt; "", VLOOKUP(IFERROR(VLOOKUP('GBG Filtered'!U2, FormFixes, 2, false), 'GBG Filtered'!U2), PokemonIcons, 2, False), "")</f>
        <v>#REF!</v>
      </c>
      <c r="W8" s="63" t="str">
        <f>IF('GBG Filtered'!V2 &lt;&gt; "", VLOOKUP(IFERROR(VLOOKUP('GBG Filtered'!V2, FormFixes, 2, false), 'GBG Filtered'!V2), PokemonIcons, 2, False), "")</f>
        <v>#REF!</v>
      </c>
      <c r="Z8" s="63" t="str">
        <f>IF('GBG Filtered'!Y2 &lt;&gt; "", VLOOKUP(IFERROR(VLOOKUP('GBG Filtered'!Y2, FormFixes, 2, false), 'GBG Filtered'!Y2), PokemonIcons, 2, False), "")</f>
        <v>#REF!</v>
      </c>
      <c r="AA8" s="63" t="str">
        <f>IF('GBG Filtered'!Z2 &lt;&gt; "", VLOOKUP('GBG Filtered'!Z2, TypeIcons, 2, False), "")</f>
        <v>#REF!</v>
      </c>
      <c r="AB8" s="63" t="str">
        <f>IF('GBG Filtered'!AA2 &lt;&gt; "", VLOOKUP(IFERROR(VLOOKUP('GBG Filtered'!AA2, FormFixes, 2, false), 'GBG Filtered'!AA2), PokemonIcons, 2, False), "")</f>
        <v>#REF!</v>
      </c>
      <c r="AC8" s="63" t="str">
        <f>IF('GBG Filtered'!AB2 &lt;&gt; "", VLOOKUP('GBG Filtered'!AB2, TypeIcons, 2, False), "")</f>
        <v>#REF!</v>
      </c>
      <c r="AD8" s="103" t="str">
        <f>'GBG Filtered'!AC2</f>
        <v/>
      </c>
      <c r="AE8" s="103" t="str">
        <f>'GBG Filtered'!AD2</f>
        <v>1032 -&gt; 1017</v>
      </c>
      <c r="AF8" s="104" t="str">
        <f>'GBG Filtered'!AE2</f>
        <v>1037</v>
      </c>
    </row>
    <row r="9" ht="24.0" customHeight="1">
      <c r="B9" s="101" t="str">
        <f>'GBG Filtered'!A3</f>
        <v>2</v>
      </c>
      <c r="C9" s="102" t="str">
        <f>'GBG Filtered'!B3</f>
        <v>Loss</v>
      </c>
      <c r="D9" s="102" t="str">
        <f>'GBG Filtered'!C3</f>
        <v>vs</v>
      </c>
      <c r="E9" s="102" t="str">
        <f>'GBG Filtered'!D3</f>
        <v>diogo10egas</v>
      </c>
      <c r="F9" s="63" t="str">
        <f>IF('GBG Filtered'!E3 &lt;&gt; "", VLOOKUP(IFERROR(VLOOKUP('GBG Filtered'!E3, FormFixes, 2, false), 'GBG Filtered'!E3), PokemonIcons, 2, False), "")</f>
        <v>#REF!</v>
      </c>
      <c r="G9" s="63" t="str">
        <f>IF('GBG Filtered'!F3 &lt;&gt; "", VLOOKUP(IFERROR(VLOOKUP('GBG Filtered'!F3, FormFixes, 2, false), 'GBG Filtered'!F3), PokemonIcons, 2, False), "")</f>
        <v>#REF!</v>
      </c>
      <c r="H9" s="63" t="str">
        <f>IF('GBG Filtered'!G3 &lt;&gt; "", VLOOKUP(IFERROR(VLOOKUP('GBG Filtered'!G3, FormFixes, 2, false), 'GBG Filtered'!G3), PokemonIcons, 2, False), "")</f>
        <v>#REF!</v>
      </c>
      <c r="I9" s="63" t="str">
        <f>IF('GBG Filtered'!H3 &lt;&gt; "", VLOOKUP(IFERROR(VLOOKUP('GBG Filtered'!H3, FormFixes, 2, false), 'GBG Filtered'!H3), PokemonIcons, 2, False), "")</f>
        <v>#REF!</v>
      </c>
      <c r="J9" s="63" t="str">
        <f>IF('GBG Filtered'!I3 &lt;&gt; "", VLOOKUP(IFERROR(VLOOKUP('GBG Filtered'!I3, FormFixes, 2, false), 'GBG Filtered'!I3), PokemonIcons, 2, False), "")</f>
        <v>#REF!</v>
      </c>
      <c r="K9" s="63" t="str">
        <f>IF('GBG Filtered'!J3 &lt;&gt; "", VLOOKUP(IFERROR(VLOOKUP('GBG Filtered'!J3, FormFixes, 2, false), 'GBG Filtered'!J3), PokemonIcons, 2, False), "")</f>
        <v>#REF!</v>
      </c>
      <c r="O9" s="63" t="str">
        <f>IF('GBG Filtered'!N3 &lt;&gt; "", VLOOKUP(IFERROR(VLOOKUP('GBG Filtered'!N3, FormFixes, 2, false), 'GBG Filtered'!N3), PokemonIcons, 2, False), "")</f>
        <v>#REF!</v>
      </c>
      <c r="P9" s="63" t="str">
        <f>IF('GBG Filtered'!O3 &lt;&gt; "", VLOOKUP(IFERROR(VLOOKUP('GBG Filtered'!O3, FormFixes, 2, false), 'GBG Filtered'!O3), PokemonIcons, 2, False), "")</f>
        <v>#REF!</v>
      </c>
      <c r="Q9" s="63" t="str">
        <f>IF('GBG Filtered'!P3 &lt;&gt; "", VLOOKUP(IFERROR(VLOOKUP('GBG Filtered'!P3, FormFixes, 2, false), 'GBG Filtered'!P3), PokemonIcons, 2, False), "")</f>
        <v>#REF!</v>
      </c>
      <c r="R9" s="63" t="str">
        <f>IF('GBG Filtered'!Q3 &lt;&gt; "", VLOOKUP(IFERROR(VLOOKUP('GBG Filtered'!Q3, FormFixes, 2, false), 'GBG Filtered'!Q3), PokemonIcons, 2, False), "")</f>
        <v>#REF!</v>
      </c>
      <c r="T9" s="63" t="str">
        <f>IF('GBG Filtered'!S3 &lt;&gt; "", VLOOKUP(IFERROR(VLOOKUP('GBG Filtered'!S3, FormFixes, 2, false), 'GBG Filtered'!S3), PokemonIcons, 2, False), "")</f>
        <v>#REF!</v>
      </c>
      <c r="U9" s="63" t="str">
        <f>IF('GBG Filtered'!T3 &lt;&gt; "", VLOOKUP(IFERROR(VLOOKUP('GBG Filtered'!T3, FormFixes, 2, false), 'GBG Filtered'!T3), PokemonIcons, 2, False), "")</f>
        <v>#REF!</v>
      </c>
      <c r="V9" s="63" t="str">
        <f>IF('GBG Filtered'!U3 &lt;&gt; "", VLOOKUP(IFERROR(VLOOKUP('GBG Filtered'!U3, FormFixes, 2, false), 'GBG Filtered'!U3), PokemonIcons, 2, False), "")</f>
        <v>#REF!</v>
      </c>
      <c r="W9" s="63" t="str">
        <f>IF('GBG Filtered'!V3 &lt;&gt; "", VLOOKUP(IFERROR(VLOOKUP('GBG Filtered'!V3, FormFixes, 2, false), 'GBG Filtered'!V3), PokemonIcons, 2, False), "")</f>
        <v>#REF!</v>
      </c>
      <c r="Z9" s="63" t="str">
        <f>IF('GBG Filtered'!Y3 &lt;&gt; "", VLOOKUP(IFERROR(VLOOKUP('GBG Filtered'!Y3, FormFixes, 2, false), 'GBG Filtered'!Y3), PokemonIcons, 2, False), "")</f>
        <v>#REF!</v>
      </c>
      <c r="AA9" s="63" t="str">
        <f>IF('GBG Filtered'!Z3 &lt;&gt; "", VLOOKUP('GBG Filtered'!Z3, TypeIcons, 2, False), "")</f>
        <v>#REF!</v>
      </c>
      <c r="AB9" s="63" t="str">
        <f>IF('GBG Filtered'!AA3 &lt;&gt; "", VLOOKUP(IFERROR(VLOOKUP('GBG Filtered'!AA3, FormFixes, 2, false), 'GBG Filtered'!AA3), PokemonIcons, 2, False), "")</f>
        <v>#REF!</v>
      </c>
      <c r="AC9" s="63" t="str">
        <f>IF('GBG Filtered'!AB3 &lt;&gt; "", VLOOKUP('GBG Filtered'!AB3, TypeIcons, 2, False), "")</f>
        <v>#REF!</v>
      </c>
      <c r="AD9" s="103" t="str">
        <f>'GBG Filtered'!AC3</f>
        <v/>
      </c>
      <c r="AE9" s="103" t="str">
        <f>'GBG Filtered'!AD3</f>
        <v>1017 -&gt; 1007</v>
      </c>
      <c r="AF9" s="104" t="str">
        <f>'GBG Filtered'!AE3</f>
        <v>1076</v>
      </c>
    </row>
    <row r="10" ht="24.0" customHeight="1">
      <c r="B10" s="101" t="str">
        <f>'GBG Filtered'!A4</f>
        <v>3</v>
      </c>
      <c r="C10" s="102" t="str">
        <f>'GBG Filtered'!B4</f>
        <v>Loss</v>
      </c>
      <c r="D10" s="102" t="str">
        <f>'GBG Filtered'!C4</f>
        <v>vs</v>
      </c>
      <c r="E10" s="102" t="str">
        <f>'GBG Filtered'!D4</f>
        <v>Larateamo</v>
      </c>
      <c r="F10" s="63" t="str">
        <f>IF('GBG Filtered'!E4 &lt;&gt; "", VLOOKUP(IFERROR(VLOOKUP('GBG Filtered'!E4, FormFixes, 2, false), 'GBG Filtered'!E4), PokemonIcons, 2, False), "")</f>
        <v>#REF!</v>
      </c>
      <c r="G10" s="63" t="str">
        <f>IF('GBG Filtered'!F4 &lt;&gt; "", VLOOKUP(IFERROR(VLOOKUP('GBG Filtered'!F4, FormFixes, 2, false), 'GBG Filtered'!F4), PokemonIcons, 2, False), "")</f>
        <v>#REF!</v>
      </c>
      <c r="H10" s="63" t="str">
        <f>IF('GBG Filtered'!G4 &lt;&gt; "", VLOOKUP(IFERROR(VLOOKUP('GBG Filtered'!G4, FormFixes, 2, false), 'GBG Filtered'!G4), PokemonIcons, 2, False), "")</f>
        <v>#REF!</v>
      </c>
      <c r="I10" s="63" t="str">
        <f>IF('GBG Filtered'!H4 &lt;&gt; "", VLOOKUP(IFERROR(VLOOKUP('GBG Filtered'!H4, FormFixes, 2, false), 'GBG Filtered'!H4), PokemonIcons, 2, False), "")</f>
        <v>#REF!</v>
      </c>
      <c r="J10" s="63" t="str">
        <f>IF('GBG Filtered'!I4 &lt;&gt; "", VLOOKUP(IFERROR(VLOOKUP('GBG Filtered'!I4, FormFixes, 2, false), 'GBG Filtered'!I4), PokemonIcons, 2, False), "")</f>
        <v>#REF!</v>
      </c>
      <c r="K10" s="63" t="str">
        <f>IF('GBG Filtered'!J4 &lt;&gt; "", VLOOKUP(IFERROR(VLOOKUP('GBG Filtered'!J4, FormFixes, 2, false), 'GBG Filtered'!J4), PokemonIcons, 2, False), "")</f>
        <v>#REF!</v>
      </c>
      <c r="O10" s="63" t="str">
        <f>IF('GBG Filtered'!N4 &lt;&gt; "", VLOOKUP(IFERROR(VLOOKUP('GBG Filtered'!N4, FormFixes, 2, false), 'GBG Filtered'!N4), PokemonIcons, 2, False), "")</f>
        <v>#REF!</v>
      </c>
      <c r="P10" s="63" t="str">
        <f>IF('GBG Filtered'!O4 &lt;&gt; "", VLOOKUP(IFERROR(VLOOKUP('GBG Filtered'!O4, FormFixes, 2, false), 'GBG Filtered'!O4), PokemonIcons, 2, False), "")</f>
        <v>#REF!</v>
      </c>
      <c r="Q10" s="63" t="str">
        <f>IF('GBG Filtered'!P4 &lt;&gt; "", VLOOKUP(IFERROR(VLOOKUP('GBG Filtered'!P4, FormFixes, 2, false), 'GBG Filtered'!P4), PokemonIcons, 2, False), "")</f>
        <v>#REF!</v>
      </c>
      <c r="R10" s="63" t="str">
        <f>IF('GBG Filtered'!Q4 &lt;&gt; "", VLOOKUP(IFERROR(VLOOKUP('GBG Filtered'!Q4, FormFixes, 2, false), 'GBG Filtered'!Q4), PokemonIcons, 2, False), "")</f>
        <v>#REF!</v>
      </c>
      <c r="T10" s="63" t="str">
        <f>IF('GBG Filtered'!S4 &lt;&gt; "", VLOOKUP(IFERROR(VLOOKUP('GBG Filtered'!S4, FormFixes, 2, false), 'GBG Filtered'!S4), PokemonIcons, 2, False), "")</f>
        <v>#REF!</v>
      </c>
      <c r="U10" s="63" t="str">
        <f>IF('GBG Filtered'!T4 &lt;&gt; "", VLOOKUP(IFERROR(VLOOKUP('GBG Filtered'!T4, FormFixes, 2, false), 'GBG Filtered'!T4), PokemonIcons, 2, False), "")</f>
        <v>#REF!</v>
      </c>
      <c r="V10" s="63" t="str">
        <f>IF('GBG Filtered'!U4 &lt;&gt; "", VLOOKUP(IFERROR(VLOOKUP('GBG Filtered'!U4, FormFixes, 2, false), 'GBG Filtered'!U4), PokemonIcons, 2, False), "")</f>
        <v>#REF!</v>
      </c>
      <c r="W10" s="63" t="str">
        <f>IF('GBG Filtered'!V4 &lt;&gt; "", VLOOKUP(IFERROR(VLOOKUP('GBG Filtered'!V4, FormFixes, 2, false), 'GBG Filtered'!V4), PokemonIcons, 2, False), "")</f>
        <v>#REF!</v>
      </c>
      <c r="Z10" s="63" t="str">
        <f>IF('GBG Filtered'!Y4 &lt;&gt; "", VLOOKUP(IFERROR(VLOOKUP('GBG Filtered'!Y4, FormFixes, 2, false), 'GBG Filtered'!Y4), PokemonIcons, 2, False), "")</f>
        <v>#REF!</v>
      </c>
      <c r="AA10" s="63" t="str">
        <f>IF('GBG Filtered'!Z4 &lt;&gt; "", VLOOKUP('GBG Filtered'!Z4, TypeIcons, 2, False), "")</f>
        <v>#REF!</v>
      </c>
      <c r="AB10" s="63" t="str">
        <f>IF('GBG Filtered'!AA4 &lt;&gt; "", VLOOKUP(IFERROR(VLOOKUP('GBG Filtered'!AA4, FormFixes, 2, false), 'GBG Filtered'!AA4), PokemonIcons, 2, False), "")</f>
        <v>#REF!</v>
      </c>
      <c r="AC10" s="63" t="str">
        <f>IF('GBG Filtered'!AB4 &lt;&gt; "", VLOOKUP('GBG Filtered'!AB4, TypeIcons, 2, False), "")</f>
        <v>#REF!</v>
      </c>
      <c r="AD10" s="103" t="str">
        <f>'GBG Filtered'!AC4</f>
        <v/>
      </c>
      <c r="AE10" s="103" t="str">
        <f>'GBG Filtered'!AD4</f>
        <v>1007 -&gt; 1000</v>
      </c>
      <c r="AF10" s="104" t="str">
        <f>'GBG Filtered'!AE4</f>
        <v>1000</v>
      </c>
    </row>
    <row r="11" ht="24.0" customHeight="1">
      <c r="B11" s="101" t="str">
        <f>'GBG Filtered'!A5</f>
        <v>4</v>
      </c>
      <c r="C11" s="102" t="str">
        <f>'GBG Filtered'!B5</f>
        <v>Loss</v>
      </c>
      <c r="D11" s="102" t="str">
        <f>'GBG Filtered'!C5</f>
        <v>vs</v>
      </c>
      <c r="E11" s="102" t="str">
        <f>'GBG Filtered'!D5</f>
        <v>thaoss</v>
      </c>
      <c r="F11" s="63" t="str">
        <f>IF('GBG Filtered'!E5 &lt;&gt; "", VLOOKUP(IFERROR(VLOOKUP('GBG Filtered'!E5, FormFixes, 2, false), 'GBG Filtered'!E5), PokemonIcons, 2, False), "")</f>
        <v>#REF!</v>
      </c>
      <c r="G11" s="63" t="str">
        <f>IF('GBG Filtered'!F5 &lt;&gt; "", VLOOKUP(IFERROR(VLOOKUP('GBG Filtered'!F5, FormFixes, 2, false), 'GBG Filtered'!F5), PokemonIcons, 2, False), "")</f>
        <v>#REF!</v>
      </c>
      <c r="H11" s="63" t="str">
        <f>IF('GBG Filtered'!G5 &lt;&gt; "", VLOOKUP(IFERROR(VLOOKUP('GBG Filtered'!G5, FormFixes, 2, false), 'GBG Filtered'!G5), PokemonIcons, 2, False), "")</f>
        <v>#REF!</v>
      </c>
      <c r="I11" s="63" t="str">
        <f>IF('GBG Filtered'!H5 &lt;&gt; "", VLOOKUP(IFERROR(VLOOKUP('GBG Filtered'!H5, FormFixes, 2, false), 'GBG Filtered'!H5), PokemonIcons, 2, False), "")</f>
        <v>#REF!</v>
      </c>
      <c r="J11" s="63" t="str">
        <f>IF('GBG Filtered'!I5 &lt;&gt; "", VLOOKUP(IFERROR(VLOOKUP('GBG Filtered'!I5, FormFixes, 2, false), 'GBG Filtered'!I5), PokemonIcons, 2, False), "")</f>
        <v>#REF!</v>
      </c>
      <c r="K11" s="63" t="str">
        <f>IF('GBG Filtered'!J5 &lt;&gt; "", VLOOKUP(IFERROR(VLOOKUP('GBG Filtered'!J5, FormFixes, 2, false), 'GBG Filtered'!J5), PokemonIcons, 2, False), "")</f>
        <v>#REF!</v>
      </c>
      <c r="O11" s="63" t="str">
        <f>IF('GBG Filtered'!N5 &lt;&gt; "", VLOOKUP(IFERROR(VLOOKUP('GBG Filtered'!N5, FormFixes, 2, false), 'GBG Filtered'!N5), PokemonIcons, 2, False), "")</f>
        <v>#REF!</v>
      </c>
      <c r="P11" s="63" t="str">
        <f>IF('GBG Filtered'!O5 &lt;&gt; "", VLOOKUP(IFERROR(VLOOKUP('GBG Filtered'!O5, FormFixes, 2, false), 'GBG Filtered'!O5), PokemonIcons, 2, False), "")</f>
        <v>#REF!</v>
      </c>
      <c r="Q11" s="63" t="str">
        <f>IF('GBG Filtered'!P5 &lt;&gt; "", VLOOKUP(IFERROR(VLOOKUP('GBG Filtered'!P5, FormFixes, 2, false), 'GBG Filtered'!P5), PokemonIcons, 2, False), "")</f>
        <v>#REF!</v>
      </c>
      <c r="R11" s="63" t="str">
        <f>IF('GBG Filtered'!Q5 &lt;&gt; "", VLOOKUP(IFERROR(VLOOKUP('GBG Filtered'!Q5, FormFixes, 2, false), 'GBG Filtered'!Q5), PokemonIcons, 2, False), "")</f>
        <v>#REF!</v>
      </c>
      <c r="T11" s="63" t="str">
        <f>IF('GBG Filtered'!S5 &lt;&gt; "", VLOOKUP(IFERROR(VLOOKUP('GBG Filtered'!S5, FormFixes, 2, false), 'GBG Filtered'!S5), PokemonIcons, 2, False), "")</f>
        <v>#REF!</v>
      </c>
      <c r="U11" s="63" t="str">
        <f>IF('GBG Filtered'!T5 &lt;&gt; "", VLOOKUP(IFERROR(VLOOKUP('GBG Filtered'!T5, FormFixes, 2, false), 'GBG Filtered'!T5), PokemonIcons, 2, False), "")</f>
        <v>#REF!</v>
      </c>
      <c r="V11" s="63" t="str">
        <f>IF('GBG Filtered'!U5 &lt;&gt; "", VLOOKUP(IFERROR(VLOOKUP('GBG Filtered'!U5, FormFixes, 2, false), 'GBG Filtered'!U5), PokemonIcons, 2, False), "")</f>
        <v>#REF!</v>
      </c>
      <c r="W11" s="63" t="str">
        <f>IF('GBG Filtered'!V5 &lt;&gt; "", VLOOKUP(IFERROR(VLOOKUP('GBG Filtered'!V5, FormFixes, 2, false), 'GBG Filtered'!V5), PokemonIcons, 2, False), "")</f>
        <v>#REF!</v>
      </c>
      <c r="Z11" s="63" t="str">
        <f>IF('GBG Filtered'!Y5 &lt;&gt; "", VLOOKUP(IFERROR(VLOOKUP('GBG Filtered'!Y5, FormFixes, 2, false), 'GBG Filtered'!Y5), PokemonIcons, 2, False), "")</f>
        <v>#REF!</v>
      </c>
      <c r="AA11" s="63" t="str">
        <f>IF('GBG Filtered'!Z5 &lt;&gt; "", VLOOKUP('GBG Filtered'!Z5, TypeIcons, 2, False), "")</f>
        <v>#REF!</v>
      </c>
      <c r="AB11" s="63" t="str">
        <f>IF('GBG Filtered'!AA5 &lt;&gt; "", VLOOKUP(IFERROR(VLOOKUP('GBG Filtered'!AA5, FormFixes, 2, false), 'GBG Filtered'!AA5), PokemonIcons, 2, False), "")</f>
        <v>#REF!</v>
      </c>
      <c r="AC11" s="63" t="str">
        <f>IF('GBG Filtered'!AB5 &lt;&gt; "", VLOOKUP('GBG Filtered'!AB5, TypeIcons, 2, False), "")</f>
        <v>#REF!</v>
      </c>
      <c r="AD11" s="103" t="str">
        <f>'GBG Filtered'!AC5</f>
        <v/>
      </c>
      <c r="AE11" s="103" t="str">
        <f>'GBG Filtered'!AD5</f>
        <v>1000 -&gt; 1000</v>
      </c>
      <c r="AF11" s="104" t="str">
        <f>'GBG Filtered'!AE5</f>
        <v>1000</v>
      </c>
    </row>
    <row r="12" ht="24.0" customHeight="1">
      <c r="B12" s="101" t="str">
        <f>'GBG Filtered'!A6</f>
        <v/>
      </c>
      <c r="C12" s="102" t="str">
        <f>'GBG Filtered'!B6</f>
        <v/>
      </c>
      <c r="D12" s="102" t="str">
        <f>'GBG Filtered'!C6</f>
        <v/>
      </c>
      <c r="E12" s="102" t="str">
        <f>'GBG Filtered'!D6</f>
        <v/>
      </c>
      <c r="F12" s="63" t="str">
        <f>IF('GBG Filtered'!E6 &lt;&gt; "", VLOOKUP(IFERROR(VLOOKUP('GBG Filtered'!E6, FormFixes, 2, false), 'GBG Filtered'!E6), PokemonIcons, 2, False), "")</f>
        <v/>
      </c>
      <c r="G12" s="63" t="str">
        <f>IF('GBG Filtered'!F6 &lt;&gt; "", VLOOKUP(IFERROR(VLOOKUP('GBG Filtered'!F6, FormFixes, 2, false), 'GBG Filtered'!F6), PokemonIcons, 2, False), "")</f>
        <v/>
      </c>
      <c r="H12" s="63" t="str">
        <f>IF('GBG Filtered'!G6 &lt;&gt; "", VLOOKUP(IFERROR(VLOOKUP('GBG Filtered'!G6, FormFixes, 2, false), 'GBG Filtered'!G6), PokemonIcons, 2, False), "")</f>
        <v/>
      </c>
      <c r="I12" s="63" t="str">
        <f>IF('GBG Filtered'!H6 &lt;&gt; "", VLOOKUP(IFERROR(VLOOKUP('GBG Filtered'!H6, FormFixes, 2, false), 'GBG Filtered'!H6), PokemonIcons, 2, False), "")</f>
        <v/>
      </c>
      <c r="J12" s="63" t="str">
        <f>IF('GBG Filtered'!I6 &lt;&gt; "", VLOOKUP(IFERROR(VLOOKUP('GBG Filtered'!I6, FormFixes, 2, false), 'GBG Filtered'!I6), PokemonIcons, 2, False), "")</f>
        <v/>
      </c>
      <c r="K12" s="63" t="str">
        <f>IF('GBG Filtered'!J6 &lt;&gt; "", VLOOKUP(IFERROR(VLOOKUP('GBG Filtered'!J6, FormFixes, 2, false), 'GBG Filtered'!J6), PokemonIcons, 2, False), "")</f>
        <v/>
      </c>
      <c r="O12" s="63" t="str">
        <f>IF('GBG Filtered'!N6 &lt;&gt; "", VLOOKUP(IFERROR(VLOOKUP('GBG Filtered'!N6, FormFixes, 2, false), 'GBG Filtered'!N6), PokemonIcons, 2, False), "")</f>
        <v/>
      </c>
      <c r="P12" s="63" t="str">
        <f>IF('GBG Filtered'!O6 &lt;&gt; "", VLOOKUP(IFERROR(VLOOKUP('GBG Filtered'!O6, FormFixes, 2, false), 'GBG Filtered'!O6), PokemonIcons, 2, False), "")</f>
        <v/>
      </c>
      <c r="Q12" s="63" t="str">
        <f>IF('GBG Filtered'!P6 &lt;&gt; "", VLOOKUP(IFERROR(VLOOKUP('GBG Filtered'!P6, FormFixes, 2, false), 'GBG Filtered'!P6), PokemonIcons, 2, False), "")</f>
        <v/>
      </c>
      <c r="R12" s="63" t="str">
        <f>IF('GBG Filtered'!Q6 &lt;&gt; "", VLOOKUP(IFERROR(VLOOKUP('GBG Filtered'!Q6, FormFixes, 2, false), 'GBG Filtered'!Q6), PokemonIcons, 2, False), "")</f>
        <v/>
      </c>
      <c r="T12" s="63" t="str">
        <f>IF('GBG Filtered'!S6 &lt;&gt; "", VLOOKUP(IFERROR(VLOOKUP('GBG Filtered'!S6, FormFixes, 2, false), 'GBG Filtered'!S6), PokemonIcons, 2, False), "")</f>
        <v/>
      </c>
      <c r="U12" s="63" t="str">
        <f>IF('GBG Filtered'!T6 &lt;&gt; "", VLOOKUP(IFERROR(VLOOKUP('GBG Filtered'!T6, FormFixes, 2, false), 'GBG Filtered'!T6), PokemonIcons, 2, False), "")</f>
        <v/>
      </c>
      <c r="V12" s="63" t="str">
        <f>IF('GBG Filtered'!U6 &lt;&gt; "", VLOOKUP(IFERROR(VLOOKUP('GBG Filtered'!U6, FormFixes, 2, false), 'GBG Filtered'!U6), PokemonIcons, 2, False), "")</f>
        <v/>
      </c>
      <c r="W12" s="63" t="str">
        <f>IF('GBG Filtered'!V6 &lt;&gt; "", VLOOKUP(IFERROR(VLOOKUP('GBG Filtered'!V6, FormFixes, 2, false), 'GBG Filtered'!V6), PokemonIcons, 2, False), "")</f>
        <v/>
      </c>
      <c r="Z12" s="63" t="str">
        <f>IF('GBG Filtered'!Y6 &lt;&gt; "", VLOOKUP(IFERROR(VLOOKUP('GBG Filtered'!Y6, FormFixes, 2, false), 'GBG Filtered'!Y6), PokemonIcons, 2, False), "")</f>
        <v/>
      </c>
      <c r="AA12" s="63" t="str">
        <f>IF('GBG Filtered'!Z6 &lt;&gt; "", VLOOKUP('GBG Filtered'!Z6, TypeIcons, 2, False), "")</f>
        <v/>
      </c>
      <c r="AB12" s="63" t="str">
        <f>IF('GBG Filtered'!AA6 &lt;&gt; "", VLOOKUP(IFERROR(VLOOKUP('GBG Filtered'!AA6, FormFixes, 2, false), 'GBG Filtered'!AA6), PokemonIcons, 2, False), "")</f>
        <v/>
      </c>
      <c r="AC12" s="63" t="str">
        <f>IF('GBG Filtered'!AB6 &lt;&gt; "", VLOOKUP('GBG Filtered'!AB6, TypeIcons, 2, False), "")</f>
        <v/>
      </c>
      <c r="AD12" s="103" t="str">
        <f>'GBG Filtered'!AC6</f>
        <v/>
      </c>
      <c r="AE12" s="103" t="str">
        <f>'GBG Filtered'!AD6</f>
        <v/>
      </c>
      <c r="AF12" s="104" t="str">
        <f>'GBG Filtered'!AE6</f>
        <v/>
      </c>
    </row>
    <row r="13" ht="24.0" customHeight="1">
      <c r="B13" s="101" t="str">
        <f>'GBG Filtered'!A7</f>
        <v/>
      </c>
      <c r="C13" s="102" t="str">
        <f>'GBG Filtered'!B7</f>
        <v/>
      </c>
      <c r="D13" s="102" t="str">
        <f>'GBG Filtered'!C7</f>
        <v/>
      </c>
      <c r="E13" s="102" t="str">
        <f>'GBG Filtered'!D7</f>
        <v/>
      </c>
      <c r="F13" s="63" t="str">
        <f>IF('GBG Filtered'!E7 &lt;&gt; "", VLOOKUP(IFERROR(VLOOKUP('GBG Filtered'!E7, FormFixes, 2, false), 'GBG Filtered'!E7), PokemonIcons, 2, False), "")</f>
        <v/>
      </c>
      <c r="G13" s="63" t="str">
        <f>IF('GBG Filtered'!F7 &lt;&gt; "", VLOOKUP(IFERROR(VLOOKUP('GBG Filtered'!F7, FormFixes, 2, false), 'GBG Filtered'!F7), PokemonIcons, 2, False), "")</f>
        <v/>
      </c>
      <c r="H13" s="63" t="str">
        <f>IF('GBG Filtered'!G7 &lt;&gt; "", VLOOKUP(IFERROR(VLOOKUP('GBG Filtered'!G7, FormFixes, 2, false), 'GBG Filtered'!G7), PokemonIcons, 2, False), "")</f>
        <v/>
      </c>
      <c r="I13" s="63" t="str">
        <f>IF('GBG Filtered'!H7 &lt;&gt; "", VLOOKUP(IFERROR(VLOOKUP('GBG Filtered'!H7, FormFixes, 2, false), 'GBG Filtered'!H7), PokemonIcons, 2, False), "")</f>
        <v/>
      </c>
      <c r="J13" s="63" t="str">
        <f>IF('GBG Filtered'!I7 &lt;&gt; "", VLOOKUP(IFERROR(VLOOKUP('GBG Filtered'!I7, FormFixes, 2, false), 'GBG Filtered'!I7), PokemonIcons, 2, False), "")</f>
        <v/>
      </c>
      <c r="K13" s="63" t="str">
        <f>IF('GBG Filtered'!J7 &lt;&gt; "", VLOOKUP(IFERROR(VLOOKUP('GBG Filtered'!J7, FormFixes, 2, false), 'GBG Filtered'!J7), PokemonIcons, 2, False), "")</f>
        <v/>
      </c>
      <c r="O13" s="63" t="str">
        <f>IF('GBG Filtered'!N7 &lt;&gt; "", VLOOKUP(IFERROR(VLOOKUP('GBG Filtered'!N7, FormFixes, 2, false), 'GBG Filtered'!N7), PokemonIcons, 2, False), "")</f>
        <v/>
      </c>
      <c r="P13" s="63" t="str">
        <f>IF('GBG Filtered'!O7 &lt;&gt; "", VLOOKUP(IFERROR(VLOOKUP('GBG Filtered'!O7, FormFixes, 2, false), 'GBG Filtered'!O7), PokemonIcons, 2, False), "")</f>
        <v/>
      </c>
      <c r="Q13" s="63" t="str">
        <f>IF('GBG Filtered'!P7 &lt;&gt; "", VLOOKUP(IFERROR(VLOOKUP('GBG Filtered'!P7, FormFixes, 2, false), 'GBG Filtered'!P7), PokemonIcons, 2, False), "")</f>
        <v/>
      </c>
      <c r="R13" s="63" t="str">
        <f>IF('GBG Filtered'!Q7 &lt;&gt; "", VLOOKUP(IFERROR(VLOOKUP('GBG Filtered'!Q7, FormFixes, 2, false), 'GBG Filtered'!Q7), PokemonIcons, 2, False), "")</f>
        <v/>
      </c>
      <c r="T13" s="63" t="str">
        <f>IF('GBG Filtered'!S7 &lt;&gt; "", VLOOKUP(IFERROR(VLOOKUP('GBG Filtered'!S7, FormFixes, 2, false), 'GBG Filtered'!S7), PokemonIcons, 2, False), "")</f>
        <v/>
      </c>
      <c r="U13" s="63" t="str">
        <f>IF('GBG Filtered'!T7 &lt;&gt; "", VLOOKUP(IFERROR(VLOOKUP('GBG Filtered'!T7, FormFixes, 2, false), 'GBG Filtered'!T7), PokemonIcons, 2, False), "")</f>
        <v/>
      </c>
      <c r="V13" s="63" t="str">
        <f>IF('GBG Filtered'!U7 &lt;&gt; "", VLOOKUP(IFERROR(VLOOKUP('GBG Filtered'!U7, FormFixes, 2, false), 'GBG Filtered'!U7), PokemonIcons, 2, False), "")</f>
        <v/>
      </c>
      <c r="W13" s="63" t="str">
        <f>IF('GBG Filtered'!V7 &lt;&gt; "", VLOOKUP(IFERROR(VLOOKUP('GBG Filtered'!V7, FormFixes, 2, false), 'GBG Filtered'!V7), PokemonIcons, 2, False), "")</f>
        <v/>
      </c>
      <c r="Z13" s="63" t="str">
        <f>IF('GBG Filtered'!Y7 &lt;&gt; "", VLOOKUP(IFERROR(VLOOKUP('GBG Filtered'!Y7, FormFixes, 2, false), 'GBG Filtered'!Y7), PokemonIcons, 2, False), "")</f>
        <v/>
      </c>
      <c r="AA13" s="63" t="str">
        <f>IF('GBG Filtered'!Z7 &lt;&gt; "", VLOOKUP('GBG Filtered'!Z7, TypeIcons, 2, False), "")</f>
        <v/>
      </c>
      <c r="AB13" s="63" t="str">
        <f>IF('GBG Filtered'!AA7 &lt;&gt; "", VLOOKUP(IFERROR(VLOOKUP('GBG Filtered'!AA7, FormFixes, 2, false), 'GBG Filtered'!AA7), PokemonIcons, 2, False), "")</f>
        <v/>
      </c>
      <c r="AC13" s="63" t="str">
        <f>IF('GBG Filtered'!AB7 &lt;&gt; "", VLOOKUP('GBG Filtered'!AB7, TypeIcons, 2, False), "")</f>
        <v/>
      </c>
      <c r="AD13" s="103" t="str">
        <f>'GBG Filtered'!AC7</f>
        <v/>
      </c>
      <c r="AE13" s="103" t="str">
        <f>'GBG Filtered'!AD7</f>
        <v/>
      </c>
      <c r="AF13" s="104" t="str">
        <f>'GBG Filtered'!AE7</f>
        <v/>
      </c>
    </row>
    <row r="14" ht="24.0" customHeight="1">
      <c r="B14" s="101" t="str">
        <f>'GBG Filtered'!A8</f>
        <v/>
      </c>
      <c r="C14" s="102" t="str">
        <f>'GBG Filtered'!B8</f>
        <v/>
      </c>
      <c r="D14" s="102" t="str">
        <f>'GBG Filtered'!C8</f>
        <v/>
      </c>
      <c r="E14" s="102" t="str">
        <f>'GBG Filtered'!D8</f>
        <v/>
      </c>
      <c r="F14" s="63" t="str">
        <f>IF('GBG Filtered'!E8 &lt;&gt; "", VLOOKUP(IFERROR(VLOOKUP('GBG Filtered'!E8, FormFixes, 2, false), 'GBG Filtered'!E8), PokemonIcons, 2, False), "")</f>
        <v/>
      </c>
      <c r="G14" s="63" t="str">
        <f>IF('GBG Filtered'!F8 &lt;&gt; "", VLOOKUP(IFERROR(VLOOKUP('GBG Filtered'!F8, FormFixes, 2, false), 'GBG Filtered'!F8), PokemonIcons, 2, False), "")</f>
        <v/>
      </c>
      <c r="H14" s="63" t="str">
        <f>IF('GBG Filtered'!G8 &lt;&gt; "", VLOOKUP(IFERROR(VLOOKUP('GBG Filtered'!G8, FormFixes, 2, false), 'GBG Filtered'!G8), PokemonIcons, 2, False), "")</f>
        <v/>
      </c>
      <c r="I14" s="63" t="str">
        <f>IF('GBG Filtered'!H8 &lt;&gt; "", VLOOKUP(IFERROR(VLOOKUP('GBG Filtered'!H8, FormFixes, 2, false), 'GBG Filtered'!H8), PokemonIcons, 2, False), "")</f>
        <v/>
      </c>
      <c r="J14" s="63" t="str">
        <f>IF('GBG Filtered'!I8 &lt;&gt; "", VLOOKUP(IFERROR(VLOOKUP('GBG Filtered'!I8, FormFixes, 2, false), 'GBG Filtered'!I8), PokemonIcons, 2, False), "")</f>
        <v/>
      </c>
      <c r="K14" s="63" t="str">
        <f>IF('GBG Filtered'!J8 &lt;&gt; "", VLOOKUP(IFERROR(VLOOKUP('GBG Filtered'!J8, FormFixes, 2, false), 'GBG Filtered'!J8), PokemonIcons, 2, False), "")</f>
        <v/>
      </c>
      <c r="O14" s="63" t="str">
        <f>IF('GBG Filtered'!N8 &lt;&gt; "", VLOOKUP(IFERROR(VLOOKUP('GBG Filtered'!N8, FormFixes, 2, false), 'GBG Filtered'!N8), PokemonIcons, 2, False), "")</f>
        <v/>
      </c>
      <c r="P14" s="63" t="str">
        <f>IF('GBG Filtered'!O8 &lt;&gt; "", VLOOKUP(IFERROR(VLOOKUP('GBG Filtered'!O8, FormFixes, 2, false), 'GBG Filtered'!O8), PokemonIcons, 2, False), "")</f>
        <v/>
      </c>
      <c r="Q14" s="63" t="str">
        <f>IF('GBG Filtered'!P8 &lt;&gt; "", VLOOKUP(IFERROR(VLOOKUP('GBG Filtered'!P8, FormFixes, 2, false), 'GBG Filtered'!P8), PokemonIcons, 2, False), "")</f>
        <v/>
      </c>
      <c r="R14" s="63" t="str">
        <f>IF('GBG Filtered'!Q8 &lt;&gt; "", VLOOKUP(IFERROR(VLOOKUP('GBG Filtered'!Q8, FormFixes, 2, false), 'GBG Filtered'!Q8), PokemonIcons, 2, False), "")</f>
        <v/>
      </c>
      <c r="T14" s="63" t="str">
        <f>IF('GBG Filtered'!S8 &lt;&gt; "", VLOOKUP(IFERROR(VLOOKUP('GBG Filtered'!S8, FormFixes, 2, false), 'GBG Filtered'!S8), PokemonIcons, 2, False), "")</f>
        <v/>
      </c>
      <c r="U14" s="63" t="str">
        <f>IF('GBG Filtered'!T8 &lt;&gt; "", VLOOKUP(IFERROR(VLOOKUP('GBG Filtered'!T8, FormFixes, 2, false), 'GBG Filtered'!T8), PokemonIcons, 2, False), "")</f>
        <v/>
      </c>
      <c r="V14" s="63" t="str">
        <f>IF('GBG Filtered'!U8 &lt;&gt; "", VLOOKUP(IFERROR(VLOOKUP('GBG Filtered'!U8, FormFixes, 2, false), 'GBG Filtered'!U8), PokemonIcons, 2, False), "")</f>
        <v/>
      </c>
      <c r="W14" s="63" t="str">
        <f>IF('GBG Filtered'!V8 &lt;&gt; "", VLOOKUP(IFERROR(VLOOKUP('GBG Filtered'!V8, FormFixes, 2, false), 'GBG Filtered'!V8), PokemonIcons, 2, False), "")</f>
        <v/>
      </c>
      <c r="Z14" s="63" t="str">
        <f>IF('GBG Filtered'!Y8 &lt;&gt; "", VLOOKUP(IFERROR(VLOOKUP('GBG Filtered'!Y8, FormFixes, 2, false), 'GBG Filtered'!Y8), PokemonIcons, 2, False), "")</f>
        <v/>
      </c>
      <c r="AA14" s="63" t="str">
        <f>IF('GBG Filtered'!Z8 &lt;&gt; "", VLOOKUP('GBG Filtered'!Z8, TypeIcons, 2, False), "")</f>
        <v/>
      </c>
      <c r="AB14" s="63" t="str">
        <f>IF('GBG Filtered'!AA8 &lt;&gt; "", VLOOKUP(IFERROR(VLOOKUP('GBG Filtered'!AA8, FormFixes, 2, false), 'GBG Filtered'!AA8), PokemonIcons, 2, False), "")</f>
        <v/>
      </c>
      <c r="AC14" s="63" t="str">
        <f>IF('GBG Filtered'!AB8 &lt;&gt; "", VLOOKUP('GBG Filtered'!AB8, TypeIcons, 2, False), "")</f>
        <v/>
      </c>
      <c r="AD14" s="103" t="str">
        <f>'GBG Filtered'!AC8</f>
        <v/>
      </c>
      <c r="AE14" s="103" t="str">
        <f>'GBG Filtered'!AD8</f>
        <v/>
      </c>
      <c r="AF14" s="104" t="str">
        <f>'GBG Filtered'!AE8</f>
        <v/>
      </c>
    </row>
    <row r="15" ht="24.0" customHeight="1">
      <c r="B15" s="101" t="str">
        <f>'GBG Filtered'!A9</f>
        <v/>
      </c>
      <c r="C15" s="102" t="str">
        <f>'GBG Filtered'!B9</f>
        <v/>
      </c>
      <c r="D15" s="102" t="str">
        <f>'GBG Filtered'!C9</f>
        <v/>
      </c>
      <c r="E15" s="102" t="str">
        <f>'GBG Filtered'!D9</f>
        <v/>
      </c>
      <c r="F15" s="63" t="str">
        <f>IF('GBG Filtered'!E9 &lt;&gt; "", VLOOKUP(IFERROR(VLOOKUP('GBG Filtered'!E9, FormFixes, 2, false), 'GBG Filtered'!E9), PokemonIcons, 2, False), "")</f>
        <v/>
      </c>
      <c r="G15" s="63" t="str">
        <f>IF('GBG Filtered'!F9 &lt;&gt; "", VLOOKUP(IFERROR(VLOOKUP('GBG Filtered'!F9, FormFixes, 2, false), 'GBG Filtered'!F9), PokemonIcons, 2, False), "")</f>
        <v/>
      </c>
      <c r="H15" s="63" t="str">
        <f>IF('GBG Filtered'!G9 &lt;&gt; "", VLOOKUP(IFERROR(VLOOKUP('GBG Filtered'!G9, FormFixes, 2, false), 'GBG Filtered'!G9), PokemonIcons, 2, False), "")</f>
        <v/>
      </c>
      <c r="I15" s="63" t="str">
        <f>IF('GBG Filtered'!H9 &lt;&gt; "", VLOOKUP(IFERROR(VLOOKUP('GBG Filtered'!H9, FormFixes, 2, false), 'GBG Filtered'!H9), PokemonIcons, 2, False), "")</f>
        <v/>
      </c>
      <c r="J15" s="63" t="str">
        <f>IF('GBG Filtered'!I9 &lt;&gt; "", VLOOKUP(IFERROR(VLOOKUP('GBG Filtered'!I9, FormFixes, 2, false), 'GBG Filtered'!I9), PokemonIcons, 2, False), "")</f>
        <v/>
      </c>
      <c r="K15" s="63" t="str">
        <f>IF('GBG Filtered'!J9 &lt;&gt; "", VLOOKUP(IFERROR(VLOOKUP('GBG Filtered'!J9, FormFixes, 2, false), 'GBG Filtered'!J9), PokemonIcons, 2, False), "")</f>
        <v/>
      </c>
      <c r="O15" s="63" t="str">
        <f>IF('GBG Filtered'!N9 &lt;&gt; "", VLOOKUP(IFERROR(VLOOKUP('GBG Filtered'!N9, FormFixes, 2, false), 'GBG Filtered'!N9), PokemonIcons, 2, False), "")</f>
        <v/>
      </c>
      <c r="P15" s="63" t="str">
        <f>IF('GBG Filtered'!O9 &lt;&gt; "", VLOOKUP(IFERROR(VLOOKUP('GBG Filtered'!O9, FormFixes, 2, false), 'GBG Filtered'!O9), PokemonIcons, 2, False), "")</f>
        <v/>
      </c>
      <c r="Q15" s="63" t="str">
        <f>IF('GBG Filtered'!P9 &lt;&gt; "", VLOOKUP(IFERROR(VLOOKUP('GBG Filtered'!P9, FormFixes, 2, false), 'GBG Filtered'!P9), PokemonIcons, 2, False), "")</f>
        <v/>
      </c>
      <c r="R15" s="63" t="str">
        <f>IF('GBG Filtered'!Q9 &lt;&gt; "", VLOOKUP(IFERROR(VLOOKUP('GBG Filtered'!Q9, FormFixes, 2, false), 'GBG Filtered'!Q9), PokemonIcons, 2, False), "")</f>
        <v/>
      </c>
      <c r="T15" s="63" t="str">
        <f>IF('GBG Filtered'!S9 &lt;&gt; "", VLOOKUP(IFERROR(VLOOKUP('GBG Filtered'!S9, FormFixes, 2, false), 'GBG Filtered'!S9), PokemonIcons, 2, False), "")</f>
        <v/>
      </c>
      <c r="U15" s="63" t="str">
        <f>IF('GBG Filtered'!T9 &lt;&gt; "", VLOOKUP(IFERROR(VLOOKUP('GBG Filtered'!T9, FormFixes, 2, false), 'GBG Filtered'!T9), PokemonIcons, 2, False), "")</f>
        <v/>
      </c>
      <c r="V15" s="63" t="str">
        <f>IF('GBG Filtered'!U9 &lt;&gt; "", VLOOKUP(IFERROR(VLOOKUP('GBG Filtered'!U9, FormFixes, 2, false), 'GBG Filtered'!U9), PokemonIcons, 2, False), "")</f>
        <v/>
      </c>
      <c r="W15" s="63" t="str">
        <f>IF('GBG Filtered'!V9 &lt;&gt; "", VLOOKUP(IFERROR(VLOOKUP('GBG Filtered'!V9, FormFixes, 2, false), 'GBG Filtered'!V9), PokemonIcons, 2, False), "")</f>
        <v/>
      </c>
      <c r="Z15" s="63" t="str">
        <f>IF('GBG Filtered'!Y9 &lt;&gt; "", VLOOKUP(IFERROR(VLOOKUP('GBG Filtered'!Y9, FormFixes, 2, false), 'GBG Filtered'!Y9), PokemonIcons, 2, False), "")</f>
        <v/>
      </c>
      <c r="AA15" s="63" t="str">
        <f>IF('GBG Filtered'!Z9 &lt;&gt; "", VLOOKUP('GBG Filtered'!Z9, TypeIcons, 2, False), "")</f>
        <v/>
      </c>
      <c r="AB15" s="63" t="str">
        <f>IF('GBG Filtered'!AA9 &lt;&gt; "", VLOOKUP(IFERROR(VLOOKUP('GBG Filtered'!AA9, FormFixes, 2, false), 'GBG Filtered'!AA9), PokemonIcons, 2, False), "")</f>
        <v/>
      </c>
      <c r="AC15" s="63" t="str">
        <f>IF('GBG Filtered'!AB9 &lt;&gt; "", VLOOKUP('GBG Filtered'!AB9, TypeIcons, 2, False), "")</f>
        <v/>
      </c>
      <c r="AD15" s="103" t="str">
        <f>'GBG Filtered'!AC9</f>
        <v/>
      </c>
      <c r="AE15" s="103" t="str">
        <f>'GBG Filtered'!AD9</f>
        <v/>
      </c>
      <c r="AF15" s="104" t="str">
        <f>'GBG Filtered'!AE9</f>
        <v/>
      </c>
    </row>
    <row r="16" ht="24.0" customHeight="1">
      <c r="B16" s="101" t="str">
        <f>'GBG Filtered'!A10</f>
        <v/>
      </c>
      <c r="C16" s="102" t="str">
        <f>'GBG Filtered'!B10</f>
        <v/>
      </c>
      <c r="D16" s="102" t="str">
        <f>'GBG Filtered'!C10</f>
        <v/>
      </c>
      <c r="E16" s="102" t="str">
        <f>'GBG Filtered'!D10</f>
        <v/>
      </c>
      <c r="F16" s="63" t="str">
        <f>IF('GBG Filtered'!E10 &lt;&gt; "", VLOOKUP(IFERROR(VLOOKUP('GBG Filtered'!E10, FormFixes, 2, false), 'GBG Filtered'!E10), PokemonIcons, 2, False), "")</f>
        <v/>
      </c>
      <c r="G16" s="63" t="str">
        <f>IF('GBG Filtered'!F10 &lt;&gt; "", VLOOKUP(IFERROR(VLOOKUP('GBG Filtered'!F10, FormFixes, 2, false), 'GBG Filtered'!F10), PokemonIcons, 2, False), "")</f>
        <v/>
      </c>
      <c r="H16" s="63" t="str">
        <f>IF('GBG Filtered'!G10 &lt;&gt; "", VLOOKUP(IFERROR(VLOOKUP('GBG Filtered'!G10, FormFixes, 2, false), 'GBG Filtered'!G10), PokemonIcons, 2, False), "")</f>
        <v/>
      </c>
      <c r="I16" s="63" t="str">
        <f>IF('GBG Filtered'!H10 &lt;&gt; "", VLOOKUP(IFERROR(VLOOKUP('GBG Filtered'!H10, FormFixes, 2, false), 'GBG Filtered'!H10), PokemonIcons, 2, False), "")</f>
        <v/>
      </c>
      <c r="J16" s="63" t="str">
        <f>IF('GBG Filtered'!I10 &lt;&gt; "", VLOOKUP(IFERROR(VLOOKUP('GBG Filtered'!I10, FormFixes, 2, false), 'GBG Filtered'!I10), PokemonIcons, 2, False), "")</f>
        <v/>
      </c>
      <c r="K16" s="63" t="str">
        <f>IF('GBG Filtered'!J10 &lt;&gt; "", VLOOKUP(IFERROR(VLOOKUP('GBG Filtered'!J10, FormFixes, 2, false), 'GBG Filtered'!J10), PokemonIcons, 2, False), "")</f>
        <v/>
      </c>
      <c r="O16" s="63" t="str">
        <f>IF('GBG Filtered'!N10 &lt;&gt; "", VLOOKUP(IFERROR(VLOOKUP('GBG Filtered'!N10, FormFixes, 2, false), 'GBG Filtered'!N10), PokemonIcons, 2, False), "")</f>
        <v/>
      </c>
      <c r="P16" s="63" t="str">
        <f>IF('GBG Filtered'!O10 &lt;&gt; "", VLOOKUP(IFERROR(VLOOKUP('GBG Filtered'!O10, FormFixes, 2, false), 'GBG Filtered'!O10), PokemonIcons, 2, False), "")</f>
        <v/>
      </c>
      <c r="Q16" s="63" t="str">
        <f>IF('GBG Filtered'!P10 &lt;&gt; "", VLOOKUP(IFERROR(VLOOKUP('GBG Filtered'!P10, FormFixes, 2, false), 'GBG Filtered'!P10), PokemonIcons, 2, False), "")</f>
        <v/>
      </c>
      <c r="R16" s="63" t="str">
        <f>IF('GBG Filtered'!Q10 &lt;&gt; "", VLOOKUP(IFERROR(VLOOKUP('GBG Filtered'!Q10, FormFixes, 2, false), 'GBG Filtered'!Q10), PokemonIcons, 2, False), "")</f>
        <v/>
      </c>
      <c r="T16" s="63" t="str">
        <f>IF('GBG Filtered'!S10 &lt;&gt; "", VLOOKUP(IFERROR(VLOOKUP('GBG Filtered'!S10, FormFixes, 2, false), 'GBG Filtered'!S10), PokemonIcons, 2, False), "")</f>
        <v/>
      </c>
      <c r="U16" s="63" t="str">
        <f>IF('GBG Filtered'!T10 &lt;&gt; "", VLOOKUP(IFERROR(VLOOKUP('GBG Filtered'!T10, FormFixes, 2, false), 'GBG Filtered'!T10), PokemonIcons, 2, False), "")</f>
        <v/>
      </c>
      <c r="V16" s="63" t="str">
        <f>IF('GBG Filtered'!U10 &lt;&gt; "", VLOOKUP(IFERROR(VLOOKUP('GBG Filtered'!U10, FormFixes, 2, false), 'GBG Filtered'!U10), PokemonIcons, 2, False), "")</f>
        <v/>
      </c>
      <c r="W16" s="63" t="str">
        <f>IF('GBG Filtered'!V10 &lt;&gt; "", VLOOKUP(IFERROR(VLOOKUP('GBG Filtered'!V10, FormFixes, 2, false), 'GBG Filtered'!V10), PokemonIcons, 2, False), "")</f>
        <v/>
      </c>
      <c r="Z16" s="63" t="str">
        <f>IF('GBG Filtered'!Y10 &lt;&gt; "", VLOOKUP(IFERROR(VLOOKUP('GBG Filtered'!Y10, FormFixes, 2, false), 'GBG Filtered'!Y10), PokemonIcons, 2, False), "")</f>
        <v/>
      </c>
      <c r="AA16" s="63" t="str">
        <f>IF('GBG Filtered'!Z10 &lt;&gt; "", VLOOKUP('GBG Filtered'!Z10, TypeIcons, 2, False), "")</f>
        <v/>
      </c>
      <c r="AB16" s="63" t="str">
        <f>IF('GBG Filtered'!AA10 &lt;&gt; "", VLOOKUP(IFERROR(VLOOKUP('GBG Filtered'!AA10, FormFixes, 2, false), 'GBG Filtered'!AA10), PokemonIcons, 2, False), "")</f>
        <v/>
      </c>
      <c r="AC16" s="63" t="str">
        <f>IF('GBG Filtered'!AB10 &lt;&gt; "", VLOOKUP('GBG Filtered'!AB10, TypeIcons, 2, False), "")</f>
        <v/>
      </c>
      <c r="AD16" s="103" t="str">
        <f>'GBG Filtered'!AC10</f>
        <v/>
      </c>
      <c r="AE16" s="103" t="str">
        <f>'GBG Filtered'!AD10</f>
        <v/>
      </c>
      <c r="AF16" s="104" t="str">
        <f>'GBG Filtered'!AE10</f>
        <v/>
      </c>
    </row>
    <row r="17" ht="24.0" customHeight="1">
      <c r="B17" s="101" t="str">
        <f>'GBG Filtered'!A11</f>
        <v/>
      </c>
      <c r="C17" s="102" t="str">
        <f>'GBG Filtered'!B11</f>
        <v/>
      </c>
      <c r="D17" s="102" t="str">
        <f>'GBG Filtered'!C11</f>
        <v/>
      </c>
      <c r="E17" s="102" t="str">
        <f>'GBG Filtered'!D11</f>
        <v/>
      </c>
      <c r="F17" s="63" t="str">
        <f>IF('GBG Filtered'!E11 &lt;&gt; "", VLOOKUP(IFERROR(VLOOKUP('GBG Filtered'!E11, FormFixes, 2, false), 'GBG Filtered'!E11), PokemonIcons, 2, False), "")</f>
        <v/>
      </c>
      <c r="G17" s="63" t="str">
        <f>IF('GBG Filtered'!F11 &lt;&gt; "", VLOOKUP(IFERROR(VLOOKUP('GBG Filtered'!F11, FormFixes, 2, false), 'GBG Filtered'!F11), PokemonIcons, 2, False), "")</f>
        <v/>
      </c>
      <c r="H17" s="63" t="str">
        <f>IF('GBG Filtered'!G11 &lt;&gt; "", VLOOKUP(IFERROR(VLOOKUP('GBG Filtered'!G11, FormFixes, 2, false), 'GBG Filtered'!G11), PokemonIcons, 2, False), "")</f>
        <v/>
      </c>
      <c r="I17" s="63" t="str">
        <f>IF('GBG Filtered'!H11 &lt;&gt; "", VLOOKUP(IFERROR(VLOOKUP('GBG Filtered'!H11, FormFixes, 2, false), 'GBG Filtered'!H11), PokemonIcons, 2, False), "")</f>
        <v/>
      </c>
      <c r="J17" s="63" t="str">
        <f>IF('GBG Filtered'!I11 &lt;&gt; "", VLOOKUP(IFERROR(VLOOKUP('GBG Filtered'!I11, FormFixes, 2, false), 'GBG Filtered'!I11), PokemonIcons, 2, False), "")</f>
        <v/>
      </c>
      <c r="K17" s="63" t="str">
        <f>IF('GBG Filtered'!J11 &lt;&gt; "", VLOOKUP(IFERROR(VLOOKUP('GBG Filtered'!J11, FormFixes, 2, false), 'GBG Filtered'!J11), PokemonIcons, 2, False), "")</f>
        <v/>
      </c>
      <c r="O17" s="63" t="str">
        <f>IF('GBG Filtered'!N11 &lt;&gt; "", VLOOKUP(IFERROR(VLOOKUP('GBG Filtered'!N11, FormFixes, 2, false), 'GBG Filtered'!N11), PokemonIcons, 2, False), "")</f>
        <v/>
      </c>
      <c r="P17" s="63" t="str">
        <f>IF('GBG Filtered'!O11 &lt;&gt; "", VLOOKUP(IFERROR(VLOOKUP('GBG Filtered'!O11, FormFixes, 2, false), 'GBG Filtered'!O11), PokemonIcons, 2, False), "")</f>
        <v/>
      </c>
      <c r="Q17" s="63" t="str">
        <f>IF('GBG Filtered'!P11 &lt;&gt; "", VLOOKUP(IFERROR(VLOOKUP('GBG Filtered'!P11, FormFixes, 2, false), 'GBG Filtered'!P11), PokemonIcons, 2, False), "")</f>
        <v/>
      </c>
      <c r="R17" s="63" t="str">
        <f>IF('GBG Filtered'!Q11 &lt;&gt; "", VLOOKUP(IFERROR(VLOOKUP('GBG Filtered'!Q11, FormFixes, 2, false), 'GBG Filtered'!Q11), PokemonIcons, 2, False), "")</f>
        <v/>
      </c>
      <c r="T17" s="63" t="str">
        <f>IF('GBG Filtered'!S11 &lt;&gt; "", VLOOKUP(IFERROR(VLOOKUP('GBG Filtered'!S11, FormFixes, 2, false), 'GBG Filtered'!S11), PokemonIcons, 2, False), "")</f>
        <v/>
      </c>
      <c r="U17" s="63" t="str">
        <f>IF('GBG Filtered'!T11 &lt;&gt; "", VLOOKUP(IFERROR(VLOOKUP('GBG Filtered'!T11, FormFixes, 2, false), 'GBG Filtered'!T11), PokemonIcons, 2, False), "")</f>
        <v/>
      </c>
      <c r="V17" s="63" t="str">
        <f>IF('GBG Filtered'!U11 &lt;&gt; "", VLOOKUP(IFERROR(VLOOKUP('GBG Filtered'!U11, FormFixes, 2, false), 'GBG Filtered'!U11), PokemonIcons, 2, False), "")</f>
        <v/>
      </c>
      <c r="W17" s="63" t="str">
        <f>IF('GBG Filtered'!V11 &lt;&gt; "", VLOOKUP(IFERROR(VLOOKUP('GBG Filtered'!V11, FormFixes, 2, false), 'GBG Filtered'!V11), PokemonIcons, 2, False), "")</f>
        <v/>
      </c>
      <c r="Z17" s="63" t="str">
        <f>IF('GBG Filtered'!Y11 &lt;&gt; "", VLOOKUP(IFERROR(VLOOKUP('GBG Filtered'!Y11, FormFixes, 2, false), 'GBG Filtered'!Y11), PokemonIcons, 2, False), "")</f>
        <v/>
      </c>
      <c r="AA17" s="63" t="str">
        <f>IF('GBG Filtered'!Z11 &lt;&gt; "", VLOOKUP('GBG Filtered'!Z11, TypeIcons, 2, False), "")</f>
        <v/>
      </c>
      <c r="AB17" s="63" t="str">
        <f>IF('GBG Filtered'!AA11 &lt;&gt; "", VLOOKUP(IFERROR(VLOOKUP('GBG Filtered'!AA11, FormFixes, 2, false), 'GBG Filtered'!AA11), PokemonIcons, 2, False), "")</f>
        <v/>
      </c>
      <c r="AC17" s="63" t="str">
        <f>IF('GBG Filtered'!AB11 &lt;&gt; "", VLOOKUP('GBG Filtered'!AB11, TypeIcons, 2, False), "")</f>
        <v/>
      </c>
      <c r="AD17" s="103" t="str">
        <f>'GBG Filtered'!AC11</f>
        <v/>
      </c>
      <c r="AE17" s="103" t="str">
        <f>'GBG Filtered'!AD11</f>
        <v/>
      </c>
      <c r="AF17" s="104" t="str">
        <f>'GBG Filtered'!AE11</f>
        <v/>
      </c>
    </row>
    <row r="18" ht="24.0" customHeight="1">
      <c r="B18" s="101" t="str">
        <f>'GBG Filtered'!A12</f>
        <v/>
      </c>
      <c r="C18" s="102" t="str">
        <f>'GBG Filtered'!B12</f>
        <v/>
      </c>
      <c r="D18" s="102" t="str">
        <f>'GBG Filtered'!C12</f>
        <v/>
      </c>
      <c r="E18" s="102" t="str">
        <f>'GBG Filtered'!D12</f>
        <v/>
      </c>
      <c r="F18" s="63" t="str">
        <f>IF('GBG Filtered'!E12 &lt;&gt; "", VLOOKUP(IFERROR(VLOOKUP('GBG Filtered'!E12, FormFixes, 2, false), 'GBG Filtered'!E12), PokemonIcons, 2, False), "")</f>
        <v/>
      </c>
      <c r="G18" s="63" t="str">
        <f>IF('GBG Filtered'!F12 &lt;&gt; "", VLOOKUP(IFERROR(VLOOKUP('GBG Filtered'!F12, FormFixes, 2, false), 'GBG Filtered'!F12), PokemonIcons, 2, False), "")</f>
        <v/>
      </c>
      <c r="H18" s="63" t="str">
        <f>IF('GBG Filtered'!G12 &lt;&gt; "", VLOOKUP(IFERROR(VLOOKUP('GBG Filtered'!G12, FormFixes, 2, false), 'GBG Filtered'!G12), PokemonIcons, 2, False), "")</f>
        <v/>
      </c>
      <c r="I18" s="63" t="str">
        <f>IF('GBG Filtered'!H12 &lt;&gt; "", VLOOKUP(IFERROR(VLOOKUP('GBG Filtered'!H12, FormFixes, 2, false), 'GBG Filtered'!H12), PokemonIcons, 2, False), "")</f>
        <v/>
      </c>
      <c r="J18" s="63" t="str">
        <f>IF('GBG Filtered'!I12 &lt;&gt; "", VLOOKUP(IFERROR(VLOOKUP('GBG Filtered'!I12, FormFixes, 2, false), 'GBG Filtered'!I12), PokemonIcons, 2, False), "")</f>
        <v/>
      </c>
      <c r="K18" s="63" t="str">
        <f>IF('GBG Filtered'!J12 &lt;&gt; "", VLOOKUP(IFERROR(VLOOKUP('GBG Filtered'!J12, FormFixes, 2, false), 'GBG Filtered'!J12), PokemonIcons, 2, False), "")</f>
        <v/>
      </c>
      <c r="O18" s="63" t="str">
        <f>IF('GBG Filtered'!N12 &lt;&gt; "", VLOOKUP(IFERROR(VLOOKUP('GBG Filtered'!N12, FormFixes, 2, false), 'GBG Filtered'!N12), PokemonIcons, 2, False), "")</f>
        <v/>
      </c>
      <c r="P18" s="63" t="str">
        <f>IF('GBG Filtered'!O12 &lt;&gt; "", VLOOKUP(IFERROR(VLOOKUP('GBG Filtered'!O12, FormFixes, 2, false), 'GBG Filtered'!O12), PokemonIcons, 2, False), "")</f>
        <v/>
      </c>
      <c r="Q18" s="63" t="str">
        <f>IF('GBG Filtered'!P12 &lt;&gt; "", VLOOKUP(IFERROR(VLOOKUP('GBG Filtered'!P12, FormFixes, 2, false), 'GBG Filtered'!P12), PokemonIcons, 2, False), "")</f>
        <v/>
      </c>
      <c r="R18" s="63" t="str">
        <f>IF('GBG Filtered'!Q12 &lt;&gt; "", VLOOKUP(IFERROR(VLOOKUP('GBG Filtered'!Q12, FormFixes, 2, false), 'GBG Filtered'!Q12), PokemonIcons, 2, False), "")</f>
        <v/>
      </c>
      <c r="T18" s="63" t="str">
        <f>IF('GBG Filtered'!S12 &lt;&gt; "", VLOOKUP(IFERROR(VLOOKUP('GBG Filtered'!S12, FormFixes, 2, false), 'GBG Filtered'!S12), PokemonIcons, 2, False), "")</f>
        <v/>
      </c>
      <c r="U18" s="63" t="str">
        <f>IF('GBG Filtered'!T12 &lt;&gt; "", VLOOKUP(IFERROR(VLOOKUP('GBG Filtered'!T12, FormFixes, 2, false), 'GBG Filtered'!T12), PokemonIcons, 2, False), "")</f>
        <v/>
      </c>
      <c r="V18" s="63" t="str">
        <f>IF('GBG Filtered'!U12 &lt;&gt; "", VLOOKUP(IFERROR(VLOOKUP('GBG Filtered'!U12, FormFixes, 2, false), 'GBG Filtered'!U12), PokemonIcons, 2, False), "")</f>
        <v/>
      </c>
      <c r="W18" s="63" t="str">
        <f>IF('GBG Filtered'!V12 &lt;&gt; "", VLOOKUP(IFERROR(VLOOKUP('GBG Filtered'!V12, FormFixes, 2, false), 'GBG Filtered'!V12), PokemonIcons, 2, False), "")</f>
        <v/>
      </c>
      <c r="Z18" s="63" t="str">
        <f>IF('GBG Filtered'!Y12 &lt;&gt; "", VLOOKUP(IFERROR(VLOOKUP('GBG Filtered'!Y12, FormFixes, 2, false), 'GBG Filtered'!Y12), PokemonIcons, 2, False), "")</f>
        <v/>
      </c>
      <c r="AA18" s="63" t="str">
        <f>IF('GBG Filtered'!Z12 &lt;&gt; "", VLOOKUP('GBG Filtered'!Z12, TypeIcons, 2, False), "")</f>
        <v/>
      </c>
      <c r="AB18" s="63" t="str">
        <f>IF('GBG Filtered'!AA12 &lt;&gt; "", VLOOKUP(IFERROR(VLOOKUP('GBG Filtered'!AA12, FormFixes, 2, false), 'GBG Filtered'!AA12), PokemonIcons, 2, False), "")</f>
        <v/>
      </c>
      <c r="AC18" s="63" t="str">
        <f>IF('GBG Filtered'!AB12 &lt;&gt; "", VLOOKUP('GBG Filtered'!AB12, TypeIcons, 2, False), "")</f>
        <v/>
      </c>
      <c r="AD18" s="103" t="str">
        <f>'GBG Filtered'!AC12</f>
        <v/>
      </c>
      <c r="AE18" s="103" t="str">
        <f>'GBG Filtered'!AD12</f>
        <v/>
      </c>
      <c r="AF18" s="104" t="str">
        <f>'GBG Filtered'!AE12</f>
        <v/>
      </c>
    </row>
    <row r="19" ht="24.0" customHeight="1">
      <c r="B19" s="101" t="str">
        <f>'GBG Filtered'!A13</f>
        <v/>
      </c>
      <c r="C19" s="102" t="str">
        <f>'GBG Filtered'!B13</f>
        <v/>
      </c>
      <c r="D19" s="102" t="str">
        <f>'GBG Filtered'!C13</f>
        <v/>
      </c>
      <c r="E19" s="102" t="str">
        <f>'GBG Filtered'!D13</f>
        <v/>
      </c>
      <c r="F19" s="63" t="str">
        <f>IF('GBG Filtered'!E13 &lt;&gt; "", VLOOKUP(IFERROR(VLOOKUP('GBG Filtered'!E13, FormFixes, 2, false), 'GBG Filtered'!E13), PokemonIcons, 2, False), "")</f>
        <v/>
      </c>
      <c r="G19" s="63" t="str">
        <f>IF('GBG Filtered'!F13 &lt;&gt; "", VLOOKUP(IFERROR(VLOOKUP('GBG Filtered'!F13, FormFixes, 2, false), 'GBG Filtered'!F13), PokemonIcons, 2, False), "")</f>
        <v/>
      </c>
      <c r="H19" s="63" t="str">
        <f>IF('GBG Filtered'!G13 &lt;&gt; "", VLOOKUP(IFERROR(VLOOKUP('GBG Filtered'!G13, FormFixes, 2, false), 'GBG Filtered'!G13), PokemonIcons, 2, False), "")</f>
        <v/>
      </c>
      <c r="I19" s="63" t="str">
        <f>IF('GBG Filtered'!H13 &lt;&gt; "", VLOOKUP(IFERROR(VLOOKUP('GBG Filtered'!H13, FormFixes, 2, false), 'GBG Filtered'!H13), PokemonIcons, 2, False), "")</f>
        <v/>
      </c>
      <c r="J19" s="63" t="str">
        <f>IF('GBG Filtered'!I13 &lt;&gt; "", VLOOKUP(IFERROR(VLOOKUP('GBG Filtered'!I13, FormFixes, 2, false), 'GBG Filtered'!I13), PokemonIcons, 2, False), "")</f>
        <v/>
      </c>
      <c r="K19" s="63" t="str">
        <f>IF('GBG Filtered'!J13 &lt;&gt; "", VLOOKUP(IFERROR(VLOOKUP('GBG Filtered'!J13, FormFixes, 2, false), 'GBG Filtered'!J13), PokemonIcons, 2, False), "")</f>
        <v/>
      </c>
      <c r="O19" s="63" t="str">
        <f>IF('GBG Filtered'!N13 &lt;&gt; "", VLOOKUP(IFERROR(VLOOKUP('GBG Filtered'!N13, FormFixes, 2, false), 'GBG Filtered'!N13), PokemonIcons, 2, False), "")</f>
        <v/>
      </c>
      <c r="P19" s="63" t="str">
        <f>IF('GBG Filtered'!O13 &lt;&gt; "", VLOOKUP(IFERROR(VLOOKUP('GBG Filtered'!O13, FormFixes, 2, false), 'GBG Filtered'!O13), PokemonIcons, 2, False), "")</f>
        <v/>
      </c>
      <c r="Q19" s="63" t="str">
        <f>IF('GBG Filtered'!P13 &lt;&gt; "", VLOOKUP(IFERROR(VLOOKUP('GBG Filtered'!P13, FormFixes, 2, false), 'GBG Filtered'!P13), PokemonIcons, 2, False), "")</f>
        <v/>
      </c>
      <c r="R19" s="63" t="str">
        <f>IF('GBG Filtered'!Q13 &lt;&gt; "", VLOOKUP(IFERROR(VLOOKUP('GBG Filtered'!Q13, FormFixes, 2, false), 'GBG Filtered'!Q13), PokemonIcons, 2, False), "")</f>
        <v/>
      </c>
      <c r="T19" s="63" t="str">
        <f>IF('GBG Filtered'!S13 &lt;&gt; "", VLOOKUP(IFERROR(VLOOKUP('GBG Filtered'!S13, FormFixes, 2, false), 'GBG Filtered'!S13), PokemonIcons, 2, False), "")</f>
        <v/>
      </c>
      <c r="U19" s="63" t="str">
        <f>IF('GBG Filtered'!T13 &lt;&gt; "", VLOOKUP(IFERROR(VLOOKUP('GBG Filtered'!T13, FormFixes, 2, false), 'GBG Filtered'!T13), PokemonIcons, 2, False), "")</f>
        <v/>
      </c>
      <c r="V19" s="63" t="str">
        <f>IF('GBG Filtered'!U13 &lt;&gt; "", VLOOKUP(IFERROR(VLOOKUP('GBG Filtered'!U13, FormFixes, 2, false), 'GBG Filtered'!U13), PokemonIcons, 2, False), "")</f>
        <v/>
      </c>
      <c r="W19" s="63" t="str">
        <f>IF('GBG Filtered'!V13 &lt;&gt; "", VLOOKUP(IFERROR(VLOOKUP('GBG Filtered'!V13, FormFixes, 2, false), 'GBG Filtered'!V13), PokemonIcons, 2, False), "")</f>
        <v/>
      </c>
      <c r="Z19" s="63" t="str">
        <f>IF('GBG Filtered'!Y13 &lt;&gt; "", VLOOKUP(IFERROR(VLOOKUP('GBG Filtered'!Y13, FormFixes, 2, false), 'GBG Filtered'!Y13), PokemonIcons, 2, False), "")</f>
        <v/>
      </c>
      <c r="AA19" s="63" t="str">
        <f>IF('GBG Filtered'!Z13 &lt;&gt; "", VLOOKUP('GBG Filtered'!Z13, TypeIcons, 2, False), "")</f>
        <v/>
      </c>
      <c r="AB19" s="63" t="str">
        <f>IF('GBG Filtered'!AA13 &lt;&gt; "", VLOOKUP(IFERROR(VLOOKUP('GBG Filtered'!AA13, FormFixes, 2, false), 'GBG Filtered'!AA13), PokemonIcons, 2, False), "")</f>
        <v/>
      </c>
      <c r="AC19" s="63" t="str">
        <f>IF('GBG Filtered'!AB13 &lt;&gt; "", VLOOKUP('GBG Filtered'!AB13, TypeIcons, 2, False), "")</f>
        <v/>
      </c>
      <c r="AD19" s="103" t="str">
        <f>'GBG Filtered'!AC13</f>
        <v/>
      </c>
      <c r="AE19" s="103" t="str">
        <f>'GBG Filtered'!AD13</f>
        <v/>
      </c>
      <c r="AF19" s="104" t="str">
        <f>'GBG Filtered'!AE13</f>
        <v/>
      </c>
    </row>
    <row r="20" ht="24.0" customHeight="1">
      <c r="B20" s="101" t="str">
        <f>'GBG Filtered'!A14</f>
        <v/>
      </c>
      <c r="C20" s="102" t="str">
        <f>'GBG Filtered'!B14</f>
        <v/>
      </c>
      <c r="D20" s="102" t="str">
        <f>'GBG Filtered'!C14</f>
        <v/>
      </c>
      <c r="E20" s="102" t="str">
        <f>'GBG Filtered'!D14</f>
        <v/>
      </c>
      <c r="F20" s="63" t="str">
        <f>IF('GBG Filtered'!E14 &lt;&gt; "", VLOOKUP(IFERROR(VLOOKUP('GBG Filtered'!E14, FormFixes, 2, false), 'GBG Filtered'!E14), PokemonIcons, 2, False), "")</f>
        <v/>
      </c>
      <c r="G20" s="63" t="str">
        <f>IF('GBG Filtered'!F14 &lt;&gt; "", VLOOKUP(IFERROR(VLOOKUP('GBG Filtered'!F14, FormFixes, 2, false), 'GBG Filtered'!F14), PokemonIcons, 2, False), "")</f>
        <v/>
      </c>
      <c r="H20" s="63" t="str">
        <f>IF('GBG Filtered'!G14 &lt;&gt; "", VLOOKUP(IFERROR(VLOOKUP('GBG Filtered'!G14, FormFixes, 2, false), 'GBG Filtered'!G14), PokemonIcons, 2, False), "")</f>
        <v/>
      </c>
      <c r="I20" s="63" t="str">
        <f>IF('GBG Filtered'!H14 &lt;&gt; "", VLOOKUP(IFERROR(VLOOKUP('GBG Filtered'!H14, FormFixes, 2, false), 'GBG Filtered'!H14), PokemonIcons, 2, False), "")</f>
        <v/>
      </c>
      <c r="J20" s="63" t="str">
        <f>IF('GBG Filtered'!I14 &lt;&gt; "", VLOOKUP(IFERROR(VLOOKUP('GBG Filtered'!I14, FormFixes, 2, false), 'GBG Filtered'!I14), PokemonIcons, 2, False), "")</f>
        <v/>
      </c>
      <c r="K20" s="63" t="str">
        <f>IF('GBG Filtered'!J14 &lt;&gt; "", VLOOKUP(IFERROR(VLOOKUP('GBG Filtered'!J14, FormFixes, 2, false), 'GBG Filtered'!J14), PokemonIcons, 2, False), "")</f>
        <v/>
      </c>
      <c r="O20" s="63" t="str">
        <f>IF('GBG Filtered'!N14 &lt;&gt; "", VLOOKUP(IFERROR(VLOOKUP('GBG Filtered'!N14, FormFixes, 2, false), 'GBG Filtered'!N14), PokemonIcons, 2, False), "")</f>
        <v/>
      </c>
      <c r="P20" s="63" t="str">
        <f>IF('GBG Filtered'!O14 &lt;&gt; "", VLOOKUP(IFERROR(VLOOKUP('GBG Filtered'!O14, FormFixes, 2, false), 'GBG Filtered'!O14), PokemonIcons, 2, False), "")</f>
        <v/>
      </c>
      <c r="Q20" s="63" t="str">
        <f>IF('GBG Filtered'!P14 &lt;&gt; "", VLOOKUP(IFERROR(VLOOKUP('GBG Filtered'!P14, FormFixes, 2, false), 'GBG Filtered'!P14), PokemonIcons, 2, False), "")</f>
        <v/>
      </c>
      <c r="R20" s="63" t="str">
        <f>IF('GBG Filtered'!Q14 &lt;&gt; "", VLOOKUP(IFERROR(VLOOKUP('GBG Filtered'!Q14, FormFixes, 2, false), 'GBG Filtered'!Q14), PokemonIcons, 2, False), "")</f>
        <v/>
      </c>
      <c r="T20" s="63" t="str">
        <f>IF('GBG Filtered'!S14 &lt;&gt; "", VLOOKUP(IFERROR(VLOOKUP('GBG Filtered'!S14, FormFixes, 2, false), 'GBG Filtered'!S14), PokemonIcons, 2, False), "")</f>
        <v/>
      </c>
      <c r="U20" s="63" t="str">
        <f>IF('GBG Filtered'!T14 &lt;&gt; "", VLOOKUP(IFERROR(VLOOKUP('GBG Filtered'!T14, FormFixes, 2, false), 'GBG Filtered'!T14), PokemonIcons, 2, False), "")</f>
        <v/>
      </c>
      <c r="V20" s="63" t="str">
        <f>IF('GBG Filtered'!U14 &lt;&gt; "", VLOOKUP(IFERROR(VLOOKUP('GBG Filtered'!U14, FormFixes, 2, false), 'GBG Filtered'!U14), PokemonIcons, 2, False), "")</f>
        <v/>
      </c>
      <c r="W20" s="63" t="str">
        <f>IF('GBG Filtered'!V14 &lt;&gt; "", VLOOKUP(IFERROR(VLOOKUP('GBG Filtered'!V14, FormFixes, 2, false), 'GBG Filtered'!V14), PokemonIcons, 2, False), "")</f>
        <v/>
      </c>
      <c r="Z20" s="63" t="str">
        <f>IF('GBG Filtered'!Y14 &lt;&gt; "", VLOOKUP(IFERROR(VLOOKUP('GBG Filtered'!Y14, FormFixes, 2, false), 'GBG Filtered'!Y14), PokemonIcons, 2, False), "")</f>
        <v/>
      </c>
      <c r="AA20" s="63" t="str">
        <f>IF('GBG Filtered'!Z14 &lt;&gt; "", VLOOKUP('GBG Filtered'!Z14, TypeIcons, 2, False), "")</f>
        <v/>
      </c>
      <c r="AB20" s="63" t="str">
        <f>IF('GBG Filtered'!AA14 &lt;&gt; "", VLOOKUP(IFERROR(VLOOKUP('GBG Filtered'!AA14, FormFixes, 2, false), 'GBG Filtered'!AA14), PokemonIcons, 2, False), "")</f>
        <v/>
      </c>
      <c r="AC20" s="63" t="str">
        <f>IF('GBG Filtered'!AB14 &lt;&gt; "", VLOOKUP('GBG Filtered'!AB14, TypeIcons, 2, False), "")</f>
        <v/>
      </c>
      <c r="AD20" s="103" t="str">
        <f>'GBG Filtered'!AC14</f>
        <v/>
      </c>
      <c r="AE20" s="103" t="str">
        <f>'GBG Filtered'!AD14</f>
        <v/>
      </c>
      <c r="AF20" s="104" t="str">
        <f>'GBG Filtered'!AE14</f>
        <v/>
      </c>
    </row>
    <row r="21" ht="24.0" customHeight="1">
      <c r="B21" s="101" t="str">
        <f>'GBG Filtered'!A15</f>
        <v/>
      </c>
      <c r="C21" s="102" t="str">
        <f>'GBG Filtered'!B15</f>
        <v/>
      </c>
      <c r="D21" s="102" t="str">
        <f>'GBG Filtered'!C15</f>
        <v/>
      </c>
      <c r="E21" s="102" t="str">
        <f>'GBG Filtered'!D15</f>
        <v/>
      </c>
      <c r="F21" s="63" t="str">
        <f>IF('GBG Filtered'!E15 &lt;&gt; "", VLOOKUP(IFERROR(VLOOKUP('GBG Filtered'!E15, FormFixes, 2, false), 'GBG Filtered'!E15), PokemonIcons, 2, False), "")</f>
        <v/>
      </c>
      <c r="G21" s="63" t="str">
        <f>IF('GBG Filtered'!F15 &lt;&gt; "", VLOOKUP(IFERROR(VLOOKUP('GBG Filtered'!F15, FormFixes, 2, false), 'GBG Filtered'!F15), PokemonIcons, 2, False), "")</f>
        <v/>
      </c>
      <c r="H21" s="63" t="str">
        <f>IF('GBG Filtered'!G15 &lt;&gt; "", VLOOKUP(IFERROR(VLOOKUP('GBG Filtered'!G15, FormFixes, 2, false), 'GBG Filtered'!G15), PokemonIcons, 2, False), "")</f>
        <v/>
      </c>
      <c r="I21" s="63" t="str">
        <f>IF('GBG Filtered'!H15 &lt;&gt; "", VLOOKUP(IFERROR(VLOOKUP('GBG Filtered'!H15, FormFixes, 2, false), 'GBG Filtered'!H15), PokemonIcons, 2, False), "")</f>
        <v/>
      </c>
      <c r="J21" s="63" t="str">
        <f>IF('GBG Filtered'!I15 &lt;&gt; "", VLOOKUP(IFERROR(VLOOKUP('GBG Filtered'!I15, FormFixes, 2, false), 'GBG Filtered'!I15), PokemonIcons, 2, False), "")</f>
        <v/>
      </c>
      <c r="K21" s="63" t="str">
        <f>IF('GBG Filtered'!J15 &lt;&gt; "", VLOOKUP(IFERROR(VLOOKUP('GBG Filtered'!J15, FormFixes, 2, false), 'GBG Filtered'!J15), PokemonIcons, 2, False), "")</f>
        <v/>
      </c>
      <c r="O21" s="63" t="str">
        <f>IF('GBG Filtered'!N15 &lt;&gt; "", VLOOKUP(IFERROR(VLOOKUP('GBG Filtered'!N15, FormFixes, 2, false), 'GBG Filtered'!N15), PokemonIcons, 2, False), "")</f>
        <v/>
      </c>
      <c r="P21" s="63" t="str">
        <f>IF('GBG Filtered'!O15 &lt;&gt; "", VLOOKUP(IFERROR(VLOOKUP('GBG Filtered'!O15, FormFixes, 2, false), 'GBG Filtered'!O15), PokemonIcons, 2, False), "")</f>
        <v/>
      </c>
      <c r="Q21" s="63" t="str">
        <f>IF('GBG Filtered'!P15 &lt;&gt; "", VLOOKUP(IFERROR(VLOOKUP('GBG Filtered'!P15, FormFixes, 2, false), 'GBG Filtered'!P15), PokemonIcons, 2, False), "")</f>
        <v/>
      </c>
      <c r="R21" s="63" t="str">
        <f>IF('GBG Filtered'!Q15 &lt;&gt; "", VLOOKUP(IFERROR(VLOOKUP('GBG Filtered'!Q15, FormFixes, 2, false), 'GBG Filtered'!Q15), PokemonIcons, 2, False), "")</f>
        <v/>
      </c>
      <c r="T21" s="63" t="str">
        <f>IF('GBG Filtered'!S15 &lt;&gt; "", VLOOKUP(IFERROR(VLOOKUP('GBG Filtered'!S15, FormFixes, 2, false), 'GBG Filtered'!S15), PokemonIcons, 2, False), "")</f>
        <v/>
      </c>
      <c r="U21" s="63" t="str">
        <f>IF('GBG Filtered'!T15 &lt;&gt; "", VLOOKUP(IFERROR(VLOOKUP('GBG Filtered'!T15, FormFixes, 2, false), 'GBG Filtered'!T15), PokemonIcons, 2, False), "")</f>
        <v/>
      </c>
      <c r="V21" s="63" t="str">
        <f>IF('GBG Filtered'!U15 &lt;&gt; "", VLOOKUP(IFERROR(VLOOKUP('GBG Filtered'!U15, FormFixes, 2, false), 'GBG Filtered'!U15), PokemonIcons, 2, False), "")</f>
        <v/>
      </c>
      <c r="W21" s="63" t="str">
        <f>IF('GBG Filtered'!V15 &lt;&gt; "", VLOOKUP(IFERROR(VLOOKUP('GBG Filtered'!V15, FormFixes, 2, false), 'GBG Filtered'!V15), PokemonIcons, 2, False), "")</f>
        <v/>
      </c>
      <c r="Z21" s="63" t="str">
        <f>IF('GBG Filtered'!Y15 &lt;&gt; "", VLOOKUP(IFERROR(VLOOKUP('GBG Filtered'!Y15, FormFixes, 2, false), 'GBG Filtered'!Y15), PokemonIcons, 2, False), "")</f>
        <v/>
      </c>
      <c r="AA21" s="63" t="str">
        <f>IF('GBG Filtered'!Z15 &lt;&gt; "", VLOOKUP('GBG Filtered'!Z15, TypeIcons, 2, False), "")</f>
        <v/>
      </c>
      <c r="AB21" s="63" t="str">
        <f>IF('GBG Filtered'!AA15 &lt;&gt; "", VLOOKUP(IFERROR(VLOOKUP('GBG Filtered'!AA15, FormFixes, 2, false), 'GBG Filtered'!AA15), PokemonIcons, 2, False), "")</f>
        <v/>
      </c>
      <c r="AC21" s="63" t="str">
        <f>IF('GBG Filtered'!AB15 &lt;&gt; "", VLOOKUP('GBG Filtered'!AB15, TypeIcons, 2, False), "")</f>
        <v/>
      </c>
      <c r="AD21" s="103" t="str">
        <f>'GBG Filtered'!AC15</f>
        <v/>
      </c>
      <c r="AE21" s="103" t="str">
        <f>'GBG Filtered'!AD15</f>
        <v/>
      </c>
      <c r="AF21" s="104" t="str">
        <f>'GBG Filtered'!AE15</f>
        <v/>
      </c>
    </row>
    <row r="22" ht="24.0" customHeight="1">
      <c r="B22" s="101" t="str">
        <f>'GBG Filtered'!A16</f>
        <v/>
      </c>
      <c r="C22" s="102" t="str">
        <f>'GBG Filtered'!B16</f>
        <v/>
      </c>
      <c r="D22" s="102" t="str">
        <f>'GBG Filtered'!C16</f>
        <v/>
      </c>
      <c r="E22" s="102" t="str">
        <f>'GBG Filtered'!D16</f>
        <v/>
      </c>
      <c r="F22" s="63" t="str">
        <f>IF('GBG Filtered'!E16 &lt;&gt; "", VLOOKUP(IFERROR(VLOOKUP('GBG Filtered'!E16, FormFixes, 2, false), 'GBG Filtered'!E16), PokemonIcons, 2, False), "")</f>
        <v/>
      </c>
      <c r="G22" s="63" t="str">
        <f>IF('GBG Filtered'!F16 &lt;&gt; "", VLOOKUP(IFERROR(VLOOKUP('GBG Filtered'!F16, FormFixes, 2, false), 'GBG Filtered'!F16), PokemonIcons, 2, False), "")</f>
        <v/>
      </c>
      <c r="H22" s="63" t="str">
        <f>IF('GBG Filtered'!G16 &lt;&gt; "", VLOOKUP(IFERROR(VLOOKUP('GBG Filtered'!G16, FormFixes, 2, false), 'GBG Filtered'!G16), PokemonIcons, 2, False), "")</f>
        <v/>
      </c>
      <c r="I22" s="63" t="str">
        <f>IF('GBG Filtered'!H16 &lt;&gt; "", VLOOKUP(IFERROR(VLOOKUP('GBG Filtered'!H16, FormFixes, 2, false), 'GBG Filtered'!H16), PokemonIcons, 2, False), "")</f>
        <v/>
      </c>
      <c r="J22" s="63" t="str">
        <f>IF('GBG Filtered'!I16 &lt;&gt; "", VLOOKUP(IFERROR(VLOOKUP('GBG Filtered'!I16, FormFixes, 2, false), 'GBG Filtered'!I16), PokemonIcons, 2, False), "")</f>
        <v/>
      </c>
      <c r="K22" s="63" t="str">
        <f>IF('GBG Filtered'!J16 &lt;&gt; "", VLOOKUP(IFERROR(VLOOKUP('GBG Filtered'!J16, FormFixes, 2, false), 'GBG Filtered'!J16), PokemonIcons, 2, False), "")</f>
        <v/>
      </c>
      <c r="O22" s="63" t="str">
        <f>IF('GBG Filtered'!N16 &lt;&gt; "", VLOOKUP(IFERROR(VLOOKUP('GBG Filtered'!N16, FormFixes, 2, false), 'GBG Filtered'!N16), PokemonIcons, 2, False), "")</f>
        <v/>
      </c>
      <c r="P22" s="63" t="str">
        <f>IF('GBG Filtered'!O16 &lt;&gt; "", VLOOKUP(IFERROR(VLOOKUP('GBG Filtered'!O16, FormFixes, 2, false), 'GBG Filtered'!O16), PokemonIcons, 2, False), "")</f>
        <v/>
      </c>
      <c r="Q22" s="63" t="str">
        <f>IF('GBG Filtered'!P16 &lt;&gt; "", VLOOKUP(IFERROR(VLOOKUP('GBG Filtered'!P16, FormFixes, 2, false), 'GBG Filtered'!P16), PokemonIcons, 2, False), "")</f>
        <v/>
      </c>
      <c r="R22" s="63" t="str">
        <f>IF('GBG Filtered'!Q16 &lt;&gt; "", VLOOKUP(IFERROR(VLOOKUP('GBG Filtered'!Q16, FormFixes, 2, false), 'GBG Filtered'!Q16), PokemonIcons, 2, False), "")</f>
        <v/>
      </c>
      <c r="T22" s="63" t="str">
        <f>IF('GBG Filtered'!S16 &lt;&gt; "", VLOOKUP(IFERROR(VLOOKUP('GBG Filtered'!S16, FormFixes, 2, false), 'GBG Filtered'!S16), PokemonIcons, 2, False), "")</f>
        <v/>
      </c>
      <c r="U22" s="63" t="str">
        <f>IF('GBG Filtered'!T16 &lt;&gt; "", VLOOKUP(IFERROR(VLOOKUP('GBG Filtered'!T16, FormFixes, 2, false), 'GBG Filtered'!T16), PokemonIcons, 2, False), "")</f>
        <v/>
      </c>
      <c r="V22" s="63" t="str">
        <f>IF('GBG Filtered'!U16 &lt;&gt; "", VLOOKUP(IFERROR(VLOOKUP('GBG Filtered'!U16, FormFixes, 2, false), 'GBG Filtered'!U16), PokemonIcons, 2, False), "")</f>
        <v/>
      </c>
      <c r="W22" s="63" t="str">
        <f>IF('GBG Filtered'!V16 &lt;&gt; "", VLOOKUP(IFERROR(VLOOKUP('GBG Filtered'!V16, FormFixes, 2, false), 'GBG Filtered'!V16), PokemonIcons, 2, False), "")</f>
        <v/>
      </c>
      <c r="Z22" s="63" t="str">
        <f>IF('GBG Filtered'!Y16 &lt;&gt; "", VLOOKUP(IFERROR(VLOOKUP('GBG Filtered'!Y16, FormFixes, 2, false), 'GBG Filtered'!Y16), PokemonIcons, 2, False), "")</f>
        <v/>
      </c>
      <c r="AA22" s="63" t="str">
        <f>IF('GBG Filtered'!Z16 &lt;&gt; "", VLOOKUP('GBG Filtered'!Z16, TypeIcons, 2, False), "")</f>
        <v/>
      </c>
      <c r="AB22" s="63" t="str">
        <f>IF('GBG Filtered'!AA16 &lt;&gt; "", VLOOKUP(IFERROR(VLOOKUP('GBG Filtered'!AA16, FormFixes, 2, false), 'GBG Filtered'!AA16), PokemonIcons, 2, False), "")</f>
        <v/>
      </c>
      <c r="AC22" s="63" t="str">
        <f>IF('GBG Filtered'!AB16 &lt;&gt; "", VLOOKUP('GBG Filtered'!AB16, TypeIcons, 2, False), "")</f>
        <v/>
      </c>
      <c r="AD22" s="103" t="str">
        <f>'GBG Filtered'!AC16</f>
        <v/>
      </c>
      <c r="AE22" s="103" t="str">
        <f>'GBG Filtered'!AD16</f>
        <v/>
      </c>
      <c r="AF22" s="104" t="str">
        <f>'GBG Filtered'!AE16</f>
        <v/>
      </c>
    </row>
    <row r="23" ht="24.0" customHeight="1">
      <c r="B23" s="101" t="str">
        <f>'GBG Filtered'!A17</f>
        <v/>
      </c>
      <c r="C23" s="102" t="str">
        <f>'GBG Filtered'!B17</f>
        <v/>
      </c>
      <c r="D23" s="102" t="str">
        <f>'GBG Filtered'!C17</f>
        <v/>
      </c>
      <c r="E23" s="102" t="str">
        <f>'GBG Filtered'!D17</f>
        <v/>
      </c>
      <c r="F23" s="63" t="str">
        <f>IF('GBG Filtered'!E17 &lt;&gt; "", VLOOKUP(IFERROR(VLOOKUP('GBG Filtered'!E17, FormFixes, 2, false), 'GBG Filtered'!E17), PokemonIcons, 2, False), "")</f>
        <v/>
      </c>
      <c r="G23" s="63" t="str">
        <f>IF('GBG Filtered'!F17 &lt;&gt; "", VLOOKUP(IFERROR(VLOOKUP('GBG Filtered'!F17, FormFixes, 2, false), 'GBG Filtered'!F17), PokemonIcons, 2, False), "")</f>
        <v/>
      </c>
      <c r="H23" s="63" t="str">
        <f>IF('GBG Filtered'!G17 &lt;&gt; "", VLOOKUP(IFERROR(VLOOKUP('GBG Filtered'!G17, FormFixes, 2, false), 'GBG Filtered'!G17), PokemonIcons, 2, False), "")</f>
        <v/>
      </c>
      <c r="I23" s="63" t="str">
        <f>IF('GBG Filtered'!H17 &lt;&gt; "", VLOOKUP(IFERROR(VLOOKUP('GBG Filtered'!H17, FormFixes, 2, false), 'GBG Filtered'!H17), PokemonIcons, 2, False), "")</f>
        <v/>
      </c>
      <c r="J23" s="63" t="str">
        <f>IF('GBG Filtered'!I17 &lt;&gt; "", VLOOKUP(IFERROR(VLOOKUP('GBG Filtered'!I17, FormFixes, 2, false), 'GBG Filtered'!I17), PokemonIcons, 2, False), "")</f>
        <v/>
      </c>
      <c r="K23" s="63" t="str">
        <f>IF('GBG Filtered'!J17 &lt;&gt; "", VLOOKUP(IFERROR(VLOOKUP('GBG Filtered'!J17, FormFixes, 2, false), 'GBG Filtered'!J17), PokemonIcons, 2, False), "")</f>
        <v/>
      </c>
      <c r="O23" s="63" t="str">
        <f>IF('GBG Filtered'!N17 &lt;&gt; "", VLOOKUP(IFERROR(VLOOKUP('GBG Filtered'!N17, FormFixes, 2, false), 'GBG Filtered'!N17), PokemonIcons, 2, False), "")</f>
        <v/>
      </c>
      <c r="P23" s="63" t="str">
        <f>IF('GBG Filtered'!O17 &lt;&gt; "", VLOOKUP(IFERROR(VLOOKUP('GBG Filtered'!O17, FormFixes, 2, false), 'GBG Filtered'!O17), PokemonIcons, 2, False), "")</f>
        <v/>
      </c>
      <c r="Q23" s="63" t="str">
        <f>IF('GBG Filtered'!P17 &lt;&gt; "", VLOOKUP(IFERROR(VLOOKUP('GBG Filtered'!P17, FormFixes, 2, false), 'GBG Filtered'!P17), PokemonIcons, 2, False), "")</f>
        <v/>
      </c>
      <c r="R23" s="63" t="str">
        <f>IF('GBG Filtered'!Q17 &lt;&gt; "", VLOOKUP(IFERROR(VLOOKUP('GBG Filtered'!Q17, FormFixes, 2, false), 'GBG Filtered'!Q17), PokemonIcons, 2, False), "")</f>
        <v/>
      </c>
      <c r="T23" s="63" t="str">
        <f>IF('GBG Filtered'!S17 &lt;&gt; "", VLOOKUP(IFERROR(VLOOKUP('GBG Filtered'!S17, FormFixes, 2, false), 'GBG Filtered'!S17), PokemonIcons, 2, False), "")</f>
        <v/>
      </c>
      <c r="U23" s="63" t="str">
        <f>IF('GBG Filtered'!T17 &lt;&gt; "", VLOOKUP(IFERROR(VLOOKUP('GBG Filtered'!T17, FormFixes, 2, false), 'GBG Filtered'!T17), PokemonIcons, 2, False), "")</f>
        <v/>
      </c>
      <c r="V23" s="63" t="str">
        <f>IF('GBG Filtered'!U17 &lt;&gt; "", VLOOKUP(IFERROR(VLOOKUP('GBG Filtered'!U17, FormFixes, 2, false), 'GBG Filtered'!U17), PokemonIcons, 2, False), "")</f>
        <v/>
      </c>
      <c r="W23" s="63" t="str">
        <f>IF('GBG Filtered'!V17 &lt;&gt; "", VLOOKUP(IFERROR(VLOOKUP('GBG Filtered'!V17, FormFixes, 2, false), 'GBG Filtered'!V17), PokemonIcons, 2, False), "")</f>
        <v/>
      </c>
      <c r="Z23" s="63" t="str">
        <f>IF('GBG Filtered'!Y17 &lt;&gt; "", VLOOKUP(IFERROR(VLOOKUP('GBG Filtered'!Y17, FormFixes, 2, false), 'GBG Filtered'!Y17), PokemonIcons, 2, False), "")</f>
        <v/>
      </c>
      <c r="AA23" s="63" t="str">
        <f>IF('GBG Filtered'!Z17 &lt;&gt; "", VLOOKUP('GBG Filtered'!Z17, TypeIcons, 2, False), "")</f>
        <v/>
      </c>
      <c r="AB23" s="63" t="str">
        <f>IF('GBG Filtered'!AA17 &lt;&gt; "", VLOOKUP(IFERROR(VLOOKUP('GBG Filtered'!AA17, FormFixes, 2, false), 'GBG Filtered'!AA17), PokemonIcons, 2, False), "")</f>
        <v/>
      </c>
      <c r="AC23" s="63" t="str">
        <f>IF('GBG Filtered'!AB17 &lt;&gt; "", VLOOKUP('GBG Filtered'!AB17, TypeIcons, 2, False), "")</f>
        <v/>
      </c>
      <c r="AD23" s="103" t="str">
        <f>'GBG Filtered'!AC17</f>
        <v/>
      </c>
      <c r="AE23" s="103" t="str">
        <f>'GBG Filtered'!AD17</f>
        <v/>
      </c>
      <c r="AF23" s="104" t="str">
        <f>'GBG Filtered'!AE17</f>
        <v/>
      </c>
    </row>
    <row r="24" ht="24.0" customHeight="1">
      <c r="B24" s="101" t="str">
        <f>'GBG Filtered'!A18</f>
        <v/>
      </c>
      <c r="C24" s="102" t="str">
        <f>'GBG Filtered'!B18</f>
        <v/>
      </c>
      <c r="D24" s="102" t="str">
        <f>'GBG Filtered'!C18</f>
        <v/>
      </c>
      <c r="E24" s="102" t="str">
        <f>'GBG Filtered'!D18</f>
        <v/>
      </c>
      <c r="F24" s="63" t="str">
        <f>IF('GBG Filtered'!E18 &lt;&gt; "", VLOOKUP(IFERROR(VLOOKUP('GBG Filtered'!E18, FormFixes, 2, false), 'GBG Filtered'!E18), PokemonIcons, 2, False), "")</f>
        <v/>
      </c>
      <c r="G24" s="63" t="str">
        <f>IF('GBG Filtered'!F18 &lt;&gt; "", VLOOKUP(IFERROR(VLOOKUP('GBG Filtered'!F18, FormFixes, 2, false), 'GBG Filtered'!F18), PokemonIcons, 2, False), "")</f>
        <v/>
      </c>
      <c r="H24" s="63" t="str">
        <f>IF('GBG Filtered'!G18 &lt;&gt; "", VLOOKUP(IFERROR(VLOOKUP('GBG Filtered'!G18, FormFixes, 2, false), 'GBG Filtered'!G18), PokemonIcons, 2, False), "")</f>
        <v/>
      </c>
      <c r="I24" s="63" t="str">
        <f>IF('GBG Filtered'!H18 &lt;&gt; "", VLOOKUP(IFERROR(VLOOKUP('GBG Filtered'!H18, FormFixes, 2, false), 'GBG Filtered'!H18), PokemonIcons, 2, False), "")</f>
        <v/>
      </c>
      <c r="J24" s="63" t="str">
        <f>IF('GBG Filtered'!I18 &lt;&gt; "", VLOOKUP(IFERROR(VLOOKUP('GBG Filtered'!I18, FormFixes, 2, false), 'GBG Filtered'!I18), PokemonIcons, 2, False), "")</f>
        <v/>
      </c>
      <c r="K24" s="63" t="str">
        <f>IF('GBG Filtered'!J18 &lt;&gt; "", VLOOKUP(IFERROR(VLOOKUP('GBG Filtered'!J18, FormFixes, 2, false), 'GBG Filtered'!J18), PokemonIcons, 2, False), "")</f>
        <v/>
      </c>
      <c r="O24" s="63" t="str">
        <f>IF('GBG Filtered'!N18 &lt;&gt; "", VLOOKUP(IFERROR(VLOOKUP('GBG Filtered'!N18, FormFixes, 2, false), 'GBG Filtered'!N18), PokemonIcons, 2, False), "")</f>
        <v/>
      </c>
      <c r="P24" s="63" t="str">
        <f>IF('GBG Filtered'!O18 &lt;&gt; "", VLOOKUP(IFERROR(VLOOKUP('GBG Filtered'!O18, FormFixes, 2, false), 'GBG Filtered'!O18), PokemonIcons, 2, False), "")</f>
        <v/>
      </c>
      <c r="Q24" s="63" t="str">
        <f>IF('GBG Filtered'!P18 &lt;&gt; "", VLOOKUP(IFERROR(VLOOKUP('GBG Filtered'!P18, FormFixes, 2, false), 'GBG Filtered'!P18), PokemonIcons, 2, False), "")</f>
        <v/>
      </c>
      <c r="R24" s="63" t="str">
        <f>IF('GBG Filtered'!Q18 &lt;&gt; "", VLOOKUP(IFERROR(VLOOKUP('GBG Filtered'!Q18, FormFixes, 2, false), 'GBG Filtered'!Q18), PokemonIcons, 2, False), "")</f>
        <v/>
      </c>
      <c r="T24" s="63" t="str">
        <f>IF('GBG Filtered'!S18 &lt;&gt; "", VLOOKUP(IFERROR(VLOOKUP('GBG Filtered'!S18, FormFixes, 2, false), 'GBG Filtered'!S18), PokemonIcons, 2, False), "")</f>
        <v/>
      </c>
      <c r="U24" s="63" t="str">
        <f>IF('GBG Filtered'!T18 &lt;&gt; "", VLOOKUP(IFERROR(VLOOKUP('GBG Filtered'!T18, FormFixes, 2, false), 'GBG Filtered'!T18), PokemonIcons, 2, False), "")</f>
        <v/>
      </c>
      <c r="V24" s="63" t="str">
        <f>IF('GBG Filtered'!U18 &lt;&gt; "", VLOOKUP(IFERROR(VLOOKUP('GBG Filtered'!U18, FormFixes, 2, false), 'GBG Filtered'!U18), PokemonIcons, 2, False), "")</f>
        <v/>
      </c>
      <c r="W24" s="63" t="str">
        <f>IF('GBG Filtered'!V18 &lt;&gt; "", VLOOKUP(IFERROR(VLOOKUP('GBG Filtered'!V18, FormFixes, 2, false), 'GBG Filtered'!V18), PokemonIcons, 2, False), "")</f>
        <v/>
      </c>
      <c r="Z24" s="63" t="str">
        <f>IF('GBG Filtered'!Y18 &lt;&gt; "", VLOOKUP(IFERROR(VLOOKUP('GBG Filtered'!Y18, FormFixes, 2, false), 'GBG Filtered'!Y18), PokemonIcons, 2, False), "")</f>
        <v/>
      </c>
      <c r="AA24" s="63" t="str">
        <f>IF('GBG Filtered'!Z18 &lt;&gt; "", VLOOKUP('GBG Filtered'!Z18, TypeIcons, 2, False), "")</f>
        <v/>
      </c>
      <c r="AB24" s="63" t="str">
        <f>IF('GBG Filtered'!AA18 &lt;&gt; "", VLOOKUP(IFERROR(VLOOKUP('GBG Filtered'!AA18, FormFixes, 2, false), 'GBG Filtered'!AA18), PokemonIcons, 2, False), "")</f>
        <v/>
      </c>
      <c r="AC24" s="63" t="str">
        <f>IF('GBG Filtered'!AB18 &lt;&gt; "", VLOOKUP('GBG Filtered'!AB18, TypeIcons, 2, False), "")</f>
        <v/>
      </c>
      <c r="AD24" s="103" t="str">
        <f>'GBG Filtered'!AC18</f>
        <v/>
      </c>
      <c r="AE24" s="103" t="str">
        <f>'GBG Filtered'!AD18</f>
        <v/>
      </c>
      <c r="AF24" s="104" t="str">
        <f>'GBG Filtered'!AE18</f>
        <v/>
      </c>
    </row>
    <row r="25" ht="24.0" customHeight="1">
      <c r="B25" s="101" t="str">
        <f>'GBG Filtered'!A19</f>
        <v/>
      </c>
      <c r="C25" s="102" t="str">
        <f>'GBG Filtered'!B19</f>
        <v/>
      </c>
      <c r="D25" s="102" t="str">
        <f>'GBG Filtered'!C19</f>
        <v/>
      </c>
      <c r="E25" s="102" t="str">
        <f>'GBG Filtered'!D19</f>
        <v/>
      </c>
      <c r="F25" s="63" t="str">
        <f>IF('GBG Filtered'!E19 &lt;&gt; "", VLOOKUP(IFERROR(VLOOKUP('GBG Filtered'!E19, FormFixes, 2, false), 'GBG Filtered'!E19), PokemonIcons, 2, False), "")</f>
        <v/>
      </c>
      <c r="G25" s="63" t="str">
        <f>IF('GBG Filtered'!F19 &lt;&gt; "", VLOOKUP(IFERROR(VLOOKUP('GBG Filtered'!F19, FormFixes, 2, false), 'GBG Filtered'!F19), PokemonIcons, 2, False), "")</f>
        <v/>
      </c>
      <c r="H25" s="63" t="str">
        <f>IF('GBG Filtered'!G19 &lt;&gt; "", VLOOKUP(IFERROR(VLOOKUP('GBG Filtered'!G19, FormFixes, 2, false), 'GBG Filtered'!G19), PokemonIcons, 2, False), "")</f>
        <v/>
      </c>
      <c r="I25" s="63" t="str">
        <f>IF('GBG Filtered'!H19 &lt;&gt; "", VLOOKUP(IFERROR(VLOOKUP('GBG Filtered'!H19, FormFixes, 2, false), 'GBG Filtered'!H19), PokemonIcons, 2, False), "")</f>
        <v/>
      </c>
      <c r="J25" s="63" t="str">
        <f>IF('GBG Filtered'!I19 &lt;&gt; "", VLOOKUP(IFERROR(VLOOKUP('GBG Filtered'!I19, FormFixes, 2, false), 'GBG Filtered'!I19), PokemonIcons, 2, False), "")</f>
        <v/>
      </c>
      <c r="K25" s="63" t="str">
        <f>IF('GBG Filtered'!J19 &lt;&gt; "", VLOOKUP(IFERROR(VLOOKUP('GBG Filtered'!J19, FormFixes, 2, false), 'GBG Filtered'!J19), PokemonIcons, 2, False), "")</f>
        <v/>
      </c>
      <c r="O25" s="63" t="str">
        <f>IF('GBG Filtered'!N19 &lt;&gt; "", VLOOKUP(IFERROR(VLOOKUP('GBG Filtered'!N19, FormFixes, 2, false), 'GBG Filtered'!N19), PokemonIcons, 2, False), "")</f>
        <v/>
      </c>
      <c r="P25" s="63" t="str">
        <f>IF('GBG Filtered'!O19 &lt;&gt; "", VLOOKUP(IFERROR(VLOOKUP('GBG Filtered'!O19, FormFixes, 2, false), 'GBG Filtered'!O19), PokemonIcons, 2, False), "")</f>
        <v/>
      </c>
      <c r="Q25" s="63" t="str">
        <f>IF('GBG Filtered'!P19 &lt;&gt; "", VLOOKUP(IFERROR(VLOOKUP('GBG Filtered'!P19, FormFixes, 2, false), 'GBG Filtered'!P19), PokemonIcons, 2, False), "")</f>
        <v/>
      </c>
      <c r="R25" s="63" t="str">
        <f>IF('GBG Filtered'!Q19 &lt;&gt; "", VLOOKUP(IFERROR(VLOOKUP('GBG Filtered'!Q19, FormFixes, 2, false), 'GBG Filtered'!Q19), PokemonIcons, 2, False), "")</f>
        <v/>
      </c>
      <c r="T25" s="63" t="str">
        <f>IF('GBG Filtered'!S19 &lt;&gt; "", VLOOKUP(IFERROR(VLOOKUP('GBG Filtered'!S19, FormFixes, 2, false), 'GBG Filtered'!S19), PokemonIcons, 2, False), "")</f>
        <v/>
      </c>
      <c r="U25" s="63" t="str">
        <f>IF('GBG Filtered'!T19 &lt;&gt; "", VLOOKUP(IFERROR(VLOOKUP('GBG Filtered'!T19, FormFixes, 2, false), 'GBG Filtered'!T19), PokemonIcons, 2, False), "")</f>
        <v/>
      </c>
      <c r="V25" s="63" t="str">
        <f>IF('GBG Filtered'!U19 &lt;&gt; "", VLOOKUP(IFERROR(VLOOKUP('GBG Filtered'!U19, FormFixes, 2, false), 'GBG Filtered'!U19), PokemonIcons, 2, False), "")</f>
        <v/>
      </c>
      <c r="W25" s="63" t="str">
        <f>IF('GBG Filtered'!V19 &lt;&gt; "", VLOOKUP(IFERROR(VLOOKUP('GBG Filtered'!V19, FormFixes, 2, false), 'GBG Filtered'!V19), PokemonIcons, 2, False), "")</f>
        <v/>
      </c>
      <c r="Z25" s="63" t="str">
        <f>IF('GBG Filtered'!Y19 &lt;&gt; "", VLOOKUP(IFERROR(VLOOKUP('GBG Filtered'!Y19, FormFixes, 2, false), 'GBG Filtered'!Y19), PokemonIcons, 2, False), "")</f>
        <v/>
      </c>
      <c r="AA25" s="63" t="str">
        <f>IF('GBG Filtered'!Z19 &lt;&gt; "", VLOOKUP('GBG Filtered'!Z19, TypeIcons, 2, False), "")</f>
        <v/>
      </c>
      <c r="AB25" s="63" t="str">
        <f>IF('GBG Filtered'!AA19 &lt;&gt; "", VLOOKUP(IFERROR(VLOOKUP('GBG Filtered'!AA19, FormFixes, 2, false), 'GBG Filtered'!AA19), PokemonIcons, 2, False), "")</f>
        <v/>
      </c>
      <c r="AC25" s="63" t="str">
        <f>IF('GBG Filtered'!AB19 &lt;&gt; "", VLOOKUP('GBG Filtered'!AB19, TypeIcons, 2, False), "")</f>
        <v/>
      </c>
      <c r="AD25" s="103" t="str">
        <f>'GBG Filtered'!AC19</f>
        <v/>
      </c>
      <c r="AE25" s="103" t="str">
        <f>'GBG Filtered'!AD19</f>
        <v/>
      </c>
      <c r="AF25" s="104" t="str">
        <f>'GBG Filtered'!AE19</f>
        <v/>
      </c>
    </row>
    <row r="26" ht="24.0" customHeight="1">
      <c r="B26" s="101" t="str">
        <f>'GBG Filtered'!A20</f>
        <v/>
      </c>
      <c r="C26" s="102" t="str">
        <f>'GBG Filtered'!B20</f>
        <v/>
      </c>
      <c r="D26" s="102" t="str">
        <f>'GBG Filtered'!C20</f>
        <v/>
      </c>
      <c r="E26" s="102" t="str">
        <f>'GBG Filtered'!D20</f>
        <v/>
      </c>
      <c r="F26" s="63" t="str">
        <f>IF('GBG Filtered'!E20 &lt;&gt; "", VLOOKUP(IFERROR(VLOOKUP('GBG Filtered'!E20, FormFixes, 2, false), 'GBG Filtered'!E20), PokemonIcons, 2, False), "")</f>
        <v/>
      </c>
      <c r="G26" s="63" t="str">
        <f>IF('GBG Filtered'!F20 &lt;&gt; "", VLOOKUP(IFERROR(VLOOKUP('GBG Filtered'!F20, FormFixes, 2, false), 'GBG Filtered'!F20), PokemonIcons, 2, False), "")</f>
        <v/>
      </c>
      <c r="H26" s="63" t="str">
        <f>IF('GBG Filtered'!G20 &lt;&gt; "", VLOOKUP(IFERROR(VLOOKUP('GBG Filtered'!G20, FormFixes, 2, false), 'GBG Filtered'!G20), PokemonIcons, 2, False), "")</f>
        <v/>
      </c>
      <c r="I26" s="63" t="str">
        <f>IF('GBG Filtered'!H20 &lt;&gt; "", VLOOKUP(IFERROR(VLOOKUP('GBG Filtered'!H20, FormFixes, 2, false), 'GBG Filtered'!H20), PokemonIcons, 2, False), "")</f>
        <v/>
      </c>
      <c r="J26" s="63" t="str">
        <f>IF('GBG Filtered'!I20 &lt;&gt; "", VLOOKUP(IFERROR(VLOOKUP('GBG Filtered'!I20, FormFixes, 2, false), 'GBG Filtered'!I20), PokemonIcons, 2, False), "")</f>
        <v/>
      </c>
      <c r="K26" s="63" t="str">
        <f>IF('GBG Filtered'!J20 &lt;&gt; "", VLOOKUP(IFERROR(VLOOKUP('GBG Filtered'!J20, FormFixes, 2, false), 'GBG Filtered'!J20), PokemonIcons, 2, False), "")</f>
        <v/>
      </c>
      <c r="O26" s="63" t="str">
        <f>IF('GBG Filtered'!N20 &lt;&gt; "", VLOOKUP(IFERROR(VLOOKUP('GBG Filtered'!N20, FormFixes, 2, false), 'GBG Filtered'!N20), PokemonIcons, 2, False), "")</f>
        <v/>
      </c>
      <c r="P26" s="63" t="str">
        <f>IF('GBG Filtered'!O20 &lt;&gt; "", VLOOKUP(IFERROR(VLOOKUP('GBG Filtered'!O20, FormFixes, 2, false), 'GBG Filtered'!O20), PokemonIcons, 2, False), "")</f>
        <v/>
      </c>
      <c r="Q26" s="63" t="str">
        <f>IF('GBG Filtered'!P20 &lt;&gt; "", VLOOKUP(IFERROR(VLOOKUP('GBG Filtered'!P20, FormFixes, 2, false), 'GBG Filtered'!P20), PokemonIcons, 2, False), "")</f>
        <v/>
      </c>
      <c r="R26" s="63" t="str">
        <f>IF('GBG Filtered'!Q20 &lt;&gt; "", VLOOKUP(IFERROR(VLOOKUP('GBG Filtered'!Q20, FormFixes, 2, false), 'GBG Filtered'!Q20), PokemonIcons, 2, False), "")</f>
        <v/>
      </c>
      <c r="T26" s="63" t="str">
        <f>IF('GBG Filtered'!S20 &lt;&gt; "", VLOOKUP(IFERROR(VLOOKUP('GBG Filtered'!S20, FormFixes, 2, false), 'GBG Filtered'!S20), PokemonIcons, 2, False), "")</f>
        <v/>
      </c>
      <c r="U26" s="63" t="str">
        <f>IF('GBG Filtered'!T20 &lt;&gt; "", VLOOKUP(IFERROR(VLOOKUP('GBG Filtered'!T20, FormFixes, 2, false), 'GBG Filtered'!T20), PokemonIcons, 2, False), "")</f>
        <v/>
      </c>
      <c r="V26" s="63" t="str">
        <f>IF('GBG Filtered'!U20 &lt;&gt; "", VLOOKUP(IFERROR(VLOOKUP('GBG Filtered'!U20, FormFixes, 2, false), 'GBG Filtered'!U20), PokemonIcons, 2, False), "")</f>
        <v/>
      </c>
      <c r="W26" s="63" t="str">
        <f>IF('GBG Filtered'!V20 &lt;&gt; "", VLOOKUP(IFERROR(VLOOKUP('GBG Filtered'!V20, FormFixes, 2, false), 'GBG Filtered'!V20), PokemonIcons, 2, False), "")</f>
        <v/>
      </c>
      <c r="Z26" s="63" t="str">
        <f>IF('GBG Filtered'!Y20 &lt;&gt; "", VLOOKUP(IFERROR(VLOOKUP('GBG Filtered'!Y20, FormFixes, 2, false), 'GBG Filtered'!Y20), PokemonIcons, 2, False), "")</f>
        <v/>
      </c>
      <c r="AA26" s="63" t="str">
        <f>IF('GBG Filtered'!Z20 &lt;&gt; "", VLOOKUP('GBG Filtered'!Z20, TypeIcons, 2, False), "")</f>
        <v/>
      </c>
      <c r="AB26" s="63" t="str">
        <f>IF('GBG Filtered'!AA20 &lt;&gt; "", VLOOKUP(IFERROR(VLOOKUP('GBG Filtered'!AA20, FormFixes, 2, false), 'GBG Filtered'!AA20), PokemonIcons, 2, False), "")</f>
        <v/>
      </c>
      <c r="AC26" s="63" t="str">
        <f>IF('GBG Filtered'!AB20 &lt;&gt; "", VLOOKUP('GBG Filtered'!AB20, TypeIcons, 2, False), "")</f>
        <v/>
      </c>
      <c r="AD26" s="103" t="str">
        <f>'GBG Filtered'!AC20</f>
        <v/>
      </c>
      <c r="AE26" s="103" t="str">
        <f>'GBG Filtered'!AD20</f>
        <v/>
      </c>
      <c r="AF26" s="104" t="str">
        <f>'GBG Filtered'!AE20</f>
        <v/>
      </c>
    </row>
    <row r="27" ht="24.0" customHeight="1">
      <c r="B27" s="101" t="str">
        <f>'GBG Filtered'!A21</f>
        <v/>
      </c>
      <c r="C27" s="102" t="str">
        <f>'GBG Filtered'!B21</f>
        <v/>
      </c>
      <c r="D27" s="102" t="str">
        <f>'GBG Filtered'!C21</f>
        <v/>
      </c>
      <c r="E27" s="102" t="str">
        <f>'GBG Filtered'!D21</f>
        <v/>
      </c>
      <c r="F27" s="63" t="str">
        <f>IF('GBG Filtered'!E21 &lt;&gt; "", VLOOKUP(IFERROR(VLOOKUP('GBG Filtered'!E21, FormFixes, 2, false), 'GBG Filtered'!E21), PokemonIcons, 2, False), "")</f>
        <v/>
      </c>
      <c r="G27" s="63" t="str">
        <f>IF('GBG Filtered'!F21 &lt;&gt; "", VLOOKUP(IFERROR(VLOOKUP('GBG Filtered'!F21, FormFixes, 2, false), 'GBG Filtered'!F21), PokemonIcons, 2, False), "")</f>
        <v/>
      </c>
      <c r="H27" s="63" t="str">
        <f>IF('GBG Filtered'!G21 &lt;&gt; "", VLOOKUP(IFERROR(VLOOKUP('GBG Filtered'!G21, FormFixes, 2, false), 'GBG Filtered'!G21), PokemonIcons, 2, False), "")</f>
        <v/>
      </c>
      <c r="I27" s="63" t="str">
        <f>IF('GBG Filtered'!H21 &lt;&gt; "", VLOOKUP(IFERROR(VLOOKUP('GBG Filtered'!H21, FormFixes, 2, false), 'GBG Filtered'!H21), PokemonIcons, 2, False), "")</f>
        <v/>
      </c>
      <c r="J27" s="63" t="str">
        <f>IF('GBG Filtered'!I21 &lt;&gt; "", VLOOKUP(IFERROR(VLOOKUP('GBG Filtered'!I21, FormFixes, 2, false), 'GBG Filtered'!I21), PokemonIcons, 2, False), "")</f>
        <v/>
      </c>
      <c r="K27" s="63" t="str">
        <f>IF('GBG Filtered'!J21 &lt;&gt; "", VLOOKUP(IFERROR(VLOOKUP('GBG Filtered'!J21, FormFixes, 2, false), 'GBG Filtered'!J21), PokemonIcons, 2, False), "")</f>
        <v/>
      </c>
      <c r="O27" s="63" t="str">
        <f>IF('GBG Filtered'!N21 &lt;&gt; "", VLOOKUP(IFERROR(VLOOKUP('GBG Filtered'!N21, FormFixes, 2, false), 'GBG Filtered'!N21), PokemonIcons, 2, False), "")</f>
        <v/>
      </c>
      <c r="P27" s="63" t="str">
        <f>IF('GBG Filtered'!O21 &lt;&gt; "", VLOOKUP(IFERROR(VLOOKUP('GBG Filtered'!O21, FormFixes, 2, false), 'GBG Filtered'!O21), PokemonIcons, 2, False), "")</f>
        <v/>
      </c>
      <c r="Q27" s="63" t="str">
        <f>IF('GBG Filtered'!P21 &lt;&gt; "", VLOOKUP(IFERROR(VLOOKUP('GBG Filtered'!P21, FormFixes, 2, false), 'GBG Filtered'!P21), PokemonIcons, 2, False), "")</f>
        <v/>
      </c>
      <c r="R27" s="63" t="str">
        <f>IF('GBG Filtered'!Q21 &lt;&gt; "", VLOOKUP(IFERROR(VLOOKUP('GBG Filtered'!Q21, FormFixes, 2, false), 'GBG Filtered'!Q21), PokemonIcons, 2, False), "")</f>
        <v/>
      </c>
      <c r="T27" s="63" t="str">
        <f>IF('GBG Filtered'!S21 &lt;&gt; "", VLOOKUP(IFERROR(VLOOKUP('GBG Filtered'!S21, FormFixes, 2, false), 'GBG Filtered'!S21), PokemonIcons, 2, False), "")</f>
        <v/>
      </c>
      <c r="U27" s="63" t="str">
        <f>IF('GBG Filtered'!T21 &lt;&gt; "", VLOOKUP(IFERROR(VLOOKUP('GBG Filtered'!T21, FormFixes, 2, false), 'GBG Filtered'!T21), PokemonIcons, 2, False), "")</f>
        <v/>
      </c>
      <c r="V27" s="63" t="str">
        <f>IF('GBG Filtered'!U21 &lt;&gt; "", VLOOKUP(IFERROR(VLOOKUP('GBG Filtered'!U21, FormFixes, 2, false), 'GBG Filtered'!U21), PokemonIcons, 2, False), "")</f>
        <v/>
      </c>
      <c r="W27" s="63" t="str">
        <f>IF('GBG Filtered'!V21 &lt;&gt; "", VLOOKUP(IFERROR(VLOOKUP('GBG Filtered'!V21, FormFixes, 2, false), 'GBG Filtered'!V21), PokemonIcons, 2, False), "")</f>
        <v/>
      </c>
      <c r="Z27" s="63" t="str">
        <f>IF('GBG Filtered'!Y21 &lt;&gt; "", VLOOKUP(IFERROR(VLOOKUP('GBG Filtered'!Y21, FormFixes, 2, false), 'GBG Filtered'!Y21), PokemonIcons, 2, False), "")</f>
        <v/>
      </c>
      <c r="AA27" s="63" t="str">
        <f>IF('GBG Filtered'!Z21 &lt;&gt; "", VLOOKUP('GBG Filtered'!Z21, TypeIcons, 2, False), "")</f>
        <v/>
      </c>
      <c r="AB27" s="63" t="str">
        <f>IF('GBG Filtered'!AA21 &lt;&gt; "", VLOOKUP(IFERROR(VLOOKUP('GBG Filtered'!AA21, FormFixes, 2, false), 'GBG Filtered'!AA21), PokemonIcons, 2, False), "")</f>
        <v/>
      </c>
      <c r="AC27" s="63" t="str">
        <f>IF('GBG Filtered'!AB21 &lt;&gt; "", VLOOKUP('GBG Filtered'!AB21, TypeIcons, 2, False), "")</f>
        <v/>
      </c>
      <c r="AD27" s="103" t="str">
        <f>'GBG Filtered'!AC21</f>
        <v/>
      </c>
      <c r="AE27" s="103" t="str">
        <f>'GBG Filtered'!AD21</f>
        <v/>
      </c>
      <c r="AF27" s="104" t="str">
        <f>'GBG Filtered'!AE21</f>
        <v/>
      </c>
    </row>
    <row r="28" ht="24.0" customHeight="1">
      <c r="B28" s="101" t="str">
        <f>'GBG Filtered'!A22</f>
        <v/>
      </c>
      <c r="C28" s="102" t="str">
        <f>'GBG Filtered'!B22</f>
        <v/>
      </c>
      <c r="D28" s="102" t="str">
        <f>'GBG Filtered'!C22</f>
        <v/>
      </c>
      <c r="E28" s="102" t="str">
        <f>'GBG Filtered'!D22</f>
        <v/>
      </c>
      <c r="F28" s="63" t="str">
        <f>IF('GBG Filtered'!E22 &lt;&gt; "", VLOOKUP(IFERROR(VLOOKUP('GBG Filtered'!E22, FormFixes, 2, false), 'GBG Filtered'!E22), PokemonIcons, 2, False), "")</f>
        <v/>
      </c>
      <c r="G28" s="63" t="str">
        <f>IF('GBG Filtered'!F22 &lt;&gt; "", VLOOKUP(IFERROR(VLOOKUP('GBG Filtered'!F22, FormFixes, 2, false), 'GBG Filtered'!F22), PokemonIcons, 2, False), "")</f>
        <v/>
      </c>
      <c r="H28" s="63" t="str">
        <f>IF('GBG Filtered'!G22 &lt;&gt; "", VLOOKUP(IFERROR(VLOOKUP('GBG Filtered'!G22, FormFixes, 2, false), 'GBG Filtered'!G22), PokemonIcons, 2, False), "")</f>
        <v/>
      </c>
      <c r="I28" s="63" t="str">
        <f>IF('GBG Filtered'!H22 &lt;&gt; "", VLOOKUP(IFERROR(VLOOKUP('GBG Filtered'!H22, FormFixes, 2, false), 'GBG Filtered'!H22), PokemonIcons, 2, False), "")</f>
        <v/>
      </c>
      <c r="J28" s="63" t="str">
        <f>IF('GBG Filtered'!I22 &lt;&gt; "", VLOOKUP(IFERROR(VLOOKUP('GBG Filtered'!I22, FormFixes, 2, false), 'GBG Filtered'!I22), PokemonIcons, 2, False), "")</f>
        <v/>
      </c>
      <c r="K28" s="63" t="str">
        <f>IF('GBG Filtered'!J22 &lt;&gt; "", VLOOKUP(IFERROR(VLOOKUP('GBG Filtered'!J22, FormFixes, 2, false), 'GBG Filtered'!J22), PokemonIcons, 2, False), "")</f>
        <v/>
      </c>
      <c r="O28" s="63" t="str">
        <f>IF('GBG Filtered'!N22 &lt;&gt; "", VLOOKUP(IFERROR(VLOOKUP('GBG Filtered'!N22, FormFixes, 2, false), 'GBG Filtered'!N22), PokemonIcons, 2, False), "")</f>
        <v/>
      </c>
      <c r="P28" s="63" t="str">
        <f>IF('GBG Filtered'!O22 &lt;&gt; "", VLOOKUP(IFERROR(VLOOKUP('GBG Filtered'!O22, FormFixes, 2, false), 'GBG Filtered'!O22), PokemonIcons, 2, False), "")</f>
        <v/>
      </c>
      <c r="Q28" s="63" t="str">
        <f>IF('GBG Filtered'!P22 &lt;&gt; "", VLOOKUP(IFERROR(VLOOKUP('GBG Filtered'!P22, FormFixes, 2, false), 'GBG Filtered'!P22), PokemonIcons, 2, False), "")</f>
        <v/>
      </c>
      <c r="R28" s="63" t="str">
        <f>IF('GBG Filtered'!Q22 &lt;&gt; "", VLOOKUP(IFERROR(VLOOKUP('GBG Filtered'!Q22, FormFixes, 2, false), 'GBG Filtered'!Q22), PokemonIcons, 2, False), "")</f>
        <v/>
      </c>
      <c r="T28" s="63" t="str">
        <f>IF('GBG Filtered'!S22 &lt;&gt; "", VLOOKUP(IFERROR(VLOOKUP('GBG Filtered'!S22, FormFixes, 2, false), 'GBG Filtered'!S22), PokemonIcons, 2, False), "")</f>
        <v/>
      </c>
      <c r="U28" s="63" t="str">
        <f>IF('GBG Filtered'!T22 &lt;&gt; "", VLOOKUP(IFERROR(VLOOKUP('GBG Filtered'!T22, FormFixes, 2, false), 'GBG Filtered'!T22), PokemonIcons, 2, False), "")</f>
        <v/>
      </c>
      <c r="V28" s="63" t="str">
        <f>IF('GBG Filtered'!U22 &lt;&gt; "", VLOOKUP(IFERROR(VLOOKUP('GBG Filtered'!U22, FormFixes, 2, false), 'GBG Filtered'!U22), PokemonIcons, 2, False), "")</f>
        <v/>
      </c>
      <c r="W28" s="63" t="str">
        <f>IF('GBG Filtered'!V22 &lt;&gt; "", VLOOKUP(IFERROR(VLOOKUP('GBG Filtered'!V22, FormFixes, 2, false), 'GBG Filtered'!V22), PokemonIcons, 2, False), "")</f>
        <v/>
      </c>
      <c r="Z28" s="63" t="str">
        <f>IF('GBG Filtered'!Y22 &lt;&gt; "", VLOOKUP(IFERROR(VLOOKUP('GBG Filtered'!Y22, FormFixes, 2, false), 'GBG Filtered'!Y22), PokemonIcons, 2, False), "")</f>
        <v/>
      </c>
      <c r="AA28" s="63" t="str">
        <f>IF('GBG Filtered'!Z22 &lt;&gt; "", VLOOKUP('GBG Filtered'!Z22, TypeIcons, 2, False), "")</f>
        <v/>
      </c>
      <c r="AB28" s="63" t="str">
        <f>IF('GBG Filtered'!AA22 &lt;&gt; "", VLOOKUP(IFERROR(VLOOKUP('GBG Filtered'!AA22, FormFixes, 2, false), 'GBG Filtered'!AA22), PokemonIcons, 2, False), "")</f>
        <v/>
      </c>
      <c r="AC28" s="63" t="str">
        <f>IF('GBG Filtered'!AB22 &lt;&gt; "", VLOOKUP('GBG Filtered'!AB22, TypeIcons, 2, False), "")</f>
        <v/>
      </c>
      <c r="AD28" s="103" t="str">
        <f>'GBG Filtered'!AC22</f>
        <v/>
      </c>
      <c r="AE28" s="103" t="str">
        <f>'GBG Filtered'!AD22</f>
        <v/>
      </c>
      <c r="AF28" s="104" t="str">
        <f>'GBG Filtered'!AE22</f>
        <v/>
      </c>
    </row>
    <row r="29" ht="24.0" customHeight="1">
      <c r="B29" s="101" t="str">
        <f>'GBG Filtered'!A23</f>
        <v/>
      </c>
      <c r="C29" s="102" t="str">
        <f>'GBG Filtered'!B23</f>
        <v/>
      </c>
      <c r="D29" s="102" t="str">
        <f>'GBG Filtered'!C23</f>
        <v/>
      </c>
      <c r="E29" s="102" t="str">
        <f>'GBG Filtered'!D23</f>
        <v/>
      </c>
      <c r="F29" s="63" t="str">
        <f>IF('GBG Filtered'!E23 &lt;&gt; "", VLOOKUP(IFERROR(VLOOKUP('GBG Filtered'!E23, FormFixes, 2, false), 'GBG Filtered'!E23), PokemonIcons, 2, False), "")</f>
        <v/>
      </c>
      <c r="G29" s="63" t="str">
        <f>IF('GBG Filtered'!F23 &lt;&gt; "", VLOOKUP(IFERROR(VLOOKUP('GBG Filtered'!F23, FormFixes, 2, false), 'GBG Filtered'!F23), PokemonIcons, 2, False), "")</f>
        <v/>
      </c>
      <c r="H29" s="63" t="str">
        <f>IF('GBG Filtered'!G23 &lt;&gt; "", VLOOKUP(IFERROR(VLOOKUP('GBG Filtered'!G23, FormFixes, 2, false), 'GBG Filtered'!G23), PokemonIcons, 2, False), "")</f>
        <v/>
      </c>
      <c r="I29" s="63" t="str">
        <f>IF('GBG Filtered'!H23 &lt;&gt; "", VLOOKUP(IFERROR(VLOOKUP('GBG Filtered'!H23, FormFixes, 2, false), 'GBG Filtered'!H23), PokemonIcons, 2, False), "")</f>
        <v/>
      </c>
      <c r="J29" s="63" t="str">
        <f>IF('GBG Filtered'!I23 &lt;&gt; "", VLOOKUP(IFERROR(VLOOKUP('GBG Filtered'!I23, FormFixes, 2, false), 'GBG Filtered'!I23), PokemonIcons, 2, False), "")</f>
        <v/>
      </c>
      <c r="K29" s="63" t="str">
        <f>IF('GBG Filtered'!J23 &lt;&gt; "", VLOOKUP(IFERROR(VLOOKUP('GBG Filtered'!J23, FormFixes, 2, false), 'GBG Filtered'!J23), PokemonIcons, 2, False), "")</f>
        <v/>
      </c>
      <c r="O29" s="63" t="str">
        <f>IF('GBG Filtered'!N23 &lt;&gt; "", VLOOKUP(IFERROR(VLOOKUP('GBG Filtered'!N23, FormFixes, 2, false), 'GBG Filtered'!N23), PokemonIcons, 2, False), "")</f>
        <v/>
      </c>
      <c r="P29" s="63" t="str">
        <f>IF('GBG Filtered'!O23 &lt;&gt; "", VLOOKUP(IFERROR(VLOOKUP('GBG Filtered'!O23, FormFixes, 2, false), 'GBG Filtered'!O23), PokemonIcons, 2, False), "")</f>
        <v/>
      </c>
      <c r="Q29" s="63" t="str">
        <f>IF('GBG Filtered'!P23 &lt;&gt; "", VLOOKUP(IFERROR(VLOOKUP('GBG Filtered'!P23, FormFixes, 2, false), 'GBG Filtered'!P23), PokemonIcons, 2, False), "")</f>
        <v/>
      </c>
      <c r="R29" s="63" t="str">
        <f>IF('GBG Filtered'!Q23 &lt;&gt; "", VLOOKUP(IFERROR(VLOOKUP('GBG Filtered'!Q23, FormFixes, 2, false), 'GBG Filtered'!Q23), PokemonIcons, 2, False), "")</f>
        <v/>
      </c>
      <c r="T29" s="63" t="str">
        <f>IF('GBG Filtered'!S23 &lt;&gt; "", VLOOKUP(IFERROR(VLOOKUP('GBG Filtered'!S23, FormFixes, 2, false), 'GBG Filtered'!S23), PokemonIcons, 2, False), "")</f>
        <v/>
      </c>
      <c r="U29" s="63" t="str">
        <f>IF('GBG Filtered'!T23 &lt;&gt; "", VLOOKUP(IFERROR(VLOOKUP('GBG Filtered'!T23, FormFixes, 2, false), 'GBG Filtered'!T23), PokemonIcons, 2, False), "")</f>
        <v/>
      </c>
      <c r="V29" s="63" t="str">
        <f>IF('GBG Filtered'!U23 &lt;&gt; "", VLOOKUP(IFERROR(VLOOKUP('GBG Filtered'!U23, FormFixes, 2, false), 'GBG Filtered'!U23), PokemonIcons, 2, False), "")</f>
        <v/>
      </c>
      <c r="W29" s="63" t="str">
        <f>IF('GBG Filtered'!V23 &lt;&gt; "", VLOOKUP(IFERROR(VLOOKUP('GBG Filtered'!V23, FormFixes, 2, false), 'GBG Filtered'!V23), PokemonIcons, 2, False), "")</f>
        <v/>
      </c>
      <c r="Z29" s="63" t="str">
        <f>IF('GBG Filtered'!Y23 &lt;&gt; "", VLOOKUP(IFERROR(VLOOKUP('GBG Filtered'!Y23, FormFixes, 2, false), 'GBG Filtered'!Y23), PokemonIcons, 2, False), "")</f>
        <v/>
      </c>
      <c r="AA29" s="63" t="str">
        <f>IF('GBG Filtered'!Z23 &lt;&gt; "", VLOOKUP('GBG Filtered'!Z23, TypeIcons, 2, False), "")</f>
        <v/>
      </c>
      <c r="AB29" s="63" t="str">
        <f>IF('GBG Filtered'!AA23 &lt;&gt; "", VLOOKUP(IFERROR(VLOOKUP('GBG Filtered'!AA23, FormFixes, 2, false), 'GBG Filtered'!AA23), PokemonIcons, 2, False), "")</f>
        <v/>
      </c>
      <c r="AC29" s="63" t="str">
        <f>IF('GBG Filtered'!AB23 &lt;&gt; "", VLOOKUP('GBG Filtered'!AB23, TypeIcons, 2, False), "")</f>
        <v/>
      </c>
      <c r="AD29" s="103" t="str">
        <f>'GBG Filtered'!AC23</f>
        <v/>
      </c>
      <c r="AE29" s="103" t="str">
        <f>'GBG Filtered'!AD23</f>
        <v/>
      </c>
      <c r="AF29" s="104" t="str">
        <f>'GBG Filtered'!AE23</f>
        <v/>
      </c>
    </row>
    <row r="30" ht="24.0" customHeight="1">
      <c r="B30" s="101" t="str">
        <f>'GBG Filtered'!A24</f>
        <v/>
      </c>
      <c r="C30" s="102" t="str">
        <f>'GBG Filtered'!B24</f>
        <v/>
      </c>
      <c r="D30" s="102" t="str">
        <f>'GBG Filtered'!C24</f>
        <v/>
      </c>
      <c r="E30" s="102" t="str">
        <f>'GBG Filtered'!D24</f>
        <v/>
      </c>
      <c r="F30" s="63" t="str">
        <f>IF('GBG Filtered'!E24 &lt;&gt; "", VLOOKUP(IFERROR(VLOOKUP('GBG Filtered'!E24, FormFixes, 2, false), 'GBG Filtered'!E24), PokemonIcons, 2, False), "")</f>
        <v/>
      </c>
      <c r="G30" s="63" t="str">
        <f>IF('GBG Filtered'!F24 &lt;&gt; "", VLOOKUP(IFERROR(VLOOKUP('GBG Filtered'!F24, FormFixes, 2, false), 'GBG Filtered'!F24), PokemonIcons, 2, False), "")</f>
        <v/>
      </c>
      <c r="H30" s="63" t="str">
        <f>IF('GBG Filtered'!G24 &lt;&gt; "", VLOOKUP(IFERROR(VLOOKUP('GBG Filtered'!G24, FormFixes, 2, false), 'GBG Filtered'!G24), PokemonIcons, 2, False), "")</f>
        <v/>
      </c>
      <c r="I30" s="63" t="str">
        <f>IF('GBG Filtered'!H24 &lt;&gt; "", VLOOKUP(IFERROR(VLOOKUP('GBG Filtered'!H24, FormFixes, 2, false), 'GBG Filtered'!H24), PokemonIcons, 2, False), "")</f>
        <v/>
      </c>
      <c r="J30" s="63" t="str">
        <f>IF('GBG Filtered'!I24 &lt;&gt; "", VLOOKUP(IFERROR(VLOOKUP('GBG Filtered'!I24, FormFixes, 2, false), 'GBG Filtered'!I24), PokemonIcons, 2, False), "")</f>
        <v/>
      </c>
      <c r="K30" s="63" t="str">
        <f>IF('GBG Filtered'!J24 &lt;&gt; "", VLOOKUP(IFERROR(VLOOKUP('GBG Filtered'!J24, FormFixes, 2, false), 'GBG Filtered'!J24), PokemonIcons, 2, False), "")</f>
        <v/>
      </c>
      <c r="O30" s="63" t="str">
        <f>IF('GBG Filtered'!N24 &lt;&gt; "", VLOOKUP(IFERROR(VLOOKUP('GBG Filtered'!N24, FormFixes, 2, false), 'GBG Filtered'!N24), PokemonIcons, 2, False), "")</f>
        <v/>
      </c>
      <c r="P30" s="63" t="str">
        <f>IF('GBG Filtered'!O24 &lt;&gt; "", VLOOKUP(IFERROR(VLOOKUP('GBG Filtered'!O24, FormFixes, 2, false), 'GBG Filtered'!O24), PokemonIcons, 2, False), "")</f>
        <v/>
      </c>
      <c r="Q30" s="63" t="str">
        <f>IF('GBG Filtered'!P24 &lt;&gt; "", VLOOKUP(IFERROR(VLOOKUP('GBG Filtered'!P24, FormFixes, 2, false), 'GBG Filtered'!P24), PokemonIcons, 2, False), "")</f>
        <v/>
      </c>
      <c r="R30" s="63" t="str">
        <f>IF('GBG Filtered'!Q24 &lt;&gt; "", VLOOKUP(IFERROR(VLOOKUP('GBG Filtered'!Q24, FormFixes, 2, false), 'GBG Filtered'!Q24), PokemonIcons, 2, False), "")</f>
        <v/>
      </c>
      <c r="T30" s="63" t="str">
        <f>IF('GBG Filtered'!S24 &lt;&gt; "", VLOOKUP(IFERROR(VLOOKUP('GBG Filtered'!S24, FormFixes, 2, false), 'GBG Filtered'!S24), PokemonIcons, 2, False), "")</f>
        <v/>
      </c>
      <c r="U30" s="63" t="str">
        <f>IF('GBG Filtered'!T24 &lt;&gt; "", VLOOKUP(IFERROR(VLOOKUP('GBG Filtered'!T24, FormFixes, 2, false), 'GBG Filtered'!T24), PokemonIcons, 2, False), "")</f>
        <v/>
      </c>
      <c r="V30" s="63" t="str">
        <f>IF('GBG Filtered'!U24 &lt;&gt; "", VLOOKUP(IFERROR(VLOOKUP('GBG Filtered'!U24, FormFixes, 2, false), 'GBG Filtered'!U24), PokemonIcons, 2, False), "")</f>
        <v/>
      </c>
      <c r="W30" s="63" t="str">
        <f>IF('GBG Filtered'!V24 &lt;&gt; "", VLOOKUP(IFERROR(VLOOKUP('GBG Filtered'!V24, FormFixes, 2, false), 'GBG Filtered'!V24), PokemonIcons, 2, False), "")</f>
        <v/>
      </c>
      <c r="Z30" s="63" t="str">
        <f>IF('GBG Filtered'!Y24 &lt;&gt; "", VLOOKUP(IFERROR(VLOOKUP('GBG Filtered'!Y24, FormFixes, 2, false), 'GBG Filtered'!Y24), PokemonIcons, 2, False), "")</f>
        <v/>
      </c>
      <c r="AA30" s="63" t="str">
        <f>IF('GBG Filtered'!Z24 &lt;&gt; "", VLOOKUP('GBG Filtered'!Z24, TypeIcons, 2, False), "")</f>
        <v/>
      </c>
      <c r="AB30" s="63" t="str">
        <f>IF('GBG Filtered'!AA24 &lt;&gt; "", VLOOKUP(IFERROR(VLOOKUP('GBG Filtered'!AA24, FormFixes, 2, false), 'GBG Filtered'!AA24), PokemonIcons, 2, False), "")</f>
        <v/>
      </c>
      <c r="AC30" s="63" t="str">
        <f>IF('GBG Filtered'!AB24 &lt;&gt; "", VLOOKUP('GBG Filtered'!AB24, TypeIcons, 2, False), "")</f>
        <v/>
      </c>
      <c r="AD30" s="103" t="str">
        <f>'GBG Filtered'!AC24</f>
        <v/>
      </c>
      <c r="AE30" s="103" t="str">
        <f>'GBG Filtered'!AD24</f>
        <v/>
      </c>
      <c r="AF30" s="104" t="str">
        <f>'GBG Filtered'!AE24</f>
        <v/>
      </c>
    </row>
    <row r="31" ht="24.0" customHeight="1">
      <c r="B31" s="101" t="str">
        <f>'GBG Filtered'!A25</f>
        <v/>
      </c>
      <c r="C31" s="102" t="str">
        <f>'GBG Filtered'!B25</f>
        <v/>
      </c>
      <c r="D31" s="102" t="str">
        <f>'GBG Filtered'!C25</f>
        <v/>
      </c>
      <c r="E31" s="102" t="str">
        <f>'GBG Filtered'!D25</f>
        <v/>
      </c>
      <c r="F31" s="63" t="str">
        <f>IF('GBG Filtered'!E25 &lt;&gt; "", VLOOKUP(IFERROR(VLOOKUP('GBG Filtered'!E25, FormFixes, 2, false), 'GBG Filtered'!E25), PokemonIcons, 2, False), "")</f>
        <v/>
      </c>
      <c r="G31" s="63" t="str">
        <f>IF('GBG Filtered'!F25 &lt;&gt; "", VLOOKUP(IFERROR(VLOOKUP('GBG Filtered'!F25, FormFixes, 2, false), 'GBG Filtered'!F25), PokemonIcons, 2, False), "")</f>
        <v/>
      </c>
      <c r="H31" s="63" t="str">
        <f>IF('GBG Filtered'!G25 &lt;&gt; "", VLOOKUP(IFERROR(VLOOKUP('GBG Filtered'!G25, FormFixes, 2, false), 'GBG Filtered'!G25), PokemonIcons, 2, False), "")</f>
        <v/>
      </c>
      <c r="I31" s="63" t="str">
        <f>IF('GBG Filtered'!H25 &lt;&gt; "", VLOOKUP(IFERROR(VLOOKUP('GBG Filtered'!H25, FormFixes, 2, false), 'GBG Filtered'!H25), PokemonIcons, 2, False), "")</f>
        <v/>
      </c>
      <c r="J31" s="63" t="str">
        <f>IF('GBG Filtered'!I25 &lt;&gt; "", VLOOKUP(IFERROR(VLOOKUP('GBG Filtered'!I25, FormFixes, 2, false), 'GBG Filtered'!I25), PokemonIcons, 2, False), "")</f>
        <v/>
      </c>
      <c r="K31" s="63" t="str">
        <f>IF('GBG Filtered'!J25 &lt;&gt; "", VLOOKUP(IFERROR(VLOOKUP('GBG Filtered'!J25, FormFixes, 2, false), 'GBG Filtered'!J25), PokemonIcons, 2, False), "")</f>
        <v/>
      </c>
      <c r="O31" s="63" t="str">
        <f>IF('GBG Filtered'!N25 &lt;&gt; "", VLOOKUP(IFERROR(VLOOKUP('GBG Filtered'!N25, FormFixes, 2, false), 'GBG Filtered'!N25), PokemonIcons, 2, False), "")</f>
        <v/>
      </c>
      <c r="P31" s="63" t="str">
        <f>IF('GBG Filtered'!O25 &lt;&gt; "", VLOOKUP(IFERROR(VLOOKUP('GBG Filtered'!O25, FormFixes, 2, false), 'GBG Filtered'!O25), PokemonIcons, 2, False), "")</f>
        <v/>
      </c>
      <c r="Q31" s="63" t="str">
        <f>IF('GBG Filtered'!P25 &lt;&gt; "", VLOOKUP(IFERROR(VLOOKUP('GBG Filtered'!P25, FormFixes, 2, false), 'GBG Filtered'!P25), PokemonIcons, 2, False), "")</f>
        <v/>
      </c>
      <c r="R31" s="63" t="str">
        <f>IF('GBG Filtered'!Q25 &lt;&gt; "", VLOOKUP(IFERROR(VLOOKUP('GBG Filtered'!Q25, FormFixes, 2, false), 'GBG Filtered'!Q25), PokemonIcons, 2, False), "")</f>
        <v/>
      </c>
      <c r="T31" s="63" t="str">
        <f>IF('GBG Filtered'!S25 &lt;&gt; "", VLOOKUP(IFERROR(VLOOKUP('GBG Filtered'!S25, FormFixes, 2, false), 'GBG Filtered'!S25), PokemonIcons, 2, False), "")</f>
        <v/>
      </c>
      <c r="U31" s="63" t="str">
        <f>IF('GBG Filtered'!T25 &lt;&gt; "", VLOOKUP(IFERROR(VLOOKUP('GBG Filtered'!T25, FormFixes, 2, false), 'GBG Filtered'!T25), PokemonIcons, 2, False), "")</f>
        <v/>
      </c>
      <c r="V31" s="63" t="str">
        <f>IF('GBG Filtered'!U25 &lt;&gt; "", VLOOKUP(IFERROR(VLOOKUP('GBG Filtered'!U25, FormFixes, 2, false), 'GBG Filtered'!U25), PokemonIcons, 2, False), "")</f>
        <v/>
      </c>
      <c r="W31" s="63" t="str">
        <f>IF('GBG Filtered'!V25 &lt;&gt; "", VLOOKUP(IFERROR(VLOOKUP('GBG Filtered'!V25, FormFixes, 2, false), 'GBG Filtered'!V25), PokemonIcons, 2, False), "")</f>
        <v/>
      </c>
      <c r="Z31" s="63" t="str">
        <f>IF('GBG Filtered'!Y25 &lt;&gt; "", VLOOKUP(IFERROR(VLOOKUP('GBG Filtered'!Y25, FormFixes, 2, false), 'GBG Filtered'!Y25), PokemonIcons, 2, False), "")</f>
        <v/>
      </c>
      <c r="AA31" s="63" t="str">
        <f>IF('GBG Filtered'!Z25 &lt;&gt; "", VLOOKUP('GBG Filtered'!Z25, TypeIcons, 2, False), "")</f>
        <v/>
      </c>
      <c r="AB31" s="63" t="str">
        <f>IF('GBG Filtered'!AA25 &lt;&gt; "", VLOOKUP(IFERROR(VLOOKUP('GBG Filtered'!AA25, FormFixes, 2, false), 'GBG Filtered'!AA25), PokemonIcons, 2, False), "")</f>
        <v/>
      </c>
      <c r="AC31" s="63" t="str">
        <f>IF('GBG Filtered'!AB25 &lt;&gt; "", VLOOKUP('GBG Filtered'!AB25, TypeIcons, 2, False), "")</f>
        <v/>
      </c>
      <c r="AD31" s="103" t="str">
        <f>'GBG Filtered'!AC25</f>
        <v/>
      </c>
      <c r="AE31" s="103" t="str">
        <f>'GBG Filtered'!AD25</f>
        <v/>
      </c>
      <c r="AF31" s="104" t="str">
        <f>'GBG Filtered'!AE25</f>
        <v/>
      </c>
    </row>
    <row r="32" ht="24.0" customHeight="1">
      <c r="B32" s="101" t="str">
        <f>'GBG Filtered'!A26</f>
        <v/>
      </c>
      <c r="C32" s="102" t="str">
        <f>'GBG Filtered'!B26</f>
        <v/>
      </c>
      <c r="D32" s="102" t="str">
        <f>'GBG Filtered'!C26</f>
        <v/>
      </c>
      <c r="E32" s="102" t="str">
        <f>'GBG Filtered'!D26</f>
        <v/>
      </c>
      <c r="F32" s="63" t="str">
        <f>IF('GBG Filtered'!E26 &lt;&gt; "", VLOOKUP(IFERROR(VLOOKUP('GBG Filtered'!E26, FormFixes, 2, false), 'GBG Filtered'!E26), PokemonIcons, 2, False), "")</f>
        <v/>
      </c>
      <c r="G32" s="63" t="str">
        <f>IF('GBG Filtered'!F26 &lt;&gt; "", VLOOKUP(IFERROR(VLOOKUP('GBG Filtered'!F26, FormFixes, 2, false), 'GBG Filtered'!F26), PokemonIcons, 2, False), "")</f>
        <v/>
      </c>
      <c r="H32" s="63" t="str">
        <f>IF('GBG Filtered'!G26 &lt;&gt; "", VLOOKUP(IFERROR(VLOOKUP('GBG Filtered'!G26, FormFixes, 2, false), 'GBG Filtered'!G26), PokemonIcons, 2, False), "")</f>
        <v/>
      </c>
      <c r="I32" s="63" t="str">
        <f>IF('GBG Filtered'!H26 &lt;&gt; "", VLOOKUP(IFERROR(VLOOKUP('GBG Filtered'!H26, FormFixes, 2, false), 'GBG Filtered'!H26), PokemonIcons, 2, False), "")</f>
        <v/>
      </c>
      <c r="J32" s="63" t="str">
        <f>IF('GBG Filtered'!I26 &lt;&gt; "", VLOOKUP(IFERROR(VLOOKUP('GBG Filtered'!I26, FormFixes, 2, false), 'GBG Filtered'!I26), PokemonIcons, 2, False), "")</f>
        <v/>
      </c>
      <c r="K32" s="63" t="str">
        <f>IF('GBG Filtered'!J26 &lt;&gt; "", VLOOKUP(IFERROR(VLOOKUP('GBG Filtered'!J26, FormFixes, 2, false), 'GBG Filtered'!J26), PokemonIcons, 2, False), "")</f>
        <v/>
      </c>
      <c r="O32" s="63" t="str">
        <f>IF('GBG Filtered'!N26 &lt;&gt; "", VLOOKUP(IFERROR(VLOOKUP('GBG Filtered'!N26, FormFixes, 2, false), 'GBG Filtered'!N26), PokemonIcons, 2, False), "")</f>
        <v/>
      </c>
      <c r="P32" s="63" t="str">
        <f>IF('GBG Filtered'!O26 &lt;&gt; "", VLOOKUP(IFERROR(VLOOKUP('GBG Filtered'!O26, FormFixes, 2, false), 'GBG Filtered'!O26), PokemonIcons, 2, False), "")</f>
        <v/>
      </c>
      <c r="Q32" s="63" t="str">
        <f>IF('GBG Filtered'!P26 &lt;&gt; "", VLOOKUP(IFERROR(VLOOKUP('GBG Filtered'!P26, FormFixes, 2, false), 'GBG Filtered'!P26), PokemonIcons, 2, False), "")</f>
        <v/>
      </c>
      <c r="R32" s="63" t="str">
        <f>IF('GBG Filtered'!Q26 &lt;&gt; "", VLOOKUP(IFERROR(VLOOKUP('GBG Filtered'!Q26, FormFixes, 2, false), 'GBG Filtered'!Q26), PokemonIcons, 2, False), "")</f>
        <v/>
      </c>
      <c r="T32" s="63" t="str">
        <f>IF('GBG Filtered'!S26 &lt;&gt; "", VLOOKUP(IFERROR(VLOOKUP('GBG Filtered'!S26, FormFixes, 2, false), 'GBG Filtered'!S26), PokemonIcons, 2, False), "")</f>
        <v/>
      </c>
      <c r="U32" s="63" t="str">
        <f>IF('GBG Filtered'!T26 &lt;&gt; "", VLOOKUP(IFERROR(VLOOKUP('GBG Filtered'!T26, FormFixes, 2, false), 'GBG Filtered'!T26), PokemonIcons, 2, False), "")</f>
        <v/>
      </c>
      <c r="V32" s="63" t="str">
        <f>IF('GBG Filtered'!U26 &lt;&gt; "", VLOOKUP(IFERROR(VLOOKUP('GBG Filtered'!U26, FormFixes, 2, false), 'GBG Filtered'!U26), PokemonIcons, 2, False), "")</f>
        <v/>
      </c>
      <c r="W32" s="63" t="str">
        <f>IF('GBG Filtered'!V26 &lt;&gt; "", VLOOKUP(IFERROR(VLOOKUP('GBG Filtered'!V26, FormFixes, 2, false), 'GBG Filtered'!V26), PokemonIcons, 2, False), "")</f>
        <v/>
      </c>
      <c r="Z32" s="63" t="str">
        <f>IF('GBG Filtered'!Y26 &lt;&gt; "", VLOOKUP(IFERROR(VLOOKUP('GBG Filtered'!Y26, FormFixes, 2, false), 'GBG Filtered'!Y26), PokemonIcons, 2, False), "")</f>
        <v/>
      </c>
      <c r="AA32" s="63" t="str">
        <f>IF('GBG Filtered'!Z26 &lt;&gt; "", VLOOKUP('GBG Filtered'!Z26, TypeIcons, 2, False), "")</f>
        <v/>
      </c>
      <c r="AB32" s="63" t="str">
        <f>IF('GBG Filtered'!AA26 &lt;&gt; "", VLOOKUP(IFERROR(VLOOKUP('GBG Filtered'!AA26, FormFixes, 2, false), 'GBG Filtered'!AA26), PokemonIcons, 2, False), "")</f>
        <v/>
      </c>
      <c r="AC32" s="63" t="str">
        <f>IF('GBG Filtered'!AB26 &lt;&gt; "", VLOOKUP('GBG Filtered'!AB26, TypeIcons, 2, False), "")</f>
        <v/>
      </c>
      <c r="AD32" s="103" t="str">
        <f>'GBG Filtered'!AC26</f>
        <v/>
      </c>
      <c r="AE32" s="103" t="str">
        <f>'GBG Filtered'!AD26</f>
        <v/>
      </c>
      <c r="AF32" s="104" t="str">
        <f>'GBG Filtered'!AE26</f>
        <v/>
      </c>
    </row>
    <row r="33" ht="24.0" customHeight="1">
      <c r="B33" s="101" t="str">
        <f>'GBG Filtered'!A27</f>
        <v/>
      </c>
      <c r="C33" s="102" t="str">
        <f>'GBG Filtered'!B27</f>
        <v/>
      </c>
      <c r="D33" s="102" t="str">
        <f>'GBG Filtered'!C27</f>
        <v/>
      </c>
      <c r="E33" s="102" t="str">
        <f>'GBG Filtered'!D27</f>
        <v/>
      </c>
      <c r="F33" s="63" t="str">
        <f>IF('GBG Filtered'!E27 &lt;&gt; "", VLOOKUP(IFERROR(VLOOKUP('GBG Filtered'!E27, FormFixes, 2, false), 'GBG Filtered'!E27), PokemonIcons, 2, False), "")</f>
        <v/>
      </c>
      <c r="G33" s="63" t="str">
        <f>IF('GBG Filtered'!F27 &lt;&gt; "", VLOOKUP(IFERROR(VLOOKUP('GBG Filtered'!F27, FormFixes, 2, false), 'GBG Filtered'!F27), PokemonIcons, 2, False), "")</f>
        <v/>
      </c>
      <c r="H33" s="63" t="str">
        <f>IF('GBG Filtered'!G27 &lt;&gt; "", VLOOKUP(IFERROR(VLOOKUP('GBG Filtered'!G27, FormFixes, 2, false), 'GBG Filtered'!G27), PokemonIcons, 2, False), "")</f>
        <v/>
      </c>
      <c r="I33" s="63" t="str">
        <f>IF('GBG Filtered'!H27 &lt;&gt; "", VLOOKUP(IFERROR(VLOOKUP('GBG Filtered'!H27, FormFixes, 2, false), 'GBG Filtered'!H27), PokemonIcons, 2, False), "")</f>
        <v/>
      </c>
      <c r="J33" s="63" t="str">
        <f>IF('GBG Filtered'!I27 &lt;&gt; "", VLOOKUP(IFERROR(VLOOKUP('GBG Filtered'!I27, FormFixes, 2, false), 'GBG Filtered'!I27), PokemonIcons, 2, False), "")</f>
        <v/>
      </c>
      <c r="K33" s="63" t="str">
        <f>IF('GBG Filtered'!J27 &lt;&gt; "", VLOOKUP(IFERROR(VLOOKUP('GBG Filtered'!J27, FormFixes, 2, false), 'GBG Filtered'!J27), PokemonIcons, 2, False), "")</f>
        <v/>
      </c>
      <c r="O33" s="63" t="str">
        <f>IF('GBG Filtered'!N27 &lt;&gt; "", VLOOKUP(IFERROR(VLOOKUP('GBG Filtered'!N27, FormFixes, 2, false), 'GBG Filtered'!N27), PokemonIcons, 2, False), "")</f>
        <v/>
      </c>
      <c r="P33" s="63" t="str">
        <f>IF('GBG Filtered'!O27 &lt;&gt; "", VLOOKUP(IFERROR(VLOOKUP('GBG Filtered'!O27, FormFixes, 2, false), 'GBG Filtered'!O27), PokemonIcons, 2, False), "")</f>
        <v/>
      </c>
      <c r="Q33" s="63" t="str">
        <f>IF('GBG Filtered'!P27 &lt;&gt; "", VLOOKUP(IFERROR(VLOOKUP('GBG Filtered'!P27, FormFixes, 2, false), 'GBG Filtered'!P27), PokemonIcons, 2, False), "")</f>
        <v/>
      </c>
      <c r="R33" s="63" t="str">
        <f>IF('GBG Filtered'!Q27 &lt;&gt; "", VLOOKUP(IFERROR(VLOOKUP('GBG Filtered'!Q27, FormFixes, 2, false), 'GBG Filtered'!Q27), PokemonIcons, 2, False), "")</f>
        <v/>
      </c>
      <c r="T33" s="63" t="str">
        <f>IF('GBG Filtered'!S27 &lt;&gt; "", VLOOKUP(IFERROR(VLOOKUP('GBG Filtered'!S27, FormFixes, 2, false), 'GBG Filtered'!S27), PokemonIcons, 2, False), "")</f>
        <v/>
      </c>
      <c r="U33" s="63" t="str">
        <f>IF('GBG Filtered'!T27 &lt;&gt; "", VLOOKUP(IFERROR(VLOOKUP('GBG Filtered'!T27, FormFixes, 2, false), 'GBG Filtered'!T27), PokemonIcons, 2, False), "")</f>
        <v/>
      </c>
      <c r="V33" s="63" t="str">
        <f>IF('GBG Filtered'!U27 &lt;&gt; "", VLOOKUP(IFERROR(VLOOKUP('GBG Filtered'!U27, FormFixes, 2, false), 'GBG Filtered'!U27), PokemonIcons, 2, False), "")</f>
        <v/>
      </c>
      <c r="W33" s="63" t="str">
        <f>IF('GBG Filtered'!V27 &lt;&gt; "", VLOOKUP(IFERROR(VLOOKUP('GBG Filtered'!V27, FormFixes, 2, false), 'GBG Filtered'!V27), PokemonIcons, 2, False), "")</f>
        <v/>
      </c>
      <c r="Z33" s="63" t="str">
        <f>IF('GBG Filtered'!Y27 &lt;&gt; "", VLOOKUP(IFERROR(VLOOKUP('GBG Filtered'!Y27, FormFixes, 2, false), 'GBG Filtered'!Y27), PokemonIcons, 2, False), "")</f>
        <v/>
      </c>
      <c r="AA33" s="63" t="str">
        <f>IF('GBG Filtered'!Z27 &lt;&gt; "", VLOOKUP('GBG Filtered'!Z27, TypeIcons, 2, False), "")</f>
        <v/>
      </c>
      <c r="AB33" s="63" t="str">
        <f>IF('GBG Filtered'!AA27 &lt;&gt; "", VLOOKUP(IFERROR(VLOOKUP('GBG Filtered'!AA27, FormFixes, 2, false), 'GBG Filtered'!AA27), PokemonIcons, 2, False), "")</f>
        <v/>
      </c>
      <c r="AC33" s="63" t="str">
        <f>IF('GBG Filtered'!AB27 &lt;&gt; "", VLOOKUP('GBG Filtered'!AB27, TypeIcons, 2, False), "")</f>
        <v/>
      </c>
      <c r="AD33" s="103" t="str">
        <f>'GBG Filtered'!AC27</f>
        <v/>
      </c>
      <c r="AE33" s="103" t="str">
        <f>'GBG Filtered'!AD27</f>
        <v/>
      </c>
      <c r="AF33" s="104" t="str">
        <f>'GBG Filtered'!AE27</f>
        <v/>
      </c>
    </row>
    <row r="34" ht="24.0" customHeight="1">
      <c r="B34" s="101" t="str">
        <f>'GBG Filtered'!A28</f>
        <v/>
      </c>
      <c r="C34" s="102" t="str">
        <f>'GBG Filtered'!B28</f>
        <v/>
      </c>
      <c r="D34" s="102" t="str">
        <f>'GBG Filtered'!C28</f>
        <v/>
      </c>
      <c r="E34" s="102" t="str">
        <f>'GBG Filtered'!D28</f>
        <v/>
      </c>
      <c r="F34" s="63" t="str">
        <f>IF('GBG Filtered'!E28 &lt;&gt; "", VLOOKUP(IFERROR(VLOOKUP('GBG Filtered'!E28, FormFixes, 2, false), 'GBG Filtered'!E28), PokemonIcons, 2, False), "")</f>
        <v/>
      </c>
      <c r="G34" s="63" t="str">
        <f>IF('GBG Filtered'!F28 &lt;&gt; "", VLOOKUP(IFERROR(VLOOKUP('GBG Filtered'!F28, FormFixes, 2, false), 'GBG Filtered'!F28), PokemonIcons, 2, False), "")</f>
        <v/>
      </c>
      <c r="H34" s="63" t="str">
        <f>IF('GBG Filtered'!G28 &lt;&gt; "", VLOOKUP(IFERROR(VLOOKUP('GBG Filtered'!G28, FormFixes, 2, false), 'GBG Filtered'!G28), PokemonIcons, 2, False), "")</f>
        <v/>
      </c>
      <c r="I34" s="63" t="str">
        <f>IF('GBG Filtered'!H28 &lt;&gt; "", VLOOKUP(IFERROR(VLOOKUP('GBG Filtered'!H28, FormFixes, 2, false), 'GBG Filtered'!H28), PokemonIcons, 2, False), "")</f>
        <v/>
      </c>
      <c r="J34" s="63" t="str">
        <f>IF('GBG Filtered'!I28 &lt;&gt; "", VLOOKUP(IFERROR(VLOOKUP('GBG Filtered'!I28, FormFixes, 2, false), 'GBG Filtered'!I28), PokemonIcons, 2, False), "")</f>
        <v/>
      </c>
      <c r="K34" s="63" t="str">
        <f>IF('GBG Filtered'!J28 &lt;&gt; "", VLOOKUP(IFERROR(VLOOKUP('GBG Filtered'!J28, FormFixes, 2, false), 'GBG Filtered'!J28), PokemonIcons, 2, False), "")</f>
        <v/>
      </c>
      <c r="O34" s="63" t="str">
        <f>IF('GBG Filtered'!N28 &lt;&gt; "", VLOOKUP(IFERROR(VLOOKUP('GBG Filtered'!N28, FormFixes, 2, false), 'GBG Filtered'!N28), PokemonIcons, 2, False), "")</f>
        <v/>
      </c>
      <c r="P34" s="63" t="str">
        <f>IF('GBG Filtered'!O28 &lt;&gt; "", VLOOKUP(IFERROR(VLOOKUP('GBG Filtered'!O28, FormFixes, 2, false), 'GBG Filtered'!O28), PokemonIcons, 2, False), "")</f>
        <v/>
      </c>
      <c r="Q34" s="63" t="str">
        <f>IF('GBG Filtered'!P28 &lt;&gt; "", VLOOKUP(IFERROR(VLOOKUP('GBG Filtered'!P28, FormFixes, 2, false), 'GBG Filtered'!P28), PokemonIcons, 2, False), "")</f>
        <v/>
      </c>
      <c r="R34" s="63" t="str">
        <f>IF('GBG Filtered'!Q28 &lt;&gt; "", VLOOKUP(IFERROR(VLOOKUP('GBG Filtered'!Q28, FormFixes, 2, false), 'GBG Filtered'!Q28), PokemonIcons, 2, False), "")</f>
        <v/>
      </c>
      <c r="T34" s="63" t="str">
        <f>IF('GBG Filtered'!S28 &lt;&gt; "", VLOOKUP(IFERROR(VLOOKUP('GBG Filtered'!S28, FormFixes, 2, false), 'GBG Filtered'!S28), PokemonIcons, 2, False), "")</f>
        <v/>
      </c>
      <c r="U34" s="63" t="str">
        <f>IF('GBG Filtered'!T28 &lt;&gt; "", VLOOKUP(IFERROR(VLOOKUP('GBG Filtered'!T28, FormFixes, 2, false), 'GBG Filtered'!T28), PokemonIcons, 2, False), "")</f>
        <v/>
      </c>
      <c r="V34" s="63" t="str">
        <f>IF('GBG Filtered'!U28 &lt;&gt; "", VLOOKUP(IFERROR(VLOOKUP('GBG Filtered'!U28, FormFixes, 2, false), 'GBG Filtered'!U28), PokemonIcons, 2, False), "")</f>
        <v/>
      </c>
      <c r="W34" s="63" t="str">
        <f>IF('GBG Filtered'!V28 &lt;&gt; "", VLOOKUP(IFERROR(VLOOKUP('GBG Filtered'!V28, FormFixes, 2, false), 'GBG Filtered'!V28), PokemonIcons, 2, False), "")</f>
        <v/>
      </c>
      <c r="Z34" s="63" t="str">
        <f>IF('GBG Filtered'!Y28 &lt;&gt; "", VLOOKUP(IFERROR(VLOOKUP('GBG Filtered'!Y28, FormFixes, 2, false), 'GBG Filtered'!Y28), PokemonIcons, 2, False), "")</f>
        <v/>
      </c>
      <c r="AA34" s="63" t="str">
        <f>IF('GBG Filtered'!Z28 &lt;&gt; "", VLOOKUP('GBG Filtered'!Z28, TypeIcons, 2, False), "")</f>
        <v/>
      </c>
      <c r="AB34" s="63" t="str">
        <f>IF('GBG Filtered'!AA28 &lt;&gt; "", VLOOKUP(IFERROR(VLOOKUP('GBG Filtered'!AA28, FormFixes, 2, false), 'GBG Filtered'!AA28), PokemonIcons, 2, False), "")</f>
        <v/>
      </c>
      <c r="AC34" s="63" t="str">
        <f>IF('GBG Filtered'!AB28 &lt;&gt; "", VLOOKUP('GBG Filtered'!AB28, TypeIcons, 2, False), "")</f>
        <v/>
      </c>
      <c r="AD34" s="103" t="str">
        <f>'GBG Filtered'!AC28</f>
        <v/>
      </c>
      <c r="AE34" s="103" t="str">
        <f>'GBG Filtered'!AD28</f>
        <v/>
      </c>
      <c r="AF34" s="104" t="str">
        <f>'GBG Filtered'!AE28</f>
        <v/>
      </c>
    </row>
    <row r="35" ht="24.0" customHeight="1">
      <c r="B35" s="101" t="str">
        <f>'GBG Filtered'!A29</f>
        <v/>
      </c>
      <c r="C35" s="102" t="str">
        <f>'GBG Filtered'!B29</f>
        <v/>
      </c>
      <c r="D35" s="102" t="str">
        <f>'GBG Filtered'!C29</f>
        <v/>
      </c>
      <c r="E35" s="102" t="str">
        <f>'GBG Filtered'!D29</f>
        <v/>
      </c>
      <c r="F35" s="63" t="str">
        <f>IF('GBG Filtered'!E29 &lt;&gt; "", VLOOKUP(IFERROR(VLOOKUP('GBG Filtered'!E29, FormFixes, 2, false), 'GBG Filtered'!E29), PokemonIcons, 2, False), "")</f>
        <v/>
      </c>
      <c r="G35" s="63" t="str">
        <f>IF('GBG Filtered'!F29 &lt;&gt; "", VLOOKUP(IFERROR(VLOOKUP('GBG Filtered'!F29, FormFixes, 2, false), 'GBG Filtered'!F29), PokemonIcons, 2, False), "")</f>
        <v/>
      </c>
      <c r="H35" s="63" t="str">
        <f>IF('GBG Filtered'!G29 &lt;&gt; "", VLOOKUP(IFERROR(VLOOKUP('GBG Filtered'!G29, FormFixes, 2, false), 'GBG Filtered'!G29), PokemonIcons, 2, False), "")</f>
        <v/>
      </c>
      <c r="I35" s="63" t="str">
        <f>IF('GBG Filtered'!H29 &lt;&gt; "", VLOOKUP(IFERROR(VLOOKUP('GBG Filtered'!H29, FormFixes, 2, false), 'GBG Filtered'!H29), PokemonIcons, 2, False), "")</f>
        <v/>
      </c>
      <c r="J35" s="63" t="str">
        <f>IF('GBG Filtered'!I29 &lt;&gt; "", VLOOKUP(IFERROR(VLOOKUP('GBG Filtered'!I29, FormFixes, 2, false), 'GBG Filtered'!I29), PokemonIcons, 2, False), "")</f>
        <v/>
      </c>
      <c r="K35" s="63" t="str">
        <f>IF('GBG Filtered'!J29 &lt;&gt; "", VLOOKUP(IFERROR(VLOOKUP('GBG Filtered'!J29, FormFixes, 2, false), 'GBG Filtered'!J29), PokemonIcons, 2, False), "")</f>
        <v/>
      </c>
      <c r="O35" s="63" t="str">
        <f>IF('GBG Filtered'!N29 &lt;&gt; "", VLOOKUP(IFERROR(VLOOKUP('GBG Filtered'!N29, FormFixes, 2, false), 'GBG Filtered'!N29), PokemonIcons, 2, False), "")</f>
        <v/>
      </c>
      <c r="P35" s="63" t="str">
        <f>IF('GBG Filtered'!O29 &lt;&gt; "", VLOOKUP(IFERROR(VLOOKUP('GBG Filtered'!O29, FormFixes, 2, false), 'GBG Filtered'!O29), PokemonIcons, 2, False), "")</f>
        <v/>
      </c>
      <c r="Q35" s="63" t="str">
        <f>IF('GBG Filtered'!P29 &lt;&gt; "", VLOOKUP(IFERROR(VLOOKUP('GBG Filtered'!P29, FormFixes, 2, false), 'GBG Filtered'!P29), PokemonIcons, 2, False), "")</f>
        <v/>
      </c>
      <c r="R35" s="63" t="str">
        <f>IF('GBG Filtered'!Q29 &lt;&gt; "", VLOOKUP(IFERROR(VLOOKUP('GBG Filtered'!Q29, FormFixes, 2, false), 'GBG Filtered'!Q29), PokemonIcons, 2, False), "")</f>
        <v/>
      </c>
      <c r="T35" s="63" t="str">
        <f>IF('GBG Filtered'!S29 &lt;&gt; "", VLOOKUP(IFERROR(VLOOKUP('GBG Filtered'!S29, FormFixes, 2, false), 'GBG Filtered'!S29), PokemonIcons, 2, False), "")</f>
        <v/>
      </c>
      <c r="U35" s="63" t="str">
        <f>IF('GBG Filtered'!T29 &lt;&gt; "", VLOOKUP(IFERROR(VLOOKUP('GBG Filtered'!T29, FormFixes, 2, false), 'GBG Filtered'!T29), PokemonIcons, 2, False), "")</f>
        <v/>
      </c>
      <c r="V35" s="63" t="str">
        <f>IF('GBG Filtered'!U29 &lt;&gt; "", VLOOKUP(IFERROR(VLOOKUP('GBG Filtered'!U29, FormFixes, 2, false), 'GBG Filtered'!U29), PokemonIcons, 2, False), "")</f>
        <v/>
      </c>
      <c r="W35" s="63" t="str">
        <f>IF('GBG Filtered'!V29 &lt;&gt; "", VLOOKUP(IFERROR(VLOOKUP('GBG Filtered'!V29, FormFixes, 2, false), 'GBG Filtered'!V29), PokemonIcons, 2, False), "")</f>
        <v/>
      </c>
      <c r="Z35" s="63" t="str">
        <f>IF('GBG Filtered'!Y29 &lt;&gt; "", VLOOKUP(IFERROR(VLOOKUP('GBG Filtered'!Y29, FormFixes, 2, false), 'GBG Filtered'!Y29), PokemonIcons, 2, False), "")</f>
        <v/>
      </c>
      <c r="AA35" s="63" t="str">
        <f>IF('GBG Filtered'!Z29 &lt;&gt; "", VLOOKUP('GBG Filtered'!Z29, TypeIcons, 2, False), "")</f>
        <v/>
      </c>
      <c r="AB35" s="63" t="str">
        <f>IF('GBG Filtered'!AA29 &lt;&gt; "", VLOOKUP(IFERROR(VLOOKUP('GBG Filtered'!AA29, FormFixes, 2, false), 'GBG Filtered'!AA29), PokemonIcons, 2, False), "")</f>
        <v/>
      </c>
      <c r="AC35" s="63" t="str">
        <f>IF('GBG Filtered'!AB29 &lt;&gt; "", VLOOKUP('GBG Filtered'!AB29, TypeIcons, 2, False), "")</f>
        <v/>
      </c>
      <c r="AD35" s="103" t="str">
        <f>'GBG Filtered'!AC29</f>
        <v/>
      </c>
      <c r="AE35" s="103" t="str">
        <f>'GBG Filtered'!AD29</f>
        <v/>
      </c>
      <c r="AF35" s="104" t="str">
        <f>'GBG Filtered'!AE29</f>
        <v/>
      </c>
    </row>
    <row r="36" ht="24.0" customHeight="1">
      <c r="B36" s="101" t="str">
        <f>'GBG Filtered'!A30</f>
        <v/>
      </c>
      <c r="C36" s="102" t="str">
        <f>'GBG Filtered'!B30</f>
        <v/>
      </c>
      <c r="D36" s="102" t="str">
        <f>'GBG Filtered'!C30</f>
        <v/>
      </c>
      <c r="E36" s="102" t="str">
        <f>'GBG Filtered'!D30</f>
        <v/>
      </c>
      <c r="F36" s="63" t="str">
        <f>IF('GBG Filtered'!E30 &lt;&gt; "", VLOOKUP(IFERROR(VLOOKUP('GBG Filtered'!E30, FormFixes, 2, false), 'GBG Filtered'!E30), PokemonIcons, 2, False), "")</f>
        <v/>
      </c>
      <c r="G36" s="63" t="str">
        <f>IF('GBG Filtered'!F30 &lt;&gt; "", VLOOKUP(IFERROR(VLOOKUP('GBG Filtered'!F30, FormFixes, 2, false), 'GBG Filtered'!F30), PokemonIcons, 2, False), "")</f>
        <v/>
      </c>
      <c r="H36" s="63" t="str">
        <f>IF('GBG Filtered'!G30 &lt;&gt; "", VLOOKUP(IFERROR(VLOOKUP('GBG Filtered'!G30, FormFixes, 2, false), 'GBG Filtered'!G30), PokemonIcons, 2, False), "")</f>
        <v/>
      </c>
      <c r="I36" s="63" t="str">
        <f>IF('GBG Filtered'!H30 &lt;&gt; "", VLOOKUP(IFERROR(VLOOKUP('GBG Filtered'!H30, FormFixes, 2, false), 'GBG Filtered'!H30), PokemonIcons, 2, False), "")</f>
        <v/>
      </c>
      <c r="J36" s="63" t="str">
        <f>IF('GBG Filtered'!I30 &lt;&gt; "", VLOOKUP(IFERROR(VLOOKUP('GBG Filtered'!I30, FormFixes, 2, false), 'GBG Filtered'!I30), PokemonIcons, 2, False), "")</f>
        <v/>
      </c>
      <c r="K36" s="63" t="str">
        <f>IF('GBG Filtered'!J30 &lt;&gt; "", VLOOKUP(IFERROR(VLOOKUP('GBG Filtered'!J30, FormFixes, 2, false), 'GBG Filtered'!J30), PokemonIcons, 2, False), "")</f>
        <v/>
      </c>
      <c r="O36" s="63" t="str">
        <f>IF('GBG Filtered'!N30 &lt;&gt; "", VLOOKUP(IFERROR(VLOOKUP('GBG Filtered'!N30, FormFixes, 2, false), 'GBG Filtered'!N30), PokemonIcons, 2, False), "")</f>
        <v/>
      </c>
      <c r="P36" s="63" t="str">
        <f>IF('GBG Filtered'!O30 &lt;&gt; "", VLOOKUP(IFERROR(VLOOKUP('GBG Filtered'!O30, FormFixes, 2, false), 'GBG Filtered'!O30), PokemonIcons, 2, False), "")</f>
        <v/>
      </c>
      <c r="Q36" s="63" t="str">
        <f>IF('GBG Filtered'!P30 &lt;&gt; "", VLOOKUP(IFERROR(VLOOKUP('GBG Filtered'!P30, FormFixes, 2, false), 'GBG Filtered'!P30), PokemonIcons, 2, False), "")</f>
        <v/>
      </c>
      <c r="R36" s="63" t="str">
        <f>IF('GBG Filtered'!Q30 &lt;&gt; "", VLOOKUP(IFERROR(VLOOKUP('GBG Filtered'!Q30, FormFixes, 2, false), 'GBG Filtered'!Q30), PokemonIcons, 2, False), "")</f>
        <v/>
      </c>
      <c r="T36" s="63" t="str">
        <f>IF('GBG Filtered'!S30 &lt;&gt; "", VLOOKUP(IFERROR(VLOOKUP('GBG Filtered'!S30, FormFixes, 2, false), 'GBG Filtered'!S30), PokemonIcons, 2, False), "")</f>
        <v/>
      </c>
      <c r="U36" s="63" t="str">
        <f>IF('GBG Filtered'!T30 &lt;&gt; "", VLOOKUP(IFERROR(VLOOKUP('GBG Filtered'!T30, FormFixes, 2, false), 'GBG Filtered'!T30), PokemonIcons, 2, False), "")</f>
        <v/>
      </c>
      <c r="V36" s="63" t="str">
        <f>IF('GBG Filtered'!U30 &lt;&gt; "", VLOOKUP(IFERROR(VLOOKUP('GBG Filtered'!U30, FormFixes, 2, false), 'GBG Filtered'!U30), PokemonIcons, 2, False), "")</f>
        <v/>
      </c>
      <c r="W36" s="63" t="str">
        <f>IF('GBG Filtered'!V30 &lt;&gt; "", VLOOKUP(IFERROR(VLOOKUP('GBG Filtered'!V30, FormFixes, 2, false), 'GBG Filtered'!V30), PokemonIcons, 2, False), "")</f>
        <v/>
      </c>
      <c r="Z36" s="63" t="str">
        <f>IF('GBG Filtered'!Y30 &lt;&gt; "", VLOOKUP(IFERROR(VLOOKUP('GBG Filtered'!Y30, FormFixes, 2, false), 'GBG Filtered'!Y30), PokemonIcons, 2, False), "")</f>
        <v/>
      </c>
      <c r="AA36" s="63" t="str">
        <f>IF('GBG Filtered'!Z30 &lt;&gt; "", VLOOKUP('GBG Filtered'!Z30, TypeIcons, 2, False), "")</f>
        <v/>
      </c>
      <c r="AB36" s="63" t="str">
        <f>IF('GBG Filtered'!AA30 &lt;&gt; "", VLOOKUP(IFERROR(VLOOKUP('GBG Filtered'!AA30, FormFixes, 2, false), 'GBG Filtered'!AA30), PokemonIcons, 2, False), "")</f>
        <v/>
      </c>
      <c r="AC36" s="63" t="str">
        <f>IF('GBG Filtered'!AB30 &lt;&gt; "", VLOOKUP('GBG Filtered'!AB30, TypeIcons, 2, False), "")</f>
        <v/>
      </c>
      <c r="AD36" s="103" t="str">
        <f>'GBG Filtered'!AC30</f>
        <v/>
      </c>
      <c r="AE36" s="103" t="str">
        <f>'GBG Filtered'!AD30</f>
        <v/>
      </c>
      <c r="AF36" s="104" t="str">
        <f>'GBG Filtered'!AE30</f>
        <v/>
      </c>
    </row>
    <row r="37" ht="24.0" customHeight="1">
      <c r="B37" s="101" t="str">
        <f>'GBG Filtered'!A31</f>
        <v/>
      </c>
      <c r="C37" s="102" t="str">
        <f>'GBG Filtered'!B31</f>
        <v/>
      </c>
      <c r="D37" s="102" t="str">
        <f>'GBG Filtered'!C31</f>
        <v/>
      </c>
      <c r="E37" s="102" t="str">
        <f>'GBG Filtered'!D31</f>
        <v/>
      </c>
      <c r="F37" s="63" t="str">
        <f>IF('GBG Filtered'!E31 &lt;&gt; "", VLOOKUP(IFERROR(VLOOKUP('GBG Filtered'!E31, FormFixes, 2, false), 'GBG Filtered'!E31), PokemonIcons, 2, False), "")</f>
        <v/>
      </c>
      <c r="G37" s="63" t="str">
        <f>IF('GBG Filtered'!F31 &lt;&gt; "", VLOOKUP(IFERROR(VLOOKUP('GBG Filtered'!F31, FormFixes, 2, false), 'GBG Filtered'!F31), PokemonIcons, 2, False), "")</f>
        <v/>
      </c>
      <c r="H37" s="63" t="str">
        <f>IF('GBG Filtered'!G31 &lt;&gt; "", VLOOKUP(IFERROR(VLOOKUP('GBG Filtered'!G31, FormFixes, 2, false), 'GBG Filtered'!G31), PokemonIcons, 2, False), "")</f>
        <v/>
      </c>
      <c r="I37" s="63" t="str">
        <f>IF('GBG Filtered'!H31 &lt;&gt; "", VLOOKUP(IFERROR(VLOOKUP('GBG Filtered'!H31, FormFixes, 2, false), 'GBG Filtered'!H31), PokemonIcons, 2, False), "")</f>
        <v/>
      </c>
      <c r="J37" s="63" t="str">
        <f>IF('GBG Filtered'!I31 &lt;&gt; "", VLOOKUP(IFERROR(VLOOKUP('GBG Filtered'!I31, FormFixes, 2, false), 'GBG Filtered'!I31), PokemonIcons, 2, False), "")</f>
        <v/>
      </c>
      <c r="K37" s="63" t="str">
        <f>IF('GBG Filtered'!J31 &lt;&gt; "", VLOOKUP(IFERROR(VLOOKUP('GBG Filtered'!J31, FormFixes, 2, false), 'GBG Filtered'!J31), PokemonIcons, 2, False), "")</f>
        <v/>
      </c>
      <c r="O37" s="63" t="str">
        <f>IF('GBG Filtered'!N31 &lt;&gt; "", VLOOKUP(IFERROR(VLOOKUP('GBG Filtered'!N31, FormFixes, 2, false), 'GBG Filtered'!N31), PokemonIcons, 2, False), "")</f>
        <v/>
      </c>
      <c r="P37" s="63" t="str">
        <f>IF('GBG Filtered'!O31 &lt;&gt; "", VLOOKUP(IFERROR(VLOOKUP('GBG Filtered'!O31, FormFixes, 2, false), 'GBG Filtered'!O31), PokemonIcons, 2, False), "")</f>
        <v/>
      </c>
      <c r="Q37" s="63" t="str">
        <f>IF('GBG Filtered'!P31 &lt;&gt; "", VLOOKUP(IFERROR(VLOOKUP('GBG Filtered'!P31, FormFixes, 2, false), 'GBG Filtered'!P31), PokemonIcons, 2, False), "")</f>
        <v/>
      </c>
      <c r="R37" s="63" t="str">
        <f>IF('GBG Filtered'!Q31 &lt;&gt; "", VLOOKUP(IFERROR(VLOOKUP('GBG Filtered'!Q31, FormFixes, 2, false), 'GBG Filtered'!Q31), PokemonIcons, 2, False), "")</f>
        <v/>
      </c>
      <c r="T37" s="63" t="str">
        <f>IF('GBG Filtered'!S31 &lt;&gt; "", VLOOKUP(IFERROR(VLOOKUP('GBG Filtered'!S31, FormFixes, 2, false), 'GBG Filtered'!S31), PokemonIcons, 2, False), "")</f>
        <v/>
      </c>
      <c r="U37" s="63" t="str">
        <f>IF('GBG Filtered'!T31 &lt;&gt; "", VLOOKUP(IFERROR(VLOOKUP('GBG Filtered'!T31, FormFixes, 2, false), 'GBG Filtered'!T31), PokemonIcons, 2, False), "")</f>
        <v/>
      </c>
      <c r="V37" s="63" t="str">
        <f>IF('GBG Filtered'!U31 &lt;&gt; "", VLOOKUP(IFERROR(VLOOKUP('GBG Filtered'!U31, FormFixes, 2, false), 'GBG Filtered'!U31), PokemonIcons, 2, False), "")</f>
        <v/>
      </c>
      <c r="W37" s="63" t="str">
        <f>IF('GBG Filtered'!V31 &lt;&gt; "", VLOOKUP(IFERROR(VLOOKUP('GBG Filtered'!V31, FormFixes, 2, false), 'GBG Filtered'!V31), PokemonIcons, 2, False), "")</f>
        <v/>
      </c>
      <c r="Z37" s="63" t="str">
        <f>IF('GBG Filtered'!Y31 &lt;&gt; "", VLOOKUP(IFERROR(VLOOKUP('GBG Filtered'!Y31, FormFixes, 2, false), 'GBG Filtered'!Y31), PokemonIcons, 2, False), "")</f>
        <v/>
      </c>
      <c r="AA37" s="63" t="str">
        <f>IF('GBG Filtered'!Z31 &lt;&gt; "", VLOOKUP('GBG Filtered'!Z31, TypeIcons, 2, False), "")</f>
        <v/>
      </c>
      <c r="AB37" s="63" t="str">
        <f>IF('GBG Filtered'!AA31 &lt;&gt; "", VLOOKUP(IFERROR(VLOOKUP('GBG Filtered'!AA31, FormFixes, 2, false), 'GBG Filtered'!AA31), PokemonIcons, 2, False), "")</f>
        <v/>
      </c>
      <c r="AC37" s="63" t="str">
        <f>IF('GBG Filtered'!AB31 &lt;&gt; "", VLOOKUP('GBG Filtered'!AB31, TypeIcons, 2, False), "")</f>
        <v/>
      </c>
      <c r="AD37" s="103" t="str">
        <f>'GBG Filtered'!AC31</f>
        <v/>
      </c>
      <c r="AE37" s="103" t="str">
        <f>'GBG Filtered'!AD31</f>
        <v/>
      </c>
      <c r="AF37" s="104" t="str">
        <f>'GBG Filtered'!AE31</f>
        <v/>
      </c>
    </row>
    <row r="38" ht="24.0" customHeight="1">
      <c r="B38" s="101" t="str">
        <f>'GBG Filtered'!A32</f>
        <v/>
      </c>
      <c r="C38" s="102" t="str">
        <f>'GBG Filtered'!B32</f>
        <v/>
      </c>
      <c r="D38" s="102" t="str">
        <f>'GBG Filtered'!C32</f>
        <v/>
      </c>
      <c r="E38" s="102" t="str">
        <f>'GBG Filtered'!D32</f>
        <v/>
      </c>
      <c r="F38" s="63" t="str">
        <f>IF('GBG Filtered'!E32 &lt;&gt; "", VLOOKUP(IFERROR(VLOOKUP('GBG Filtered'!E32, FormFixes, 2, false), 'GBG Filtered'!E32), PokemonIcons, 2, False), "")</f>
        <v/>
      </c>
      <c r="G38" s="63" t="str">
        <f>IF('GBG Filtered'!F32 &lt;&gt; "", VLOOKUP(IFERROR(VLOOKUP('GBG Filtered'!F32, FormFixes, 2, false), 'GBG Filtered'!F32), PokemonIcons, 2, False), "")</f>
        <v/>
      </c>
      <c r="H38" s="63" t="str">
        <f>IF('GBG Filtered'!G32 &lt;&gt; "", VLOOKUP(IFERROR(VLOOKUP('GBG Filtered'!G32, FormFixes, 2, false), 'GBG Filtered'!G32), PokemonIcons, 2, False), "")</f>
        <v/>
      </c>
      <c r="I38" s="63" t="str">
        <f>IF('GBG Filtered'!H32 &lt;&gt; "", VLOOKUP(IFERROR(VLOOKUP('GBG Filtered'!H32, FormFixes, 2, false), 'GBG Filtered'!H32), PokemonIcons, 2, False), "")</f>
        <v/>
      </c>
      <c r="J38" s="63" t="str">
        <f>IF('GBG Filtered'!I32 &lt;&gt; "", VLOOKUP(IFERROR(VLOOKUP('GBG Filtered'!I32, FormFixes, 2, false), 'GBG Filtered'!I32), PokemonIcons, 2, False), "")</f>
        <v/>
      </c>
      <c r="K38" s="63" t="str">
        <f>IF('GBG Filtered'!J32 &lt;&gt; "", VLOOKUP(IFERROR(VLOOKUP('GBG Filtered'!J32, FormFixes, 2, false), 'GBG Filtered'!J32), PokemonIcons, 2, False), "")</f>
        <v/>
      </c>
      <c r="O38" s="63" t="str">
        <f>IF('GBG Filtered'!N32 &lt;&gt; "", VLOOKUP(IFERROR(VLOOKUP('GBG Filtered'!N32, FormFixes, 2, false), 'GBG Filtered'!N32), PokemonIcons, 2, False), "")</f>
        <v/>
      </c>
      <c r="P38" s="63" t="str">
        <f>IF('GBG Filtered'!O32 &lt;&gt; "", VLOOKUP(IFERROR(VLOOKUP('GBG Filtered'!O32, FormFixes, 2, false), 'GBG Filtered'!O32), PokemonIcons, 2, False), "")</f>
        <v/>
      </c>
      <c r="Q38" s="63" t="str">
        <f>IF('GBG Filtered'!P32 &lt;&gt; "", VLOOKUP(IFERROR(VLOOKUP('GBG Filtered'!P32, FormFixes, 2, false), 'GBG Filtered'!P32), PokemonIcons, 2, False), "")</f>
        <v/>
      </c>
      <c r="R38" s="63" t="str">
        <f>IF('GBG Filtered'!Q32 &lt;&gt; "", VLOOKUP(IFERROR(VLOOKUP('GBG Filtered'!Q32, FormFixes, 2, false), 'GBG Filtered'!Q32), PokemonIcons, 2, False), "")</f>
        <v/>
      </c>
      <c r="T38" s="63" t="str">
        <f>IF('GBG Filtered'!S32 &lt;&gt; "", VLOOKUP(IFERROR(VLOOKUP('GBG Filtered'!S32, FormFixes, 2, false), 'GBG Filtered'!S32), PokemonIcons, 2, False), "")</f>
        <v/>
      </c>
      <c r="U38" s="63" t="str">
        <f>IF('GBG Filtered'!T32 &lt;&gt; "", VLOOKUP(IFERROR(VLOOKUP('GBG Filtered'!T32, FormFixes, 2, false), 'GBG Filtered'!T32), PokemonIcons, 2, False), "")</f>
        <v/>
      </c>
      <c r="V38" s="63" t="str">
        <f>IF('GBG Filtered'!U32 &lt;&gt; "", VLOOKUP(IFERROR(VLOOKUP('GBG Filtered'!U32, FormFixes, 2, false), 'GBG Filtered'!U32), PokemonIcons, 2, False), "")</f>
        <v/>
      </c>
      <c r="W38" s="63" t="str">
        <f>IF('GBG Filtered'!V32 &lt;&gt; "", VLOOKUP(IFERROR(VLOOKUP('GBG Filtered'!V32, FormFixes, 2, false), 'GBG Filtered'!V32), PokemonIcons, 2, False), "")</f>
        <v/>
      </c>
      <c r="Z38" s="63" t="str">
        <f>IF('GBG Filtered'!Y32 &lt;&gt; "", VLOOKUP(IFERROR(VLOOKUP('GBG Filtered'!Y32, FormFixes, 2, false), 'GBG Filtered'!Y32), PokemonIcons, 2, False), "")</f>
        <v/>
      </c>
      <c r="AA38" s="63" t="str">
        <f>IF('GBG Filtered'!Z32 &lt;&gt; "", VLOOKUP('GBG Filtered'!Z32, TypeIcons, 2, False), "")</f>
        <v/>
      </c>
      <c r="AB38" s="63" t="str">
        <f>IF('GBG Filtered'!AA32 &lt;&gt; "", VLOOKUP(IFERROR(VLOOKUP('GBG Filtered'!AA32, FormFixes, 2, false), 'GBG Filtered'!AA32), PokemonIcons, 2, False), "")</f>
        <v/>
      </c>
      <c r="AC38" s="63" t="str">
        <f>IF('GBG Filtered'!AB32 &lt;&gt; "", VLOOKUP('GBG Filtered'!AB32, TypeIcons, 2, False), "")</f>
        <v/>
      </c>
      <c r="AD38" s="103" t="str">
        <f>'GBG Filtered'!AC32</f>
        <v/>
      </c>
      <c r="AE38" s="103" t="str">
        <f>'GBG Filtered'!AD32</f>
        <v/>
      </c>
      <c r="AF38" s="104" t="str">
        <f>'GBG Filtered'!AE32</f>
        <v/>
      </c>
    </row>
    <row r="39" ht="24.0" customHeight="1">
      <c r="B39" s="101" t="str">
        <f>'GBG Filtered'!A33</f>
        <v/>
      </c>
      <c r="C39" s="102" t="str">
        <f>'GBG Filtered'!B33</f>
        <v/>
      </c>
      <c r="D39" s="102" t="str">
        <f>'GBG Filtered'!C33</f>
        <v/>
      </c>
      <c r="E39" s="102" t="str">
        <f>'GBG Filtered'!D33</f>
        <v/>
      </c>
      <c r="F39" s="63" t="str">
        <f>IF('GBG Filtered'!E33 &lt;&gt; "", VLOOKUP(IFERROR(VLOOKUP('GBG Filtered'!E33, FormFixes, 2, false), 'GBG Filtered'!E33), PokemonIcons, 2, False), "")</f>
        <v/>
      </c>
      <c r="G39" s="63" t="str">
        <f>IF('GBG Filtered'!F33 &lt;&gt; "", VLOOKUP(IFERROR(VLOOKUP('GBG Filtered'!F33, FormFixes, 2, false), 'GBG Filtered'!F33), PokemonIcons, 2, False), "")</f>
        <v/>
      </c>
      <c r="H39" s="63" t="str">
        <f>IF('GBG Filtered'!G33 &lt;&gt; "", VLOOKUP(IFERROR(VLOOKUP('GBG Filtered'!G33, FormFixes, 2, false), 'GBG Filtered'!G33), PokemonIcons, 2, False), "")</f>
        <v/>
      </c>
      <c r="I39" s="63" t="str">
        <f>IF('GBG Filtered'!H33 &lt;&gt; "", VLOOKUP(IFERROR(VLOOKUP('GBG Filtered'!H33, FormFixes, 2, false), 'GBG Filtered'!H33), PokemonIcons, 2, False), "")</f>
        <v/>
      </c>
      <c r="J39" s="63" t="str">
        <f>IF('GBG Filtered'!I33 &lt;&gt; "", VLOOKUP(IFERROR(VLOOKUP('GBG Filtered'!I33, FormFixes, 2, false), 'GBG Filtered'!I33), PokemonIcons, 2, False), "")</f>
        <v/>
      </c>
      <c r="K39" s="63" t="str">
        <f>IF('GBG Filtered'!J33 &lt;&gt; "", VLOOKUP(IFERROR(VLOOKUP('GBG Filtered'!J33, FormFixes, 2, false), 'GBG Filtered'!J33), PokemonIcons, 2, False), "")</f>
        <v/>
      </c>
      <c r="O39" s="63" t="str">
        <f>IF('GBG Filtered'!N33 &lt;&gt; "", VLOOKUP(IFERROR(VLOOKUP('GBG Filtered'!N33, FormFixes, 2, false), 'GBG Filtered'!N33), PokemonIcons, 2, False), "")</f>
        <v/>
      </c>
      <c r="P39" s="63" t="str">
        <f>IF('GBG Filtered'!O33 &lt;&gt; "", VLOOKUP(IFERROR(VLOOKUP('GBG Filtered'!O33, FormFixes, 2, false), 'GBG Filtered'!O33), PokemonIcons, 2, False), "")</f>
        <v/>
      </c>
      <c r="Q39" s="63" t="str">
        <f>IF('GBG Filtered'!P33 &lt;&gt; "", VLOOKUP(IFERROR(VLOOKUP('GBG Filtered'!P33, FormFixes, 2, false), 'GBG Filtered'!P33), PokemonIcons, 2, False), "")</f>
        <v/>
      </c>
      <c r="R39" s="63" t="str">
        <f>IF('GBG Filtered'!Q33 &lt;&gt; "", VLOOKUP(IFERROR(VLOOKUP('GBG Filtered'!Q33, FormFixes, 2, false), 'GBG Filtered'!Q33), PokemonIcons, 2, False), "")</f>
        <v/>
      </c>
      <c r="T39" s="63" t="str">
        <f>IF('GBG Filtered'!S33 &lt;&gt; "", VLOOKUP(IFERROR(VLOOKUP('GBG Filtered'!S33, FormFixes, 2, false), 'GBG Filtered'!S33), PokemonIcons, 2, False), "")</f>
        <v/>
      </c>
      <c r="U39" s="63" t="str">
        <f>IF('GBG Filtered'!T33 &lt;&gt; "", VLOOKUP(IFERROR(VLOOKUP('GBG Filtered'!T33, FormFixes, 2, false), 'GBG Filtered'!T33), PokemonIcons, 2, False), "")</f>
        <v/>
      </c>
      <c r="V39" s="63" t="str">
        <f>IF('GBG Filtered'!U33 &lt;&gt; "", VLOOKUP(IFERROR(VLOOKUP('GBG Filtered'!U33, FormFixes, 2, false), 'GBG Filtered'!U33), PokemonIcons, 2, False), "")</f>
        <v/>
      </c>
      <c r="W39" s="63" t="str">
        <f>IF('GBG Filtered'!V33 &lt;&gt; "", VLOOKUP(IFERROR(VLOOKUP('GBG Filtered'!V33, FormFixes, 2, false), 'GBG Filtered'!V33), PokemonIcons, 2, False), "")</f>
        <v/>
      </c>
      <c r="Z39" s="63" t="str">
        <f>IF('GBG Filtered'!Y33 &lt;&gt; "", VLOOKUP(IFERROR(VLOOKUP('GBG Filtered'!Y33, FormFixes, 2, false), 'GBG Filtered'!Y33), PokemonIcons, 2, False), "")</f>
        <v/>
      </c>
      <c r="AA39" s="63" t="str">
        <f>IF('GBG Filtered'!Z33 &lt;&gt; "", VLOOKUP('GBG Filtered'!Z33, TypeIcons, 2, False), "")</f>
        <v/>
      </c>
      <c r="AB39" s="63" t="str">
        <f>IF('GBG Filtered'!AA33 &lt;&gt; "", VLOOKUP(IFERROR(VLOOKUP('GBG Filtered'!AA33, FormFixes, 2, false), 'GBG Filtered'!AA33), PokemonIcons, 2, False), "")</f>
        <v/>
      </c>
      <c r="AC39" s="63" t="str">
        <f>IF('GBG Filtered'!AB33 &lt;&gt; "", VLOOKUP('GBG Filtered'!AB33, TypeIcons, 2, False), "")</f>
        <v/>
      </c>
      <c r="AD39" s="103" t="str">
        <f>'GBG Filtered'!AC33</f>
        <v/>
      </c>
      <c r="AE39" s="103" t="str">
        <f>'GBG Filtered'!AD33</f>
        <v/>
      </c>
      <c r="AF39" s="104" t="str">
        <f>'GBG Filtered'!AE33</f>
        <v/>
      </c>
    </row>
    <row r="40" ht="24.0" customHeight="1">
      <c r="B40" s="101" t="str">
        <f>'GBG Filtered'!A34</f>
        <v/>
      </c>
      <c r="C40" s="102" t="str">
        <f>'GBG Filtered'!B34</f>
        <v/>
      </c>
      <c r="D40" s="102" t="str">
        <f>'GBG Filtered'!C34</f>
        <v/>
      </c>
      <c r="E40" s="102" t="str">
        <f>'GBG Filtered'!D34</f>
        <v/>
      </c>
      <c r="F40" s="63" t="str">
        <f>IF('GBG Filtered'!E34 &lt;&gt; "", VLOOKUP(IFERROR(VLOOKUP('GBG Filtered'!E34, FormFixes, 2, false), 'GBG Filtered'!E34), PokemonIcons, 2, False), "")</f>
        <v/>
      </c>
      <c r="G40" s="63" t="str">
        <f>IF('GBG Filtered'!F34 &lt;&gt; "", VLOOKUP(IFERROR(VLOOKUP('GBG Filtered'!F34, FormFixes, 2, false), 'GBG Filtered'!F34), PokemonIcons, 2, False), "")</f>
        <v/>
      </c>
      <c r="H40" s="63" t="str">
        <f>IF('GBG Filtered'!G34 &lt;&gt; "", VLOOKUP(IFERROR(VLOOKUP('GBG Filtered'!G34, FormFixes, 2, false), 'GBG Filtered'!G34), PokemonIcons, 2, False), "")</f>
        <v/>
      </c>
      <c r="I40" s="63" t="str">
        <f>IF('GBG Filtered'!H34 &lt;&gt; "", VLOOKUP(IFERROR(VLOOKUP('GBG Filtered'!H34, FormFixes, 2, false), 'GBG Filtered'!H34), PokemonIcons, 2, False), "")</f>
        <v/>
      </c>
      <c r="J40" s="63" t="str">
        <f>IF('GBG Filtered'!I34 &lt;&gt; "", VLOOKUP(IFERROR(VLOOKUP('GBG Filtered'!I34, FormFixes, 2, false), 'GBG Filtered'!I34), PokemonIcons, 2, False), "")</f>
        <v/>
      </c>
      <c r="K40" s="63" t="str">
        <f>IF('GBG Filtered'!J34 &lt;&gt; "", VLOOKUP(IFERROR(VLOOKUP('GBG Filtered'!J34, FormFixes, 2, false), 'GBG Filtered'!J34), PokemonIcons, 2, False), "")</f>
        <v/>
      </c>
      <c r="O40" s="63" t="str">
        <f>IF('GBG Filtered'!N34 &lt;&gt; "", VLOOKUP(IFERROR(VLOOKUP('GBG Filtered'!N34, FormFixes, 2, false), 'GBG Filtered'!N34), PokemonIcons, 2, False), "")</f>
        <v/>
      </c>
      <c r="P40" s="63" t="str">
        <f>IF('GBG Filtered'!O34 &lt;&gt; "", VLOOKUP(IFERROR(VLOOKUP('GBG Filtered'!O34, FormFixes, 2, false), 'GBG Filtered'!O34), PokemonIcons, 2, False), "")</f>
        <v/>
      </c>
      <c r="Q40" s="63" t="str">
        <f>IF('GBG Filtered'!P34 &lt;&gt; "", VLOOKUP(IFERROR(VLOOKUP('GBG Filtered'!P34, FormFixes, 2, false), 'GBG Filtered'!P34), PokemonIcons, 2, False), "")</f>
        <v/>
      </c>
      <c r="R40" s="63" t="str">
        <f>IF('GBG Filtered'!Q34 &lt;&gt; "", VLOOKUP(IFERROR(VLOOKUP('GBG Filtered'!Q34, FormFixes, 2, false), 'GBG Filtered'!Q34), PokemonIcons, 2, False), "")</f>
        <v/>
      </c>
      <c r="T40" s="63" t="str">
        <f>IF('GBG Filtered'!S34 &lt;&gt; "", VLOOKUP(IFERROR(VLOOKUP('GBG Filtered'!S34, FormFixes, 2, false), 'GBG Filtered'!S34), PokemonIcons, 2, False), "")</f>
        <v/>
      </c>
      <c r="U40" s="63" t="str">
        <f>IF('GBG Filtered'!T34 &lt;&gt; "", VLOOKUP(IFERROR(VLOOKUP('GBG Filtered'!T34, FormFixes, 2, false), 'GBG Filtered'!T34), PokemonIcons, 2, False), "")</f>
        <v/>
      </c>
      <c r="V40" s="63" t="str">
        <f>IF('GBG Filtered'!U34 &lt;&gt; "", VLOOKUP(IFERROR(VLOOKUP('GBG Filtered'!U34, FormFixes, 2, false), 'GBG Filtered'!U34), PokemonIcons, 2, False), "")</f>
        <v/>
      </c>
      <c r="W40" s="63" t="str">
        <f>IF('GBG Filtered'!V34 &lt;&gt; "", VLOOKUP(IFERROR(VLOOKUP('GBG Filtered'!V34, FormFixes, 2, false), 'GBG Filtered'!V34), PokemonIcons, 2, False), "")</f>
        <v/>
      </c>
      <c r="Z40" s="63" t="str">
        <f>IF('GBG Filtered'!Y34 &lt;&gt; "", VLOOKUP(IFERROR(VLOOKUP('GBG Filtered'!Y34, FormFixes, 2, false), 'GBG Filtered'!Y34), PokemonIcons, 2, False), "")</f>
        <v/>
      </c>
      <c r="AA40" s="63" t="str">
        <f>IF('GBG Filtered'!Z34 &lt;&gt; "", VLOOKUP('GBG Filtered'!Z34, TypeIcons, 2, False), "")</f>
        <v/>
      </c>
      <c r="AB40" s="63" t="str">
        <f>IF('GBG Filtered'!AA34 &lt;&gt; "", VLOOKUP(IFERROR(VLOOKUP('GBG Filtered'!AA34, FormFixes, 2, false), 'GBG Filtered'!AA34), PokemonIcons, 2, False), "")</f>
        <v/>
      </c>
      <c r="AC40" s="63" t="str">
        <f>IF('GBG Filtered'!AB34 &lt;&gt; "", VLOOKUP('GBG Filtered'!AB34, TypeIcons, 2, False), "")</f>
        <v/>
      </c>
      <c r="AD40" s="103" t="str">
        <f>'GBG Filtered'!AC34</f>
        <v/>
      </c>
      <c r="AE40" s="103" t="str">
        <f>'GBG Filtered'!AD34</f>
        <v/>
      </c>
      <c r="AF40" s="104" t="str">
        <f>'GBG Filtered'!AE34</f>
        <v/>
      </c>
    </row>
    <row r="41" ht="24.0" customHeight="1">
      <c r="B41" s="101" t="str">
        <f>'GBG Filtered'!A35</f>
        <v/>
      </c>
      <c r="C41" s="102" t="str">
        <f>'GBG Filtered'!B35</f>
        <v/>
      </c>
      <c r="D41" s="102" t="str">
        <f>'GBG Filtered'!C35</f>
        <v/>
      </c>
      <c r="E41" s="102" t="str">
        <f>'GBG Filtered'!D35</f>
        <v/>
      </c>
      <c r="F41" s="63" t="str">
        <f>IF('GBG Filtered'!E35 &lt;&gt; "", VLOOKUP(IFERROR(VLOOKUP('GBG Filtered'!E35, FormFixes, 2, false), 'GBG Filtered'!E35), PokemonIcons, 2, False), "")</f>
        <v/>
      </c>
      <c r="G41" s="63" t="str">
        <f>IF('GBG Filtered'!F35 &lt;&gt; "", VLOOKUP(IFERROR(VLOOKUP('GBG Filtered'!F35, FormFixes, 2, false), 'GBG Filtered'!F35), PokemonIcons, 2, False), "")</f>
        <v/>
      </c>
      <c r="H41" s="63" t="str">
        <f>IF('GBG Filtered'!G35 &lt;&gt; "", VLOOKUP(IFERROR(VLOOKUP('GBG Filtered'!G35, FormFixes, 2, false), 'GBG Filtered'!G35), PokemonIcons, 2, False), "")</f>
        <v/>
      </c>
      <c r="I41" s="63" t="str">
        <f>IF('GBG Filtered'!H35 &lt;&gt; "", VLOOKUP(IFERROR(VLOOKUP('GBG Filtered'!H35, FormFixes, 2, false), 'GBG Filtered'!H35), PokemonIcons, 2, False), "")</f>
        <v/>
      </c>
      <c r="J41" s="63" t="str">
        <f>IF('GBG Filtered'!I35 &lt;&gt; "", VLOOKUP(IFERROR(VLOOKUP('GBG Filtered'!I35, FormFixes, 2, false), 'GBG Filtered'!I35), PokemonIcons, 2, False), "")</f>
        <v/>
      </c>
      <c r="K41" s="63" t="str">
        <f>IF('GBG Filtered'!J35 &lt;&gt; "", VLOOKUP(IFERROR(VLOOKUP('GBG Filtered'!J35, FormFixes, 2, false), 'GBG Filtered'!J35), PokemonIcons, 2, False), "")</f>
        <v/>
      </c>
      <c r="O41" s="63" t="str">
        <f>IF('GBG Filtered'!N35 &lt;&gt; "", VLOOKUP(IFERROR(VLOOKUP('GBG Filtered'!N35, FormFixes, 2, false), 'GBG Filtered'!N35), PokemonIcons, 2, False), "")</f>
        <v/>
      </c>
      <c r="P41" s="63" t="str">
        <f>IF('GBG Filtered'!O35 &lt;&gt; "", VLOOKUP(IFERROR(VLOOKUP('GBG Filtered'!O35, FormFixes, 2, false), 'GBG Filtered'!O35), PokemonIcons, 2, False), "")</f>
        <v/>
      </c>
      <c r="Q41" s="63" t="str">
        <f>IF('GBG Filtered'!P35 &lt;&gt; "", VLOOKUP(IFERROR(VLOOKUP('GBG Filtered'!P35, FormFixes, 2, false), 'GBG Filtered'!P35), PokemonIcons, 2, False), "")</f>
        <v/>
      </c>
      <c r="R41" s="63" t="str">
        <f>IF('GBG Filtered'!Q35 &lt;&gt; "", VLOOKUP(IFERROR(VLOOKUP('GBG Filtered'!Q35, FormFixes, 2, false), 'GBG Filtered'!Q35), PokemonIcons, 2, False), "")</f>
        <v/>
      </c>
      <c r="T41" s="63" t="str">
        <f>IF('GBG Filtered'!S35 &lt;&gt; "", VLOOKUP(IFERROR(VLOOKUP('GBG Filtered'!S35, FormFixes, 2, false), 'GBG Filtered'!S35), PokemonIcons, 2, False), "")</f>
        <v/>
      </c>
      <c r="U41" s="63" t="str">
        <f>IF('GBG Filtered'!T35 &lt;&gt; "", VLOOKUP(IFERROR(VLOOKUP('GBG Filtered'!T35, FormFixes, 2, false), 'GBG Filtered'!T35), PokemonIcons, 2, False), "")</f>
        <v/>
      </c>
      <c r="V41" s="63" t="str">
        <f>IF('GBG Filtered'!U35 &lt;&gt; "", VLOOKUP(IFERROR(VLOOKUP('GBG Filtered'!U35, FormFixes, 2, false), 'GBG Filtered'!U35), PokemonIcons, 2, False), "")</f>
        <v/>
      </c>
      <c r="W41" s="63" t="str">
        <f>IF('GBG Filtered'!V35 &lt;&gt; "", VLOOKUP(IFERROR(VLOOKUP('GBG Filtered'!V35, FormFixes, 2, false), 'GBG Filtered'!V35), PokemonIcons, 2, False), "")</f>
        <v/>
      </c>
      <c r="Z41" s="63" t="str">
        <f>IF('GBG Filtered'!Y35 &lt;&gt; "", VLOOKUP(IFERROR(VLOOKUP('GBG Filtered'!Y35, FormFixes, 2, false), 'GBG Filtered'!Y35), PokemonIcons, 2, False), "")</f>
        <v/>
      </c>
      <c r="AA41" s="63" t="str">
        <f>IF('GBG Filtered'!Z35 &lt;&gt; "", VLOOKUP('GBG Filtered'!Z35, TypeIcons, 2, False), "")</f>
        <v/>
      </c>
      <c r="AB41" s="63" t="str">
        <f>IF('GBG Filtered'!AA35 &lt;&gt; "", VLOOKUP(IFERROR(VLOOKUP('GBG Filtered'!AA35, FormFixes, 2, false), 'GBG Filtered'!AA35), PokemonIcons, 2, False), "")</f>
        <v/>
      </c>
      <c r="AC41" s="63" t="str">
        <f>IF('GBG Filtered'!AB35 &lt;&gt; "", VLOOKUP('GBG Filtered'!AB35, TypeIcons, 2, False), "")</f>
        <v/>
      </c>
      <c r="AD41" s="103" t="str">
        <f>'GBG Filtered'!AC35</f>
        <v/>
      </c>
      <c r="AE41" s="103" t="str">
        <f>'GBG Filtered'!AD35</f>
        <v/>
      </c>
      <c r="AF41" s="104" t="str">
        <f>'GBG Filtered'!AE35</f>
        <v/>
      </c>
    </row>
    <row r="42" ht="24.0" customHeight="1">
      <c r="B42" s="101" t="str">
        <f>'GBG Filtered'!A36</f>
        <v/>
      </c>
      <c r="C42" s="102" t="str">
        <f>'GBG Filtered'!B36</f>
        <v/>
      </c>
      <c r="D42" s="102" t="str">
        <f>'GBG Filtered'!C36</f>
        <v/>
      </c>
      <c r="E42" s="102" t="str">
        <f>'GBG Filtered'!D36</f>
        <v/>
      </c>
      <c r="F42" s="63" t="str">
        <f>IF('GBG Filtered'!E36 &lt;&gt; "", VLOOKUP(IFERROR(VLOOKUP('GBG Filtered'!E36, FormFixes, 2, false), 'GBG Filtered'!E36), PokemonIcons, 2, False), "")</f>
        <v/>
      </c>
      <c r="G42" s="63" t="str">
        <f>IF('GBG Filtered'!F36 &lt;&gt; "", VLOOKUP(IFERROR(VLOOKUP('GBG Filtered'!F36, FormFixes, 2, false), 'GBG Filtered'!F36), PokemonIcons, 2, False), "")</f>
        <v/>
      </c>
      <c r="H42" s="63" t="str">
        <f>IF('GBG Filtered'!G36 &lt;&gt; "", VLOOKUP(IFERROR(VLOOKUP('GBG Filtered'!G36, FormFixes, 2, false), 'GBG Filtered'!G36), PokemonIcons, 2, False), "")</f>
        <v/>
      </c>
      <c r="I42" s="63" t="str">
        <f>IF('GBG Filtered'!H36 &lt;&gt; "", VLOOKUP(IFERROR(VLOOKUP('GBG Filtered'!H36, FormFixes, 2, false), 'GBG Filtered'!H36), PokemonIcons, 2, False), "")</f>
        <v/>
      </c>
      <c r="J42" s="63" t="str">
        <f>IF('GBG Filtered'!I36 &lt;&gt; "", VLOOKUP(IFERROR(VLOOKUP('GBG Filtered'!I36, FormFixes, 2, false), 'GBG Filtered'!I36), PokemonIcons, 2, False), "")</f>
        <v/>
      </c>
      <c r="K42" s="63" t="str">
        <f>IF('GBG Filtered'!J36 &lt;&gt; "", VLOOKUP(IFERROR(VLOOKUP('GBG Filtered'!J36, FormFixes, 2, false), 'GBG Filtered'!J36), PokemonIcons, 2, False), "")</f>
        <v/>
      </c>
      <c r="O42" s="63" t="str">
        <f>IF('GBG Filtered'!N36 &lt;&gt; "", VLOOKUP(IFERROR(VLOOKUP('GBG Filtered'!N36, FormFixes, 2, false), 'GBG Filtered'!N36), PokemonIcons, 2, False), "")</f>
        <v/>
      </c>
      <c r="P42" s="63" t="str">
        <f>IF('GBG Filtered'!O36 &lt;&gt; "", VLOOKUP(IFERROR(VLOOKUP('GBG Filtered'!O36, FormFixes, 2, false), 'GBG Filtered'!O36), PokemonIcons, 2, False), "")</f>
        <v/>
      </c>
      <c r="Q42" s="63" t="str">
        <f>IF('GBG Filtered'!P36 &lt;&gt; "", VLOOKUP(IFERROR(VLOOKUP('GBG Filtered'!P36, FormFixes, 2, false), 'GBG Filtered'!P36), PokemonIcons, 2, False), "")</f>
        <v/>
      </c>
      <c r="R42" s="63" t="str">
        <f>IF('GBG Filtered'!Q36 &lt;&gt; "", VLOOKUP(IFERROR(VLOOKUP('GBG Filtered'!Q36, FormFixes, 2, false), 'GBG Filtered'!Q36), PokemonIcons, 2, False), "")</f>
        <v/>
      </c>
      <c r="T42" s="63" t="str">
        <f>IF('GBG Filtered'!S36 &lt;&gt; "", VLOOKUP(IFERROR(VLOOKUP('GBG Filtered'!S36, FormFixes, 2, false), 'GBG Filtered'!S36), PokemonIcons, 2, False), "")</f>
        <v/>
      </c>
      <c r="U42" s="63" t="str">
        <f>IF('GBG Filtered'!T36 &lt;&gt; "", VLOOKUP(IFERROR(VLOOKUP('GBG Filtered'!T36, FormFixes, 2, false), 'GBG Filtered'!T36), PokemonIcons, 2, False), "")</f>
        <v/>
      </c>
      <c r="V42" s="63" t="str">
        <f>IF('GBG Filtered'!U36 &lt;&gt; "", VLOOKUP(IFERROR(VLOOKUP('GBG Filtered'!U36, FormFixes, 2, false), 'GBG Filtered'!U36), PokemonIcons, 2, False), "")</f>
        <v/>
      </c>
      <c r="W42" s="63" t="str">
        <f>IF('GBG Filtered'!V36 &lt;&gt; "", VLOOKUP(IFERROR(VLOOKUP('GBG Filtered'!V36, FormFixes, 2, false), 'GBG Filtered'!V36), PokemonIcons, 2, False), "")</f>
        <v/>
      </c>
      <c r="Z42" s="63" t="str">
        <f>IF('GBG Filtered'!Y36 &lt;&gt; "", VLOOKUP(IFERROR(VLOOKUP('GBG Filtered'!Y36, FormFixes, 2, false), 'GBG Filtered'!Y36), PokemonIcons, 2, False), "")</f>
        <v/>
      </c>
      <c r="AA42" s="63" t="str">
        <f>IF('GBG Filtered'!Z36 &lt;&gt; "", VLOOKUP('GBG Filtered'!Z36, TypeIcons, 2, False), "")</f>
        <v/>
      </c>
      <c r="AB42" s="63" t="str">
        <f>IF('GBG Filtered'!AA36 &lt;&gt; "", VLOOKUP(IFERROR(VLOOKUP('GBG Filtered'!AA36, FormFixes, 2, false), 'GBG Filtered'!AA36), PokemonIcons, 2, False), "")</f>
        <v/>
      </c>
      <c r="AC42" s="63" t="str">
        <f>IF('GBG Filtered'!AB36 &lt;&gt; "", VLOOKUP('GBG Filtered'!AB36, TypeIcons, 2, False), "")</f>
        <v/>
      </c>
      <c r="AD42" s="103" t="str">
        <f>'GBG Filtered'!AC36</f>
        <v/>
      </c>
      <c r="AE42" s="103" t="str">
        <f>'GBG Filtered'!AD36</f>
        <v/>
      </c>
      <c r="AF42" s="104" t="str">
        <f>'GBG Filtered'!AE36</f>
        <v/>
      </c>
    </row>
    <row r="43" ht="24.0" customHeight="1">
      <c r="B43" s="101" t="str">
        <f>'GBG Filtered'!A37</f>
        <v/>
      </c>
      <c r="C43" s="102" t="str">
        <f>'GBG Filtered'!B37</f>
        <v/>
      </c>
      <c r="D43" s="102" t="str">
        <f>'GBG Filtered'!C37</f>
        <v/>
      </c>
      <c r="E43" s="102" t="str">
        <f>'GBG Filtered'!D37</f>
        <v/>
      </c>
      <c r="F43" s="63" t="str">
        <f>IF('GBG Filtered'!E37 &lt;&gt; "", VLOOKUP(IFERROR(VLOOKUP('GBG Filtered'!E37, FormFixes, 2, false), 'GBG Filtered'!E37), PokemonIcons, 2, False), "")</f>
        <v/>
      </c>
      <c r="G43" s="63" t="str">
        <f>IF('GBG Filtered'!F37 &lt;&gt; "", VLOOKUP(IFERROR(VLOOKUP('GBG Filtered'!F37, FormFixes, 2, false), 'GBG Filtered'!F37), PokemonIcons, 2, False), "")</f>
        <v/>
      </c>
      <c r="H43" s="63" t="str">
        <f>IF('GBG Filtered'!G37 &lt;&gt; "", VLOOKUP(IFERROR(VLOOKUP('GBG Filtered'!G37, FormFixes, 2, false), 'GBG Filtered'!G37), PokemonIcons, 2, False), "")</f>
        <v/>
      </c>
      <c r="I43" s="63" t="str">
        <f>IF('GBG Filtered'!H37 &lt;&gt; "", VLOOKUP(IFERROR(VLOOKUP('GBG Filtered'!H37, FormFixes, 2, false), 'GBG Filtered'!H37), PokemonIcons, 2, False), "")</f>
        <v/>
      </c>
      <c r="J43" s="63" t="str">
        <f>IF('GBG Filtered'!I37 &lt;&gt; "", VLOOKUP(IFERROR(VLOOKUP('GBG Filtered'!I37, FormFixes, 2, false), 'GBG Filtered'!I37), PokemonIcons, 2, False), "")</f>
        <v/>
      </c>
      <c r="K43" s="63" t="str">
        <f>IF('GBG Filtered'!J37 &lt;&gt; "", VLOOKUP(IFERROR(VLOOKUP('GBG Filtered'!J37, FormFixes, 2, false), 'GBG Filtered'!J37), PokemonIcons, 2, False), "")</f>
        <v/>
      </c>
      <c r="O43" s="63" t="str">
        <f>IF('GBG Filtered'!N37 &lt;&gt; "", VLOOKUP(IFERROR(VLOOKUP('GBG Filtered'!N37, FormFixes, 2, false), 'GBG Filtered'!N37), PokemonIcons, 2, False), "")</f>
        <v/>
      </c>
      <c r="P43" s="63" t="str">
        <f>IF('GBG Filtered'!O37 &lt;&gt; "", VLOOKUP(IFERROR(VLOOKUP('GBG Filtered'!O37, FormFixes, 2, false), 'GBG Filtered'!O37), PokemonIcons, 2, False), "")</f>
        <v/>
      </c>
      <c r="Q43" s="63" t="str">
        <f>IF('GBG Filtered'!P37 &lt;&gt; "", VLOOKUP(IFERROR(VLOOKUP('GBG Filtered'!P37, FormFixes, 2, false), 'GBG Filtered'!P37), PokemonIcons, 2, False), "")</f>
        <v/>
      </c>
      <c r="R43" s="63" t="str">
        <f>IF('GBG Filtered'!Q37 &lt;&gt; "", VLOOKUP(IFERROR(VLOOKUP('GBG Filtered'!Q37, FormFixes, 2, false), 'GBG Filtered'!Q37), PokemonIcons, 2, False), "")</f>
        <v/>
      </c>
      <c r="T43" s="63" t="str">
        <f>IF('GBG Filtered'!S37 &lt;&gt; "", VLOOKUP(IFERROR(VLOOKUP('GBG Filtered'!S37, FormFixes, 2, false), 'GBG Filtered'!S37), PokemonIcons, 2, False), "")</f>
        <v/>
      </c>
      <c r="U43" s="63" t="str">
        <f>IF('GBG Filtered'!T37 &lt;&gt; "", VLOOKUP(IFERROR(VLOOKUP('GBG Filtered'!T37, FormFixes, 2, false), 'GBG Filtered'!T37), PokemonIcons, 2, False), "")</f>
        <v/>
      </c>
      <c r="V43" s="63" t="str">
        <f>IF('GBG Filtered'!U37 &lt;&gt; "", VLOOKUP(IFERROR(VLOOKUP('GBG Filtered'!U37, FormFixes, 2, false), 'GBG Filtered'!U37), PokemonIcons, 2, False), "")</f>
        <v/>
      </c>
      <c r="W43" s="63" t="str">
        <f>IF('GBG Filtered'!V37 &lt;&gt; "", VLOOKUP(IFERROR(VLOOKUP('GBG Filtered'!V37, FormFixes, 2, false), 'GBG Filtered'!V37), PokemonIcons, 2, False), "")</f>
        <v/>
      </c>
      <c r="Z43" s="63" t="str">
        <f>IF('GBG Filtered'!Y37 &lt;&gt; "", VLOOKUP(IFERROR(VLOOKUP('GBG Filtered'!Y37, FormFixes, 2, false), 'GBG Filtered'!Y37), PokemonIcons, 2, False), "")</f>
        <v/>
      </c>
      <c r="AA43" s="63" t="str">
        <f>IF('GBG Filtered'!Z37 &lt;&gt; "", VLOOKUP('GBG Filtered'!Z37, TypeIcons, 2, False), "")</f>
        <v/>
      </c>
      <c r="AB43" s="63" t="str">
        <f>IF('GBG Filtered'!AA37 &lt;&gt; "", VLOOKUP(IFERROR(VLOOKUP('GBG Filtered'!AA37, FormFixes, 2, false), 'GBG Filtered'!AA37), PokemonIcons, 2, False), "")</f>
        <v/>
      </c>
      <c r="AC43" s="63" t="str">
        <f>IF('GBG Filtered'!AB37 &lt;&gt; "", VLOOKUP('GBG Filtered'!AB37, TypeIcons, 2, False), "")</f>
        <v/>
      </c>
      <c r="AD43" s="103" t="str">
        <f>'GBG Filtered'!AC37</f>
        <v/>
      </c>
      <c r="AE43" s="103" t="str">
        <f>'GBG Filtered'!AD37</f>
        <v/>
      </c>
      <c r="AF43" s="104" t="str">
        <f>'GBG Filtered'!AE37</f>
        <v/>
      </c>
    </row>
    <row r="44" ht="24.0" customHeight="1">
      <c r="B44" s="101" t="str">
        <f>'GBG Filtered'!A38</f>
        <v/>
      </c>
      <c r="C44" s="102" t="str">
        <f>'GBG Filtered'!B38</f>
        <v/>
      </c>
      <c r="D44" s="102" t="str">
        <f>'GBG Filtered'!C38</f>
        <v/>
      </c>
      <c r="E44" s="102" t="str">
        <f>'GBG Filtered'!D38</f>
        <v/>
      </c>
      <c r="F44" s="63" t="str">
        <f>IF('GBG Filtered'!E38 &lt;&gt; "", VLOOKUP(IFERROR(VLOOKUP('GBG Filtered'!E38, FormFixes, 2, false), 'GBG Filtered'!E38), PokemonIcons, 2, False), "")</f>
        <v/>
      </c>
      <c r="G44" s="63" t="str">
        <f>IF('GBG Filtered'!F38 &lt;&gt; "", VLOOKUP(IFERROR(VLOOKUP('GBG Filtered'!F38, FormFixes, 2, false), 'GBG Filtered'!F38), PokemonIcons, 2, False), "")</f>
        <v/>
      </c>
      <c r="H44" s="63" t="str">
        <f>IF('GBG Filtered'!G38 &lt;&gt; "", VLOOKUP(IFERROR(VLOOKUP('GBG Filtered'!G38, FormFixes, 2, false), 'GBG Filtered'!G38), PokemonIcons, 2, False), "")</f>
        <v/>
      </c>
      <c r="I44" s="63" t="str">
        <f>IF('GBG Filtered'!H38 &lt;&gt; "", VLOOKUP(IFERROR(VLOOKUP('GBG Filtered'!H38, FormFixes, 2, false), 'GBG Filtered'!H38), PokemonIcons, 2, False), "")</f>
        <v/>
      </c>
      <c r="J44" s="63" t="str">
        <f>IF('GBG Filtered'!I38 &lt;&gt; "", VLOOKUP(IFERROR(VLOOKUP('GBG Filtered'!I38, FormFixes, 2, false), 'GBG Filtered'!I38), PokemonIcons, 2, False), "")</f>
        <v/>
      </c>
      <c r="K44" s="63" t="str">
        <f>IF('GBG Filtered'!J38 &lt;&gt; "", VLOOKUP(IFERROR(VLOOKUP('GBG Filtered'!J38, FormFixes, 2, false), 'GBG Filtered'!J38), PokemonIcons, 2, False), "")</f>
        <v/>
      </c>
      <c r="O44" s="63" t="str">
        <f>IF('GBG Filtered'!N38 &lt;&gt; "", VLOOKUP(IFERROR(VLOOKUP('GBG Filtered'!N38, FormFixes, 2, false), 'GBG Filtered'!N38), PokemonIcons, 2, False), "")</f>
        <v/>
      </c>
      <c r="P44" s="63" t="str">
        <f>IF('GBG Filtered'!O38 &lt;&gt; "", VLOOKUP(IFERROR(VLOOKUP('GBG Filtered'!O38, FormFixes, 2, false), 'GBG Filtered'!O38), PokemonIcons, 2, False), "")</f>
        <v/>
      </c>
      <c r="Q44" s="63" t="str">
        <f>IF('GBG Filtered'!P38 &lt;&gt; "", VLOOKUP(IFERROR(VLOOKUP('GBG Filtered'!P38, FormFixes, 2, false), 'GBG Filtered'!P38), PokemonIcons, 2, False), "")</f>
        <v/>
      </c>
      <c r="R44" s="63" t="str">
        <f>IF('GBG Filtered'!Q38 &lt;&gt; "", VLOOKUP(IFERROR(VLOOKUP('GBG Filtered'!Q38, FormFixes, 2, false), 'GBG Filtered'!Q38), PokemonIcons, 2, False), "")</f>
        <v/>
      </c>
      <c r="T44" s="63" t="str">
        <f>IF('GBG Filtered'!S38 &lt;&gt; "", VLOOKUP(IFERROR(VLOOKUP('GBG Filtered'!S38, FormFixes, 2, false), 'GBG Filtered'!S38), PokemonIcons, 2, False), "")</f>
        <v/>
      </c>
      <c r="U44" s="63" t="str">
        <f>IF('GBG Filtered'!T38 &lt;&gt; "", VLOOKUP(IFERROR(VLOOKUP('GBG Filtered'!T38, FormFixes, 2, false), 'GBG Filtered'!T38), PokemonIcons, 2, False), "")</f>
        <v/>
      </c>
      <c r="V44" s="63" t="str">
        <f>IF('GBG Filtered'!U38 &lt;&gt; "", VLOOKUP(IFERROR(VLOOKUP('GBG Filtered'!U38, FormFixes, 2, false), 'GBG Filtered'!U38), PokemonIcons, 2, False), "")</f>
        <v/>
      </c>
      <c r="W44" s="63" t="str">
        <f>IF('GBG Filtered'!V38 &lt;&gt; "", VLOOKUP(IFERROR(VLOOKUP('GBG Filtered'!V38, FormFixes, 2, false), 'GBG Filtered'!V38), PokemonIcons, 2, False), "")</f>
        <v/>
      </c>
      <c r="Z44" s="63" t="str">
        <f>IF('GBG Filtered'!Y38 &lt;&gt; "", VLOOKUP(IFERROR(VLOOKUP('GBG Filtered'!Y38, FormFixes, 2, false), 'GBG Filtered'!Y38), PokemonIcons, 2, False), "")</f>
        <v/>
      </c>
      <c r="AA44" s="63" t="str">
        <f>IF('GBG Filtered'!Z38 &lt;&gt; "", VLOOKUP('GBG Filtered'!Z38, TypeIcons, 2, False), "")</f>
        <v/>
      </c>
      <c r="AB44" s="63" t="str">
        <f>IF('GBG Filtered'!AA38 &lt;&gt; "", VLOOKUP(IFERROR(VLOOKUP('GBG Filtered'!AA38, FormFixes, 2, false), 'GBG Filtered'!AA38), PokemonIcons, 2, False), "")</f>
        <v/>
      </c>
      <c r="AC44" s="63" t="str">
        <f>IF('GBG Filtered'!AB38 &lt;&gt; "", VLOOKUP('GBG Filtered'!AB38, TypeIcons, 2, False), "")</f>
        <v/>
      </c>
      <c r="AD44" s="103" t="str">
        <f>'GBG Filtered'!AC38</f>
        <v/>
      </c>
      <c r="AE44" s="103" t="str">
        <f>'GBG Filtered'!AD38</f>
        <v/>
      </c>
      <c r="AF44" s="104" t="str">
        <f>'GBG Filtered'!AE38</f>
        <v/>
      </c>
    </row>
    <row r="45" ht="24.0" customHeight="1">
      <c r="B45" s="101" t="str">
        <f>'GBG Filtered'!A39</f>
        <v/>
      </c>
      <c r="C45" s="102" t="str">
        <f>'GBG Filtered'!B39</f>
        <v/>
      </c>
      <c r="D45" s="102" t="str">
        <f>'GBG Filtered'!C39</f>
        <v/>
      </c>
      <c r="E45" s="102" t="str">
        <f>'GBG Filtered'!D39</f>
        <v/>
      </c>
      <c r="F45" s="63" t="str">
        <f>IF('GBG Filtered'!E39 &lt;&gt; "", VLOOKUP(IFERROR(VLOOKUP('GBG Filtered'!E39, FormFixes, 2, false), 'GBG Filtered'!E39), PokemonIcons, 2, False), "")</f>
        <v/>
      </c>
      <c r="G45" s="63" t="str">
        <f>IF('GBG Filtered'!F39 &lt;&gt; "", VLOOKUP(IFERROR(VLOOKUP('GBG Filtered'!F39, FormFixes, 2, false), 'GBG Filtered'!F39), PokemonIcons, 2, False), "")</f>
        <v/>
      </c>
      <c r="H45" s="63" t="str">
        <f>IF('GBG Filtered'!G39 &lt;&gt; "", VLOOKUP(IFERROR(VLOOKUP('GBG Filtered'!G39, FormFixes, 2, false), 'GBG Filtered'!G39), PokemonIcons, 2, False), "")</f>
        <v/>
      </c>
      <c r="I45" s="63" t="str">
        <f>IF('GBG Filtered'!H39 &lt;&gt; "", VLOOKUP(IFERROR(VLOOKUP('GBG Filtered'!H39, FormFixes, 2, false), 'GBG Filtered'!H39), PokemonIcons, 2, False), "")</f>
        <v/>
      </c>
      <c r="J45" s="63" t="str">
        <f>IF('GBG Filtered'!I39 &lt;&gt; "", VLOOKUP(IFERROR(VLOOKUP('GBG Filtered'!I39, FormFixes, 2, false), 'GBG Filtered'!I39), PokemonIcons, 2, False), "")</f>
        <v/>
      </c>
      <c r="K45" s="63" t="str">
        <f>IF('GBG Filtered'!J39 &lt;&gt; "", VLOOKUP(IFERROR(VLOOKUP('GBG Filtered'!J39, FormFixes, 2, false), 'GBG Filtered'!J39), PokemonIcons, 2, False), "")</f>
        <v/>
      </c>
      <c r="O45" s="63" t="str">
        <f>IF('GBG Filtered'!N39 &lt;&gt; "", VLOOKUP(IFERROR(VLOOKUP('GBG Filtered'!N39, FormFixes, 2, false), 'GBG Filtered'!N39), PokemonIcons, 2, False), "")</f>
        <v/>
      </c>
      <c r="P45" s="63" t="str">
        <f>IF('GBG Filtered'!O39 &lt;&gt; "", VLOOKUP(IFERROR(VLOOKUP('GBG Filtered'!O39, FormFixes, 2, false), 'GBG Filtered'!O39), PokemonIcons, 2, False), "")</f>
        <v/>
      </c>
      <c r="Q45" s="63" t="str">
        <f>IF('GBG Filtered'!P39 &lt;&gt; "", VLOOKUP(IFERROR(VLOOKUP('GBG Filtered'!P39, FormFixes, 2, false), 'GBG Filtered'!P39), PokemonIcons, 2, False), "")</f>
        <v/>
      </c>
      <c r="R45" s="63" t="str">
        <f>IF('GBG Filtered'!Q39 &lt;&gt; "", VLOOKUP(IFERROR(VLOOKUP('GBG Filtered'!Q39, FormFixes, 2, false), 'GBG Filtered'!Q39), PokemonIcons, 2, False), "")</f>
        <v/>
      </c>
      <c r="T45" s="63" t="str">
        <f>IF('GBG Filtered'!S39 &lt;&gt; "", VLOOKUP(IFERROR(VLOOKUP('GBG Filtered'!S39, FormFixes, 2, false), 'GBG Filtered'!S39), PokemonIcons, 2, False), "")</f>
        <v/>
      </c>
      <c r="U45" s="63" t="str">
        <f>IF('GBG Filtered'!T39 &lt;&gt; "", VLOOKUP(IFERROR(VLOOKUP('GBG Filtered'!T39, FormFixes, 2, false), 'GBG Filtered'!T39), PokemonIcons, 2, False), "")</f>
        <v/>
      </c>
      <c r="V45" s="63" t="str">
        <f>IF('GBG Filtered'!U39 &lt;&gt; "", VLOOKUP(IFERROR(VLOOKUP('GBG Filtered'!U39, FormFixes, 2, false), 'GBG Filtered'!U39), PokemonIcons, 2, False), "")</f>
        <v/>
      </c>
      <c r="W45" s="63" t="str">
        <f>IF('GBG Filtered'!V39 &lt;&gt; "", VLOOKUP(IFERROR(VLOOKUP('GBG Filtered'!V39, FormFixes, 2, false), 'GBG Filtered'!V39), PokemonIcons, 2, False), "")</f>
        <v/>
      </c>
      <c r="Z45" s="63" t="str">
        <f>IF('GBG Filtered'!Y39 &lt;&gt; "", VLOOKUP(IFERROR(VLOOKUP('GBG Filtered'!Y39, FormFixes, 2, false), 'GBG Filtered'!Y39), PokemonIcons, 2, False), "")</f>
        <v/>
      </c>
      <c r="AA45" s="63" t="str">
        <f>IF('GBG Filtered'!Z39 &lt;&gt; "", VLOOKUP('GBG Filtered'!Z39, TypeIcons, 2, False), "")</f>
        <v/>
      </c>
      <c r="AB45" s="63" t="str">
        <f>IF('GBG Filtered'!AA39 &lt;&gt; "", VLOOKUP(IFERROR(VLOOKUP('GBG Filtered'!AA39, FormFixes, 2, false), 'GBG Filtered'!AA39), PokemonIcons, 2, False), "")</f>
        <v/>
      </c>
      <c r="AC45" s="63" t="str">
        <f>IF('GBG Filtered'!AB39 &lt;&gt; "", VLOOKUP('GBG Filtered'!AB39, TypeIcons, 2, False), "")</f>
        <v/>
      </c>
      <c r="AD45" s="103" t="str">
        <f>'GBG Filtered'!AC39</f>
        <v/>
      </c>
      <c r="AE45" s="103" t="str">
        <f>'GBG Filtered'!AD39</f>
        <v/>
      </c>
      <c r="AF45" s="104" t="str">
        <f>'GBG Filtered'!AE39</f>
        <v/>
      </c>
    </row>
    <row r="46" ht="24.0" customHeight="1">
      <c r="B46" s="101" t="str">
        <f>'GBG Filtered'!A40</f>
        <v/>
      </c>
      <c r="C46" s="102" t="str">
        <f>'GBG Filtered'!B40</f>
        <v/>
      </c>
      <c r="D46" s="102" t="str">
        <f>'GBG Filtered'!C40</f>
        <v/>
      </c>
      <c r="E46" s="102" t="str">
        <f>'GBG Filtered'!D40</f>
        <v/>
      </c>
      <c r="F46" s="63" t="str">
        <f>IF('GBG Filtered'!E40 &lt;&gt; "", VLOOKUP(IFERROR(VLOOKUP('GBG Filtered'!E40, FormFixes, 2, false), 'GBG Filtered'!E40), PokemonIcons, 2, False), "")</f>
        <v/>
      </c>
      <c r="G46" s="63" t="str">
        <f>IF('GBG Filtered'!F40 &lt;&gt; "", VLOOKUP(IFERROR(VLOOKUP('GBG Filtered'!F40, FormFixes, 2, false), 'GBG Filtered'!F40), PokemonIcons, 2, False), "")</f>
        <v/>
      </c>
      <c r="H46" s="63" t="str">
        <f>IF('GBG Filtered'!G40 &lt;&gt; "", VLOOKUP(IFERROR(VLOOKUP('GBG Filtered'!G40, FormFixes, 2, false), 'GBG Filtered'!G40), PokemonIcons, 2, False), "")</f>
        <v/>
      </c>
      <c r="I46" s="63" t="str">
        <f>IF('GBG Filtered'!H40 &lt;&gt; "", VLOOKUP(IFERROR(VLOOKUP('GBG Filtered'!H40, FormFixes, 2, false), 'GBG Filtered'!H40), PokemonIcons, 2, False), "")</f>
        <v/>
      </c>
      <c r="J46" s="63" t="str">
        <f>IF('GBG Filtered'!I40 &lt;&gt; "", VLOOKUP(IFERROR(VLOOKUP('GBG Filtered'!I40, FormFixes, 2, false), 'GBG Filtered'!I40), PokemonIcons, 2, False), "")</f>
        <v/>
      </c>
      <c r="K46" s="63" t="str">
        <f>IF('GBG Filtered'!J40 &lt;&gt; "", VLOOKUP(IFERROR(VLOOKUP('GBG Filtered'!J40, FormFixes, 2, false), 'GBG Filtered'!J40), PokemonIcons, 2, False), "")</f>
        <v/>
      </c>
      <c r="O46" s="63" t="str">
        <f>IF('GBG Filtered'!N40 &lt;&gt; "", VLOOKUP(IFERROR(VLOOKUP('GBG Filtered'!N40, FormFixes, 2, false), 'GBG Filtered'!N40), PokemonIcons, 2, False), "")</f>
        <v/>
      </c>
      <c r="P46" s="63" t="str">
        <f>IF('GBG Filtered'!O40 &lt;&gt; "", VLOOKUP(IFERROR(VLOOKUP('GBG Filtered'!O40, FormFixes, 2, false), 'GBG Filtered'!O40), PokemonIcons, 2, False), "")</f>
        <v/>
      </c>
      <c r="Q46" s="63" t="str">
        <f>IF('GBG Filtered'!P40 &lt;&gt; "", VLOOKUP(IFERROR(VLOOKUP('GBG Filtered'!P40, FormFixes, 2, false), 'GBG Filtered'!P40), PokemonIcons, 2, False), "")</f>
        <v/>
      </c>
      <c r="R46" s="63" t="str">
        <f>IF('GBG Filtered'!Q40 &lt;&gt; "", VLOOKUP(IFERROR(VLOOKUP('GBG Filtered'!Q40, FormFixes, 2, false), 'GBG Filtered'!Q40), PokemonIcons, 2, False), "")</f>
        <v/>
      </c>
      <c r="T46" s="63" t="str">
        <f>IF('GBG Filtered'!S40 &lt;&gt; "", VLOOKUP(IFERROR(VLOOKUP('GBG Filtered'!S40, FormFixes, 2, false), 'GBG Filtered'!S40), PokemonIcons, 2, False), "")</f>
        <v/>
      </c>
      <c r="U46" s="63" t="str">
        <f>IF('GBG Filtered'!T40 &lt;&gt; "", VLOOKUP(IFERROR(VLOOKUP('GBG Filtered'!T40, FormFixes, 2, false), 'GBG Filtered'!T40), PokemonIcons, 2, False), "")</f>
        <v/>
      </c>
      <c r="V46" s="63" t="str">
        <f>IF('GBG Filtered'!U40 &lt;&gt; "", VLOOKUP(IFERROR(VLOOKUP('GBG Filtered'!U40, FormFixes, 2, false), 'GBG Filtered'!U40), PokemonIcons, 2, False), "")</f>
        <v/>
      </c>
      <c r="W46" s="63" t="str">
        <f>IF('GBG Filtered'!V40 &lt;&gt; "", VLOOKUP(IFERROR(VLOOKUP('GBG Filtered'!V40, FormFixes, 2, false), 'GBG Filtered'!V40), PokemonIcons, 2, False), "")</f>
        <v/>
      </c>
      <c r="Z46" s="63" t="str">
        <f>IF('GBG Filtered'!Y40 &lt;&gt; "", VLOOKUP(IFERROR(VLOOKUP('GBG Filtered'!Y40, FormFixes, 2, false), 'GBG Filtered'!Y40), PokemonIcons, 2, False), "")</f>
        <v/>
      </c>
      <c r="AA46" s="63" t="str">
        <f>IF('GBG Filtered'!Z40 &lt;&gt; "", VLOOKUP('GBG Filtered'!Z40, TypeIcons, 2, False), "")</f>
        <v/>
      </c>
      <c r="AB46" s="63" t="str">
        <f>IF('GBG Filtered'!AA40 &lt;&gt; "", VLOOKUP(IFERROR(VLOOKUP('GBG Filtered'!AA40, FormFixes, 2, false), 'GBG Filtered'!AA40), PokemonIcons, 2, False), "")</f>
        <v/>
      </c>
      <c r="AC46" s="63" t="str">
        <f>IF('GBG Filtered'!AB40 &lt;&gt; "", VLOOKUP('GBG Filtered'!AB40, TypeIcons, 2, False), "")</f>
        <v/>
      </c>
      <c r="AD46" s="103" t="str">
        <f>'GBG Filtered'!AC40</f>
        <v/>
      </c>
      <c r="AE46" s="103" t="str">
        <f>'GBG Filtered'!AD40</f>
        <v/>
      </c>
      <c r="AF46" s="104" t="str">
        <f>'GBG Filtered'!AE40</f>
        <v/>
      </c>
    </row>
    <row r="47" ht="24.0" customHeight="1">
      <c r="B47" s="101" t="str">
        <f>'GBG Filtered'!A41</f>
        <v/>
      </c>
      <c r="C47" s="102" t="str">
        <f>'GBG Filtered'!B41</f>
        <v/>
      </c>
      <c r="D47" s="102" t="str">
        <f>'GBG Filtered'!C41</f>
        <v/>
      </c>
      <c r="E47" s="102" t="str">
        <f>'GBG Filtered'!D41</f>
        <v/>
      </c>
      <c r="F47" s="63" t="str">
        <f>IF('GBG Filtered'!E41 &lt;&gt; "", VLOOKUP(IFERROR(VLOOKUP('GBG Filtered'!E41, FormFixes, 2, false), 'GBG Filtered'!E41), PokemonIcons, 2, False), "")</f>
        <v/>
      </c>
      <c r="G47" s="63" t="str">
        <f>IF('GBG Filtered'!F41 &lt;&gt; "", VLOOKUP(IFERROR(VLOOKUP('GBG Filtered'!F41, FormFixes, 2, false), 'GBG Filtered'!F41), PokemonIcons, 2, False), "")</f>
        <v/>
      </c>
      <c r="H47" s="63" t="str">
        <f>IF('GBG Filtered'!G41 &lt;&gt; "", VLOOKUP(IFERROR(VLOOKUP('GBG Filtered'!G41, FormFixes, 2, false), 'GBG Filtered'!G41), PokemonIcons, 2, False), "")</f>
        <v/>
      </c>
      <c r="I47" s="63" t="str">
        <f>IF('GBG Filtered'!H41 &lt;&gt; "", VLOOKUP(IFERROR(VLOOKUP('GBG Filtered'!H41, FormFixes, 2, false), 'GBG Filtered'!H41), PokemonIcons, 2, False), "")</f>
        <v/>
      </c>
      <c r="J47" s="63" t="str">
        <f>IF('GBG Filtered'!I41 &lt;&gt; "", VLOOKUP(IFERROR(VLOOKUP('GBG Filtered'!I41, FormFixes, 2, false), 'GBG Filtered'!I41), PokemonIcons, 2, False), "")</f>
        <v/>
      </c>
      <c r="K47" s="63" t="str">
        <f>IF('GBG Filtered'!J41 &lt;&gt; "", VLOOKUP(IFERROR(VLOOKUP('GBG Filtered'!J41, FormFixes, 2, false), 'GBG Filtered'!J41), PokemonIcons, 2, False), "")</f>
        <v/>
      </c>
      <c r="O47" s="63" t="str">
        <f>IF('GBG Filtered'!N41 &lt;&gt; "", VLOOKUP(IFERROR(VLOOKUP('GBG Filtered'!N41, FormFixes, 2, false), 'GBG Filtered'!N41), PokemonIcons, 2, False), "")</f>
        <v/>
      </c>
      <c r="P47" s="63" t="str">
        <f>IF('GBG Filtered'!O41 &lt;&gt; "", VLOOKUP(IFERROR(VLOOKUP('GBG Filtered'!O41, FormFixes, 2, false), 'GBG Filtered'!O41), PokemonIcons, 2, False), "")</f>
        <v/>
      </c>
      <c r="Q47" s="63" t="str">
        <f>IF('GBG Filtered'!P41 &lt;&gt; "", VLOOKUP(IFERROR(VLOOKUP('GBG Filtered'!P41, FormFixes, 2, false), 'GBG Filtered'!P41), PokemonIcons, 2, False), "")</f>
        <v/>
      </c>
      <c r="R47" s="63" t="str">
        <f>IF('GBG Filtered'!Q41 &lt;&gt; "", VLOOKUP(IFERROR(VLOOKUP('GBG Filtered'!Q41, FormFixes, 2, false), 'GBG Filtered'!Q41), PokemonIcons, 2, False), "")</f>
        <v/>
      </c>
      <c r="T47" s="63" t="str">
        <f>IF('GBG Filtered'!S41 &lt;&gt; "", VLOOKUP(IFERROR(VLOOKUP('GBG Filtered'!S41, FormFixes, 2, false), 'GBG Filtered'!S41), PokemonIcons, 2, False), "")</f>
        <v/>
      </c>
      <c r="U47" s="63" t="str">
        <f>IF('GBG Filtered'!T41 &lt;&gt; "", VLOOKUP(IFERROR(VLOOKUP('GBG Filtered'!T41, FormFixes, 2, false), 'GBG Filtered'!T41), PokemonIcons, 2, False), "")</f>
        <v/>
      </c>
      <c r="V47" s="63" t="str">
        <f>IF('GBG Filtered'!U41 &lt;&gt; "", VLOOKUP(IFERROR(VLOOKUP('GBG Filtered'!U41, FormFixes, 2, false), 'GBG Filtered'!U41), PokemonIcons, 2, False), "")</f>
        <v/>
      </c>
      <c r="W47" s="63" t="str">
        <f>IF('GBG Filtered'!V41 &lt;&gt; "", VLOOKUP(IFERROR(VLOOKUP('GBG Filtered'!V41, FormFixes, 2, false), 'GBG Filtered'!V41), PokemonIcons, 2, False), "")</f>
        <v/>
      </c>
      <c r="Z47" s="63" t="str">
        <f>IF('GBG Filtered'!Y41 &lt;&gt; "", VLOOKUP(IFERROR(VLOOKUP('GBG Filtered'!Y41, FormFixes, 2, false), 'GBG Filtered'!Y41), PokemonIcons, 2, False), "")</f>
        <v/>
      </c>
      <c r="AA47" s="63" t="str">
        <f>IF('GBG Filtered'!Z41 &lt;&gt; "", VLOOKUP('GBG Filtered'!Z41, TypeIcons, 2, False), "")</f>
        <v/>
      </c>
      <c r="AB47" s="63" t="str">
        <f>IF('GBG Filtered'!AA41 &lt;&gt; "", VLOOKUP(IFERROR(VLOOKUP('GBG Filtered'!AA41, FormFixes, 2, false), 'GBG Filtered'!AA41), PokemonIcons, 2, False), "")</f>
        <v/>
      </c>
      <c r="AC47" s="63" t="str">
        <f>IF('GBG Filtered'!AB41 &lt;&gt; "", VLOOKUP('GBG Filtered'!AB41, TypeIcons, 2, False), "")</f>
        <v/>
      </c>
      <c r="AD47" s="103" t="str">
        <f>'GBG Filtered'!AC41</f>
        <v/>
      </c>
      <c r="AE47" s="103" t="str">
        <f>'GBG Filtered'!AD41</f>
        <v/>
      </c>
      <c r="AF47" s="104" t="str">
        <f>'GBG Filtered'!AE41</f>
        <v/>
      </c>
    </row>
    <row r="48" ht="24.0" customHeight="1">
      <c r="B48" s="101" t="str">
        <f>'GBG Filtered'!A42</f>
        <v/>
      </c>
      <c r="C48" s="102" t="str">
        <f>'GBG Filtered'!B42</f>
        <v/>
      </c>
      <c r="D48" s="102" t="str">
        <f>'GBG Filtered'!C42</f>
        <v/>
      </c>
      <c r="E48" s="102" t="str">
        <f>'GBG Filtered'!D42</f>
        <v/>
      </c>
      <c r="F48" s="63" t="str">
        <f>IF('GBG Filtered'!E42 &lt;&gt; "", VLOOKUP(IFERROR(VLOOKUP('GBG Filtered'!E42, FormFixes, 2, false), 'GBG Filtered'!E42), PokemonIcons, 2, False), "")</f>
        <v/>
      </c>
      <c r="G48" s="63" t="str">
        <f>IF('GBG Filtered'!F42 &lt;&gt; "", VLOOKUP(IFERROR(VLOOKUP('GBG Filtered'!F42, FormFixes, 2, false), 'GBG Filtered'!F42), PokemonIcons, 2, False), "")</f>
        <v/>
      </c>
      <c r="H48" s="63" t="str">
        <f>IF('GBG Filtered'!G42 &lt;&gt; "", VLOOKUP(IFERROR(VLOOKUP('GBG Filtered'!G42, FormFixes, 2, false), 'GBG Filtered'!G42), PokemonIcons, 2, False), "")</f>
        <v/>
      </c>
      <c r="I48" s="63" t="str">
        <f>IF('GBG Filtered'!H42 &lt;&gt; "", VLOOKUP(IFERROR(VLOOKUP('GBG Filtered'!H42, FormFixes, 2, false), 'GBG Filtered'!H42), PokemonIcons, 2, False), "")</f>
        <v/>
      </c>
      <c r="J48" s="63" t="str">
        <f>IF('GBG Filtered'!I42 &lt;&gt; "", VLOOKUP(IFERROR(VLOOKUP('GBG Filtered'!I42, FormFixes, 2, false), 'GBG Filtered'!I42), PokemonIcons, 2, False), "")</f>
        <v/>
      </c>
      <c r="K48" s="63" t="str">
        <f>IF('GBG Filtered'!J42 &lt;&gt; "", VLOOKUP(IFERROR(VLOOKUP('GBG Filtered'!J42, FormFixes, 2, false), 'GBG Filtered'!J42), PokemonIcons, 2, False), "")</f>
        <v/>
      </c>
      <c r="O48" s="63" t="str">
        <f>IF('GBG Filtered'!N42 &lt;&gt; "", VLOOKUP(IFERROR(VLOOKUP('GBG Filtered'!N42, FormFixes, 2, false), 'GBG Filtered'!N42), PokemonIcons, 2, False), "")</f>
        <v/>
      </c>
      <c r="P48" s="63" t="str">
        <f>IF('GBG Filtered'!O42 &lt;&gt; "", VLOOKUP(IFERROR(VLOOKUP('GBG Filtered'!O42, FormFixes, 2, false), 'GBG Filtered'!O42), PokemonIcons, 2, False), "")</f>
        <v/>
      </c>
      <c r="Q48" s="63" t="str">
        <f>IF('GBG Filtered'!P42 &lt;&gt; "", VLOOKUP(IFERROR(VLOOKUP('GBG Filtered'!P42, FormFixes, 2, false), 'GBG Filtered'!P42), PokemonIcons, 2, False), "")</f>
        <v/>
      </c>
      <c r="R48" s="63" t="str">
        <f>IF('GBG Filtered'!Q42 &lt;&gt; "", VLOOKUP(IFERROR(VLOOKUP('GBG Filtered'!Q42, FormFixes, 2, false), 'GBG Filtered'!Q42), PokemonIcons, 2, False), "")</f>
        <v/>
      </c>
      <c r="T48" s="63" t="str">
        <f>IF('GBG Filtered'!S42 &lt;&gt; "", VLOOKUP(IFERROR(VLOOKUP('GBG Filtered'!S42, FormFixes, 2, false), 'GBG Filtered'!S42), PokemonIcons, 2, False), "")</f>
        <v/>
      </c>
      <c r="U48" s="63" t="str">
        <f>IF('GBG Filtered'!T42 &lt;&gt; "", VLOOKUP(IFERROR(VLOOKUP('GBG Filtered'!T42, FormFixes, 2, false), 'GBG Filtered'!T42), PokemonIcons, 2, False), "")</f>
        <v/>
      </c>
      <c r="V48" s="63" t="str">
        <f>IF('GBG Filtered'!U42 &lt;&gt; "", VLOOKUP(IFERROR(VLOOKUP('GBG Filtered'!U42, FormFixes, 2, false), 'GBG Filtered'!U42), PokemonIcons, 2, False), "")</f>
        <v/>
      </c>
      <c r="W48" s="63" t="str">
        <f>IF('GBG Filtered'!V42 &lt;&gt; "", VLOOKUP(IFERROR(VLOOKUP('GBG Filtered'!V42, FormFixes, 2, false), 'GBG Filtered'!V42), PokemonIcons, 2, False), "")</f>
        <v/>
      </c>
      <c r="Z48" s="63" t="str">
        <f>IF('GBG Filtered'!Y42 &lt;&gt; "", VLOOKUP(IFERROR(VLOOKUP('GBG Filtered'!Y42, FormFixes, 2, false), 'GBG Filtered'!Y42), PokemonIcons, 2, False), "")</f>
        <v/>
      </c>
      <c r="AA48" s="63" t="str">
        <f>IF('GBG Filtered'!Z42 &lt;&gt; "", VLOOKUP('GBG Filtered'!Z42, TypeIcons, 2, False), "")</f>
        <v/>
      </c>
      <c r="AB48" s="63" t="str">
        <f>IF('GBG Filtered'!AA42 &lt;&gt; "", VLOOKUP(IFERROR(VLOOKUP('GBG Filtered'!AA42, FormFixes, 2, false), 'GBG Filtered'!AA42), PokemonIcons, 2, False), "")</f>
        <v/>
      </c>
      <c r="AC48" s="63" t="str">
        <f>IF('GBG Filtered'!AB42 &lt;&gt; "", VLOOKUP('GBG Filtered'!AB42, TypeIcons, 2, False), "")</f>
        <v/>
      </c>
      <c r="AD48" s="103" t="str">
        <f>'GBG Filtered'!AC42</f>
        <v/>
      </c>
      <c r="AE48" s="103" t="str">
        <f>'GBG Filtered'!AD42</f>
        <v/>
      </c>
      <c r="AF48" s="104" t="str">
        <f>'GBG Filtered'!AE42</f>
        <v/>
      </c>
    </row>
    <row r="49" ht="24.0" customHeight="1">
      <c r="B49" s="101" t="str">
        <f>'GBG Filtered'!A43</f>
        <v/>
      </c>
      <c r="C49" s="102" t="str">
        <f>'GBG Filtered'!B43</f>
        <v/>
      </c>
      <c r="D49" s="102" t="str">
        <f>'GBG Filtered'!C43</f>
        <v/>
      </c>
      <c r="E49" s="102" t="str">
        <f>'GBG Filtered'!D43</f>
        <v/>
      </c>
      <c r="F49" s="63" t="str">
        <f>IF('GBG Filtered'!E43 &lt;&gt; "", VLOOKUP(IFERROR(VLOOKUP('GBG Filtered'!E43, FormFixes, 2, false), 'GBG Filtered'!E43), PokemonIcons, 2, False), "")</f>
        <v/>
      </c>
      <c r="G49" s="63" t="str">
        <f>IF('GBG Filtered'!F43 &lt;&gt; "", VLOOKUP(IFERROR(VLOOKUP('GBG Filtered'!F43, FormFixes, 2, false), 'GBG Filtered'!F43), PokemonIcons, 2, False), "")</f>
        <v/>
      </c>
      <c r="H49" s="63" t="str">
        <f>IF('GBG Filtered'!G43 &lt;&gt; "", VLOOKUP(IFERROR(VLOOKUP('GBG Filtered'!G43, FormFixes, 2, false), 'GBG Filtered'!G43), PokemonIcons, 2, False), "")</f>
        <v/>
      </c>
      <c r="I49" s="63" t="str">
        <f>IF('GBG Filtered'!H43 &lt;&gt; "", VLOOKUP(IFERROR(VLOOKUP('GBG Filtered'!H43, FormFixes, 2, false), 'GBG Filtered'!H43), PokemonIcons, 2, False), "")</f>
        <v/>
      </c>
      <c r="J49" s="63" t="str">
        <f>IF('GBG Filtered'!I43 &lt;&gt; "", VLOOKUP(IFERROR(VLOOKUP('GBG Filtered'!I43, FormFixes, 2, false), 'GBG Filtered'!I43), PokemonIcons, 2, False), "")</f>
        <v/>
      </c>
      <c r="K49" s="63" t="str">
        <f>IF('GBG Filtered'!J43 &lt;&gt; "", VLOOKUP(IFERROR(VLOOKUP('GBG Filtered'!J43, FormFixes, 2, false), 'GBG Filtered'!J43), PokemonIcons, 2, False), "")</f>
        <v/>
      </c>
      <c r="O49" s="63" t="str">
        <f>IF('GBG Filtered'!N43 &lt;&gt; "", VLOOKUP(IFERROR(VLOOKUP('GBG Filtered'!N43, FormFixes, 2, false), 'GBG Filtered'!N43), PokemonIcons, 2, False), "")</f>
        <v/>
      </c>
      <c r="P49" s="63" t="str">
        <f>IF('GBG Filtered'!O43 &lt;&gt; "", VLOOKUP(IFERROR(VLOOKUP('GBG Filtered'!O43, FormFixes, 2, false), 'GBG Filtered'!O43), PokemonIcons, 2, False), "")</f>
        <v/>
      </c>
      <c r="Q49" s="63" t="str">
        <f>IF('GBG Filtered'!P43 &lt;&gt; "", VLOOKUP(IFERROR(VLOOKUP('GBG Filtered'!P43, FormFixes, 2, false), 'GBG Filtered'!P43), PokemonIcons, 2, False), "")</f>
        <v/>
      </c>
      <c r="R49" s="63" t="str">
        <f>IF('GBG Filtered'!Q43 &lt;&gt; "", VLOOKUP(IFERROR(VLOOKUP('GBG Filtered'!Q43, FormFixes, 2, false), 'GBG Filtered'!Q43), PokemonIcons, 2, False), "")</f>
        <v/>
      </c>
      <c r="T49" s="63" t="str">
        <f>IF('GBG Filtered'!S43 &lt;&gt; "", VLOOKUP(IFERROR(VLOOKUP('GBG Filtered'!S43, FormFixes, 2, false), 'GBG Filtered'!S43), PokemonIcons, 2, False), "")</f>
        <v/>
      </c>
      <c r="U49" s="63" t="str">
        <f>IF('GBG Filtered'!T43 &lt;&gt; "", VLOOKUP(IFERROR(VLOOKUP('GBG Filtered'!T43, FormFixes, 2, false), 'GBG Filtered'!T43), PokemonIcons, 2, False), "")</f>
        <v/>
      </c>
      <c r="V49" s="63" t="str">
        <f>IF('GBG Filtered'!U43 &lt;&gt; "", VLOOKUP(IFERROR(VLOOKUP('GBG Filtered'!U43, FormFixes, 2, false), 'GBG Filtered'!U43), PokemonIcons, 2, False), "")</f>
        <v/>
      </c>
      <c r="W49" s="63" t="str">
        <f>IF('GBG Filtered'!V43 &lt;&gt; "", VLOOKUP(IFERROR(VLOOKUP('GBG Filtered'!V43, FormFixes, 2, false), 'GBG Filtered'!V43), PokemonIcons, 2, False), "")</f>
        <v/>
      </c>
      <c r="Z49" s="63" t="str">
        <f>IF('GBG Filtered'!Y43 &lt;&gt; "", VLOOKUP(IFERROR(VLOOKUP('GBG Filtered'!Y43, FormFixes, 2, false), 'GBG Filtered'!Y43), PokemonIcons, 2, False), "")</f>
        <v/>
      </c>
      <c r="AA49" s="63" t="str">
        <f>IF('GBG Filtered'!Z43 &lt;&gt; "", VLOOKUP('GBG Filtered'!Z43, TypeIcons, 2, False), "")</f>
        <v/>
      </c>
      <c r="AB49" s="63" t="str">
        <f>IF('GBG Filtered'!AA43 &lt;&gt; "", VLOOKUP(IFERROR(VLOOKUP('GBG Filtered'!AA43, FormFixes, 2, false), 'GBG Filtered'!AA43), PokemonIcons, 2, False), "")</f>
        <v/>
      </c>
      <c r="AC49" s="63" t="str">
        <f>IF('GBG Filtered'!AB43 &lt;&gt; "", VLOOKUP('GBG Filtered'!AB43, TypeIcons, 2, False), "")</f>
        <v/>
      </c>
      <c r="AD49" s="103" t="str">
        <f>'GBG Filtered'!AC43</f>
        <v/>
      </c>
      <c r="AE49" s="103" t="str">
        <f>'GBG Filtered'!AD43</f>
        <v/>
      </c>
      <c r="AF49" s="104" t="str">
        <f>'GBG Filtered'!AE43</f>
        <v/>
      </c>
    </row>
    <row r="50" ht="24.0" customHeight="1">
      <c r="B50" s="101" t="str">
        <f>'GBG Filtered'!A44</f>
        <v/>
      </c>
      <c r="C50" s="102" t="str">
        <f>'GBG Filtered'!B44</f>
        <v/>
      </c>
      <c r="D50" s="102" t="str">
        <f>'GBG Filtered'!C44</f>
        <v/>
      </c>
      <c r="E50" s="102" t="str">
        <f>'GBG Filtered'!D44</f>
        <v/>
      </c>
      <c r="F50" s="63" t="str">
        <f>IF('GBG Filtered'!E44 &lt;&gt; "", VLOOKUP(IFERROR(VLOOKUP('GBG Filtered'!E44, FormFixes, 2, false), 'GBG Filtered'!E44), PokemonIcons, 2, False), "")</f>
        <v/>
      </c>
      <c r="G50" s="63" t="str">
        <f>IF('GBG Filtered'!F44 &lt;&gt; "", VLOOKUP(IFERROR(VLOOKUP('GBG Filtered'!F44, FormFixes, 2, false), 'GBG Filtered'!F44), PokemonIcons, 2, False), "")</f>
        <v/>
      </c>
      <c r="H50" s="63" t="str">
        <f>IF('GBG Filtered'!G44 &lt;&gt; "", VLOOKUP(IFERROR(VLOOKUP('GBG Filtered'!G44, FormFixes, 2, false), 'GBG Filtered'!G44), PokemonIcons, 2, False), "")</f>
        <v/>
      </c>
      <c r="I50" s="63" t="str">
        <f>IF('GBG Filtered'!H44 &lt;&gt; "", VLOOKUP(IFERROR(VLOOKUP('GBG Filtered'!H44, FormFixes, 2, false), 'GBG Filtered'!H44), PokemonIcons, 2, False), "")</f>
        <v/>
      </c>
      <c r="J50" s="63" t="str">
        <f>IF('GBG Filtered'!I44 &lt;&gt; "", VLOOKUP(IFERROR(VLOOKUP('GBG Filtered'!I44, FormFixes, 2, false), 'GBG Filtered'!I44), PokemonIcons, 2, False), "")</f>
        <v/>
      </c>
      <c r="K50" s="63" t="str">
        <f>IF('GBG Filtered'!J44 &lt;&gt; "", VLOOKUP(IFERROR(VLOOKUP('GBG Filtered'!J44, FormFixes, 2, false), 'GBG Filtered'!J44), PokemonIcons, 2, False), "")</f>
        <v/>
      </c>
      <c r="O50" s="63" t="str">
        <f>IF('GBG Filtered'!N44 &lt;&gt; "", VLOOKUP(IFERROR(VLOOKUP('GBG Filtered'!N44, FormFixes, 2, false), 'GBG Filtered'!N44), PokemonIcons, 2, False), "")</f>
        <v/>
      </c>
      <c r="P50" s="63" t="str">
        <f>IF('GBG Filtered'!O44 &lt;&gt; "", VLOOKUP(IFERROR(VLOOKUP('GBG Filtered'!O44, FormFixes, 2, false), 'GBG Filtered'!O44), PokemonIcons, 2, False), "")</f>
        <v/>
      </c>
      <c r="Q50" s="63" t="str">
        <f>IF('GBG Filtered'!P44 &lt;&gt; "", VLOOKUP(IFERROR(VLOOKUP('GBG Filtered'!P44, FormFixes, 2, false), 'GBG Filtered'!P44), PokemonIcons, 2, False), "")</f>
        <v/>
      </c>
      <c r="R50" s="63" t="str">
        <f>IF('GBG Filtered'!Q44 &lt;&gt; "", VLOOKUP(IFERROR(VLOOKUP('GBG Filtered'!Q44, FormFixes, 2, false), 'GBG Filtered'!Q44), PokemonIcons, 2, False), "")</f>
        <v/>
      </c>
      <c r="T50" s="63" t="str">
        <f>IF('GBG Filtered'!S44 &lt;&gt; "", VLOOKUP(IFERROR(VLOOKUP('GBG Filtered'!S44, FormFixes, 2, false), 'GBG Filtered'!S44), PokemonIcons, 2, False), "")</f>
        <v/>
      </c>
      <c r="U50" s="63" t="str">
        <f>IF('GBG Filtered'!T44 &lt;&gt; "", VLOOKUP(IFERROR(VLOOKUP('GBG Filtered'!T44, FormFixes, 2, false), 'GBG Filtered'!T44), PokemonIcons, 2, False), "")</f>
        <v/>
      </c>
      <c r="V50" s="63" t="str">
        <f>IF('GBG Filtered'!U44 &lt;&gt; "", VLOOKUP(IFERROR(VLOOKUP('GBG Filtered'!U44, FormFixes, 2, false), 'GBG Filtered'!U44), PokemonIcons, 2, False), "")</f>
        <v/>
      </c>
      <c r="W50" s="63" t="str">
        <f>IF('GBG Filtered'!V44 &lt;&gt; "", VLOOKUP(IFERROR(VLOOKUP('GBG Filtered'!V44, FormFixes, 2, false), 'GBG Filtered'!V44), PokemonIcons, 2, False), "")</f>
        <v/>
      </c>
      <c r="Z50" s="63" t="str">
        <f>IF('GBG Filtered'!Y44 &lt;&gt; "", VLOOKUP(IFERROR(VLOOKUP('GBG Filtered'!Y44, FormFixes, 2, false), 'GBG Filtered'!Y44), PokemonIcons, 2, False), "")</f>
        <v/>
      </c>
      <c r="AA50" s="63" t="str">
        <f>IF('GBG Filtered'!Z44 &lt;&gt; "", VLOOKUP('GBG Filtered'!Z44, TypeIcons, 2, False), "")</f>
        <v/>
      </c>
      <c r="AB50" s="63" t="str">
        <f>IF('GBG Filtered'!AA44 &lt;&gt; "", VLOOKUP(IFERROR(VLOOKUP('GBG Filtered'!AA44, FormFixes, 2, false), 'GBG Filtered'!AA44), PokemonIcons, 2, False), "")</f>
        <v/>
      </c>
      <c r="AC50" s="63" t="str">
        <f>IF('GBG Filtered'!AB44 &lt;&gt; "", VLOOKUP('GBG Filtered'!AB44, TypeIcons, 2, False), "")</f>
        <v/>
      </c>
      <c r="AD50" s="103" t="str">
        <f>'GBG Filtered'!AC44</f>
        <v/>
      </c>
      <c r="AE50" s="103" t="str">
        <f>'GBG Filtered'!AD44</f>
        <v/>
      </c>
      <c r="AF50" s="104" t="str">
        <f>'GBG Filtered'!AE44</f>
        <v/>
      </c>
    </row>
    <row r="51" ht="24.0" customHeight="1">
      <c r="B51" s="101" t="str">
        <f>'GBG Filtered'!A45</f>
        <v/>
      </c>
      <c r="C51" s="102" t="str">
        <f>'GBG Filtered'!B45</f>
        <v/>
      </c>
      <c r="D51" s="102" t="str">
        <f>'GBG Filtered'!C45</f>
        <v/>
      </c>
      <c r="E51" s="102" t="str">
        <f>'GBG Filtered'!D45</f>
        <v/>
      </c>
      <c r="F51" s="63" t="str">
        <f>IF('GBG Filtered'!E45 &lt;&gt; "", VLOOKUP(IFERROR(VLOOKUP('GBG Filtered'!E45, FormFixes, 2, false), 'GBG Filtered'!E45), PokemonIcons, 2, False), "")</f>
        <v/>
      </c>
      <c r="G51" s="63" t="str">
        <f>IF('GBG Filtered'!F45 &lt;&gt; "", VLOOKUP(IFERROR(VLOOKUP('GBG Filtered'!F45, FormFixes, 2, false), 'GBG Filtered'!F45), PokemonIcons, 2, False), "")</f>
        <v/>
      </c>
      <c r="H51" s="63" t="str">
        <f>IF('GBG Filtered'!G45 &lt;&gt; "", VLOOKUP(IFERROR(VLOOKUP('GBG Filtered'!G45, FormFixes, 2, false), 'GBG Filtered'!G45), PokemonIcons, 2, False), "")</f>
        <v/>
      </c>
      <c r="I51" s="63" t="str">
        <f>IF('GBG Filtered'!H45 &lt;&gt; "", VLOOKUP(IFERROR(VLOOKUP('GBG Filtered'!H45, FormFixes, 2, false), 'GBG Filtered'!H45), PokemonIcons, 2, False), "")</f>
        <v/>
      </c>
      <c r="J51" s="63" t="str">
        <f>IF('GBG Filtered'!I45 &lt;&gt; "", VLOOKUP(IFERROR(VLOOKUP('GBG Filtered'!I45, FormFixes, 2, false), 'GBG Filtered'!I45), PokemonIcons, 2, False), "")</f>
        <v/>
      </c>
      <c r="K51" s="63" t="str">
        <f>IF('GBG Filtered'!J45 &lt;&gt; "", VLOOKUP(IFERROR(VLOOKUP('GBG Filtered'!J45, FormFixes, 2, false), 'GBG Filtered'!J45), PokemonIcons, 2, False), "")</f>
        <v/>
      </c>
      <c r="O51" s="63" t="str">
        <f>IF('GBG Filtered'!N45 &lt;&gt; "", VLOOKUP(IFERROR(VLOOKUP('GBG Filtered'!N45, FormFixes, 2, false), 'GBG Filtered'!N45), PokemonIcons, 2, False), "")</f>
        <v/>
      </c>
      <c r="P51" s="63" t="str">
        <f>IF('GBG Filtered'!O45 &lt;&gt; "", VLOOKUP(IFERROR(VLOOKUP('GBG Filtered'!O45, FormFixes, 2, false), 'GBG Filtered'!O45), PokemonIcons, 2, False), "")</f>
        <v/>
      </c>
      <c r="Q51" s="63" t="str">
        <f>IF('GBG Filtered'!P45 &lt;&gt; "", VLOOKUP(IFERROR(VLOOKUP('GBG Filtered'!P45, FormFixes, 2, false), 'GBG Filtered'!P45), PokemonIcons, 2, False), "")</f>
        <v/>
      </c>
      <c r="R51" s="63" t="str">
        <f>IF('GBG Filtered'!Q45 &lt;&gt; "", VLOOKUP(IFERROR(VLOOKUP('GBG Filtered'!Q45, FormFixes, 2, false), 'GBG Filtered'!Q45), PokemonIcons, 2, False), "")</f>
        <v/>
      </c>
      <c r="T51" s="63" t="str">
        <f>IF('GBG Filtered'!S45 &lt;&gt; "", VLOOKUP(IFERROR(VLOOKUP('GBG Filtered'!S45, FormFixes, 2, false), 'GBG Filtered'!S45), PokemonIcons, 2, False), "")</f>
        <v/>
      </c>
      <c r="U51" s="63" t="str">
        <f>IF('GBG Filtered'!T45 &lt;&gt; "", VLOOKUP(IFERROR(VLOOKUP('GBG Filtered'!T45, FormFixes, 2, false), 'GBG Filtered'!T45), PokemonIcons, 2, False), "")</f>
        <v/>
      </c>
      <c r="V51" s="63" t="str">
        <f>IF('GBG Filtered'!U45 &lt;&gt; "", VLOOKUP(IFERROR(VLOOKUP('GBG Filtered'!U45, FormFixes, 2, false), 'GBG Filtered'!U45), PokemonIcons, 2, False), "")</f>
        <v/>
      </c>
      <c r="W51" s="63" t="str">
        <f>IF('GBG Filtered'!V45 &lt;&gt; "", VLOOKUP(IFERROR(VLOOKUP('GBG Filtered'!V45, FormFixes, 2, false), 'GBG Filtered'!V45), PokemonIcons, 2, False), "")</f>
        <v/>
      </c>
      <c r="Z51" s="63" t="str">
        <f>IF('GBG Filtered'!Y45 &lt;&gt; "", VLOOKUP(IFERROR(VLOOKUP('GBG Filtered'!Y45, FormFixes, 2, false), 'GBG Filtered'!Y45), PokemonIcons, 2, False), "")</f>
        <v/>
      </c>
      <c r="AA51" s="63" t="str">
        <f>IF('GBG Filtered'!Z45 &lt;&gt; "", VLOOKUP('GBG Filtered'!Z45, TypeIcons, 2, False), "")</f>
        <v/>
      </c>
      <c r="AB51" s="63" t="str">
        <f>IF('GBG Filtered'!AA45 &lt;&gt; "", VLOOKUP(IFERROR(VLOOKUP('GBG Filtered'!AA45, FormFixes, 2, false), 'GBG Filtered'!AA45), PokemonIcons, 2, False), "")</f>
        <v/>
      </c>
      <c r="AC51" s="63" t="str">
        <f>IF('GBG Filtered'!AB45 &lt;&gt; "", VLOOKUP('GBG Filtered'!AB45, TypeIcons, 2, False), "")</f>
        <v/>
      </c>
      <c r="AD51" s="103" t="str">
        <f>'GBG Filtered'!AC45</f>
        <v/>
      </c>
      <c r="AE51" s="103" t="str">
        <f>'GBG Filtered'!AD45</f>
        <v/>
      </c>
      <c r="AF51" s="104" t="str">
        <f>'GBG Filtered'!AE45</f>
        <v/>
      </c>
    </row>
    <row r="52" ht="24.0" customHeight="1">
      <c r="B52" s="101" t="str">
        <f>'GBG Filtered'!A46</f>
        <v/>
      </c>
      <c r="C52" s="102" t="str">
        <f>'GBG Filtered'!B46</f>
        <v/>
      </c>
      <c r="D52" s="102" t="str">
        <f>'GBG Filtered'!C46</f>
        <v/>
      </c>
      <c r="E52" s="102" t="str">
        <f>'GBG Filtered'!D46</f>
        <v/>
      </c>
      <c r="F52" s="63" t="str">
        <f>IF('GBG Filtered'!E46 &lt;&gt; "", VLOOKUP(IFERROR(VLOOKUP('GBG Filtered'!E46, FormFixes, 2, false), 'GBG Filtered'!E46), PokemonIcons, 2, False), "")</f>
        <v/>
      </c>
      <c r="G52" s="63" t="str">
        <f>IF('GBG Filtered'!F46 &lt;&gt; "", VLOOKUP(IFERROR(VLOOKUP('GBG Filtered'!F46, FormFixes, 2, false), 'GBG Filtered'!F46), PokemonIcons, 2, False), "")</f>
        <v/>
      </c>
      <c r="H52" s="63" t="str">
        <f>IF('GBG Filtered'!G46 &lt;&gt; "", VLOOKUP(IFERROR(VLOOKUP('GBG Filtered'!G46, FormFixes, 2, false), 'GBG Filtered'!G46), PokemonIcons, 2, False), "")</f>
        <v/>
      </c>
      <c r="I52" s="63" t="str">
        <f>IF('GBG Filtered'!H46 &lt;&gt; "", VLOOKUP(IFERROR(VLOOKUP('GBG Filtered'!H46, FormFixes, 2, false), 'GBG Filtered'!H46), PokemonIcons, 2, False), "")</f>
        <v/>
      </c>
      <c r="J52" s="63" t="str">
        <f>IF('GBG Filtered'!I46 &lt;&gt; "", VLOOKUP(IFERROR(VLOOKUP('GBG Filtered'!I46, FormFixes, 2, false), 'GBG Filtered'!I46), PokemonIcons, 2, False), "")</f>
        <v/>
      </c>
      <c r="K52" s="63" t="str">
        <f>IF('GBG Filtered'!J46 &lt;&gt; "", VLOOKUP(IFERROR(VLOOKUP('GBG Filtered'!J46, FormFixes, 2, false), 'GBG Filtered'!J46), PokemonIcons, 2, False), "")</f>
        <v/>
      </c>
      <c r="O52" s="63" t="str">
        <f>IF('GBG Filtered'!N46 &lt;&gt; "", VLOOKUP(IFERROR(VLOOKUP('GBG Filtered'!N46, FormFixes, 2, false), 'GBG Filtered'!N46), PokemonIcons, 2, False), "")</f>
        <v/>
      </c>
      <c r="P52" s="63" t="str">
        <f>IF('GBG Filtered'!O46 &lt;&gt; "", VLOOKUP(IFERROR(VLOOKUP('GBG Filtered'!O46, FormFixes, 2, false), 'GBG Filtered'!O46), PokemonIcons, 2, False), "")</f>
        <v/>
      </c>
      <c r="Q52" s="63" t="str">
        <f>IF('GBG Filtered'!P46 &lt;&gt; "", VLOOKUP(IFERROR(VLOOKUP('GBG Filtered'!P46, FormFixes, 2, false), 'GBG Filtered'!P46), PokemonIcons, 2, False), "")</f>
        <v/>
      </c>
      <c r="R52" s="63" t="str">
        <f>IF('GBG Filtered'!Q46 &lt;&gt; "", VLOOKUP(IFERROR(VLOOKUP('GBG Filtered'!Q46, FormFixes, 2, false), 'GBG Filtered'!Q46), PokemonIcons, 2, False), "")</f>
        <v/>
      </c>
      <c r="T52" s="63" t="str">
        <f>IF('GBG Filtered'!S46 &lt;&gt; "", VLOOKUP(IFERROR(VLOOKUP('GBG Filtered'!S46, FormFixes, 2, false), 'GBG Filtered'!S46), PokemonIcons, 2, False), "")</f>
        <v/>
      </c>
      <c r="U52" s="63" t="str">
        <f>IF('GBG Filtered'!T46 &lt;&gt; "", VLOOKUP(IFERROR(VLOOKUP('GBG Filtered'!T46, FormFixes, 2, false), 'GBG Filtered'!T46), PokemonIcons, 2, False), "")</f>
        <v/>
      </c>
      <c r="V52" s="63" t="str">
        <f>IF('GBG Filtered'!U46 &lt;&gt; "", VLOOKUP(IFERROR(VLOOKUP('GBG Filtered'!U46, FormFixes, 2, false), 'GBG Filtered'!U46), PokemonIcons, 2, False), "")</f>
        <v/>
      </c>
      <c r="W52" s="63" t="str">
        <f>IF('GBG Filtered'!V46 &lt;&gt; "", VLOOKUP(IFERROR(VLOOKUP('GBG Filtered'!V46, FormFixes, 2, false), 'GBG Filtered'!V46), PokemonIcons, 2, False), "")</f>
        <v/>
      </c>
      <c r="Z52" s="63" t="str">
        <f>IF('GBG Filtered'!Y46 &lt;&gt; "", VLOOKUP(IFERROR(VLOOKUP('GBG Filtered'!Y46, FormFixes, 2, false), 'GBG Filtered'!Y46), PokemonIcons, 2, False), "")</f>
        <v/>
      </c>
      <c r="AA52" s="63" t="str">
        <f>IF('GBG Filtered'!Z46 &lt;&gt; "", VLOOKUP('GBG Filtered'!Z46, TypeIcons, 2, False), "")</f>
        <v/>
      </c>
      <c r="AB52" s="63" t="str">
        <f>IF('GBG Filtered'!AA46 &lt;&gt; "", VLOOKUP(IFERROR(VLOOKUP('GBG Filtered'!AA46, FormFixes, 2, false), 'GBG Filtered'!AA46), PokemonIcons, 2, False), "")</f>
        <v/>
      </c>
      <c r="AC52" s="63" t="str">
        <f>IF('GBG Filtered'!AB46 &lt;&gt; "", VLOOKUP('GBG Filtered'!AB46, TypeIcons, 2, False), "")</f>
        <v/>
      </c>
      <c r="AD52" s="103" t="str">
        <f>'GBG Filtered'!AC46</f>
        <v/>
      </c>
      <c r="AE52" s="103" t="str">
        <f>'GBG Filtered'!AD46</f>
        <v/>
      </c>
      <c r="AF52" s="104" t="str">
        <f>'GBG Filtered'!AE46</f>
        <v/>
      </c>
    </row>
    <row r="53" ht="24.0" customHeight="1">
      <c r="B53" s="101" t="str">
        <f>'GBG Filtered'!A47</f>
        <v/>
      </c>
      <c r="C53" s="102" t="str">
        <f>'GBG Filtered'!B47</f>
        <v/>
      </c>
      <c r="D53" s="102" t="str">
        <f>'GBG Filtered'!C47</f>
        <v/>
      </c>
      <c r="E53" s="102" t="str">
        <f>'GBG Filtered'!D47</f>
        <v/>
      </c>
      <c r="F53" s="63" t="str">
        <f>IF('GBG Filtered'!E47 &lt;&gt; "", VLOOKUP(IFERROR(VLOOKUP('GBG Filtered'!E47, FormFixes, 2, false), 'GBG Filtered'!E47), PokemonIcons, 2, False), "")</f>
        <v/>
      </c>
      <c r="G53" s="63" t="str">
        <f>IF('GBG Filtered'!F47 &lt;&gt; "", VLOOKUP(IFERROR(VLOOKUP('GBG Filtered'!F47, FormFixes, 2, false), 'GBG Filtered'!F47), PokemonIcons, 2, False), "")</f>
        <v/>
      </c>
      <c r="H53" s="63" t="str">
        <f>IF('GBG Filtered'!G47 &lt;&gt; "", VLOOKUP(IFERROR(VLOOKUP('GBG Filtered'!G47, FormFixes, 2, false), 'GBG Filtered'!G47), PokemonIcons, 2, False), "")</f>
        <v/>
      </c>
      <c r="I53" s="63" t="str">
        <f>IF('GBG Filtered'!H47 &lt;&gt; "", VLOOKUP(IFERROR(VLOOKUP('GBG Filtered'!H47, FormFixes, 2, false), 'GBG Filtered'!H47), PokemonIcons, 2, False), "")</f>
        <v/>
      </c>
      <c r="J53" s="63" t="str">
        <f>IF('GBG Filtered'!I47 &lt;&gt; "", VLOOKUP(IFERROR(VLOOKUP('GBG Filtered'!I47, FormFixes, 2, false), 'GBG Filtered'!I47), PokemonIcons, 2, False), "")</f>
        <v/>
      </c>
      <c r="K53" s="63" t="str">
        <f>IF('GBG Filtered'!J47 &lt;&gt; "", VLOOKUP(IFERROR(VLOOKUP('GBG Filtered'!J47, FormFixes, 2, false), 'GBG Filtered'!J47), PokemonIcons, 2, False), "")</f>
        <v/>
      </c>
      <c r="O53" s="63" t="str">
        <f>IF('GBG Filtered'!N47 &lt;&gt; "", VLOOKUP(IFERROR(VLOOKUP('GBG Filtered'!N47, FormFixes, 2, false), 'GBG Filtered'!N47), PokemonIcons, 2, False), "")</f>
        <v/>
      </c>
      <c r="P53" s="63" t="str">
        <f>IF('GBG Filtered'!O47 &lt;&gt; "", VLOOKUP(IFERROR(VLOOKUP('GBG Filtered'!O47, FormFixes, 2, false), 'GBG Filtered'!O47), PokemonIcons, 2, False), "")</f>
        <v/>
      </c>
      <c r="Q53" s="63" t="str">
        <f>IF('GBG Filtered'!P47 &lt;&gt; "", VLOOKUP(IFERROR(VLOOKUP('GBG Filtered'!P47, FormFixes, 2, false), 'GBG Filtered'!P47), PokemonIcons, 2, False), "")</f>
        <v/>
      </c>
      <c r="R53" s="63" t="str">
        <f>IF('GBG Filtered'!Q47 &lt;&gt; "", VLOOKUP(IFERROR(VLOOKUP('GBG Filtered'!Q47, FormFixes, 2, false), 'GBG Filtered'!Q47), PokemonIcons, 2, False), "")</f>
        <v/>
      </c>
      <c r="T53" s="63" t="str">
        <f>IF('GBG Filtered'!S47 &lt;&gt; "", VLOOKUP(IFERROR(VLOOKUP('GBG Filtered'!S47, FormFixes, 2, false), 'GBG Filtered'!S47), PokemonIcons, 2, False), "")</f>
        <v/>
      </c>
      <c r="U53" s="63" t="str">
        <f>IF('GBG Filtered'!T47 &lt;&gt; "", VLOOKUP(IFERROR(VLOOKUP('GBG Filtered'!T47, FormFixes, 2, false), 'GBG Filtered'!T47), PokemonIcons, 2, False), "")</f>
        <v/>
      </c>
      <c r="V53" s="63" t="str">
        <f>IF('GBG Filtered'!U47 &lt;&gt; "", VLOOKUP(IFERROR(VLOOKUP('GBG Filtered'!U47, FormFixes, 2, false), 'GBG Filtered'!U47), PokemonIcons, 2, False), "")</f>
        <v/>
      </c>
      <c r="W53" s="63" t="str">
        <f>IF('GBG Filtered'!V47 &lt;&gt; "", VLOOKUP(IFERROR(VLOOKUP('GBG Filtered'!V47, FormFixes, 2, false), 'GBG Filtered'!V47), PokemonIcons, 2, False), "")</f>
        <v/>
      </c>
      <c r="Z53" s="63" t="str">
        <f>IF('GBG Filtered'!Y47 &lt;&gt; "", VLOOKUP(IFERROR(VLOOKUP('GBG Filtered'!Y47, FormFixes, 2, false), 'GBG Filtered'!Y47), PokemonIcons, 2, False), "")</f>
        <v/>
      </c>
      <c r="AA53" s="63" t="str">
        <f>IF('GBG Filtered'!Z47 &lt;&gt; "", VLOOKUP('GBG Filtered'!Z47, TypeIcons, 2, False), "")</f>
        <v/>
      </c>
      <c r="AB53" s="63" t="str">
        <f>IF('GBG Filtered'!AA47 &lt;&gt; "", VLOOKUP(IFERROR(VLOOKUP('GBG Filtered'!AA47, FormFixes, 2, false), 'GBG Filtered'!AA47), PokemonIcons, 2, False), "")</f>
        <v/>
      </c>
      <c r="AC53" s="63" t="str">
        <f>IF('GBG Filtered'!AB47 &lt;&gt; "", VLOOKUP('GBG Filtered'!AB47, TypeIcons, 2, False), "")</f>
        <v/>
      </c>
      <c r="AD53" s="103" t="str">
        <f>'GBG Filtered'!AC47</f>
        <v/>
      </c>
      <c r="AE53" s="103" t="str">
        <f>'GBG Filtered'!AD47</f>
        <v/>
      </c>
      <c r="AF53" s="104" t="str">
        <f>'GBG Filtered'!AE47</f>
        <v/>
      </c>
    </row>
    <row r="54" ht="24.0" customHeight="1">
      <c r="B54" s="101" t="str">
        <f>'GBG Filtered'!A48</f>
        <v/>
      </c>
      <c r="C54" s="102" t="str">
        <f>'GBG Filtered'!B48</f>
        <v/>
      </c>
      <c r="D54" s="102" t="str">
        <f>'GBG Filtered'!C48</f>
        <v/>
      </c>
      <c r="E54" s="102" t="str">
        <f>'GBG Filtered'!D48</f>
        <v/>
      </c>
      <c r="F54" s="63" t="str">
        <f>IF('GBG Filtered'!E48 &lt;&gt; "", VLOOKUP(IFERROR(VLOOKUP('GBG Filtered'!E48, FormFixes, 2, false), 'GBG Filtered'!E48), PokemonIcons, 2, False), "")</f>
        <v/>
      </c>
      <c r="G54" s="63" t="str">
        <f>IF('GBG Filtered'!F48 &lt;&gt; "", VLOOKUP(IFERROR(VLOOKUP('GBG Filtered'!F48, FormFixes, 2, false), 'GBG Filtered'!F48), PokemonIcons, 2, False), "")</f>
        <v/>
      </c>
      <c r="H54" s="63" t="str">
        <f>IF('GBG Filtered'!G48 &lt;&gt; "", VLOOKUP(IFERROR(VLOOKUP('GBG Filtered'!G48, FormFixes, 2, false), 'GBG Filtered'!G48), PokemonIcons, 2, False), "")</f>
        <v/>
      </c>
      <c r="I54" s="63" t="str">
        <f>IF('GBG Filtered'!H48 &lt;&gt; "", VLOOKUP(IFERROR(VLOOKUP('GBG Filtered'!H48, FormFixes, 2, false), 'GBG Filtered'!H48), PokemonIcons, 2, False), "")</f>
        <v/>
      </c>
      <c r="J54" s="63" t="str">
        <f>IF('GBG Filtered'!I48 &lt;&gt; "", VLOOKUP(IFERROR(VLOOKUP('GBG Filtered'!I48, FormFixes, 2, false), 'GBG Filtered'!I48), PokemonIcons, 2, False), "")</f>
        <v/>
      </c>
      <c r="K54" s="63" t="str">
        <f>IF('GBG Filtered'!J48 &lt;&gt; "", VLOOKUP(IFERROR(VLOOKUP('GBG Filtered'!J48, FormFixes, 2, false), 'GBG Filtered'!J48), PokemonIcons, 2, False), "")</f>
        <v/>
      </c>
      <c r="O54" s="63" t="str">
        <f>IF('GBG Filtered'!N48 &lt;&gt; "", VLOOKUP(IFERROR(VLOOKUP('GBG Filtered'!N48, FormFixes, 2, false), 'GBG Filtered'!N48), PokemonIcons, 2, False), "")</f>
        <v/>
      </c>
      <c r="P54" s="63" t="str">
        <f>IF('GBG Filtered'!O48 &lt;&gt; "", VLOOKUP(IFERROR(VLOOKUP('GBG Filtered'!O48, FormFixes, 2, false), 'GBG Filtered'!O48), PokemonIcons, 2, False), "")</f>
        <v/>
      </c>
      <c r="Q54" s="63" t="str">
        <f>IF('GBG Filtered'!P48 &lt;&gt; "", VLOOKUP(IFERROR(VLOOKUP('GBG Filtered'!P48, FormFixes, 2, false), 'GBG Filtered'!P48), PokemonIcons, 2, False), "")</f>
        <v/>
      </c>
      <c r="R54" s="63" t="str">
        <f>IF('GBG Filtered'!Q48 &lt;&gt; "", VLOOKUP(IFERROR(VLOOKUP('GBG Filtered'!Q48, FormFixes, 2, false), 'GBG Filtered'!Q48), PokemonIcons, 2, False), "")</f>
        <v/>
      </c>
      <c r="T54" s="63" t="str">
        <f>IF('GBG Filtered'!S48 &lt;&gt; "", VLOOKUP(IFERROR(VLOOKUP('GBG Filtered'!S48, FormFixes, 2, false), 'GBG Filtered'!S48), PokemonIcons, 2, False), "")</f>
        <v/>
      </c>
      <c r="U54" s="63" t="str">
        <f>IF('GBG Filtered'!T48 &lt;&gt; "", VLOOKUP(IFERROR(VLOOKUP('GBG Filtered'!T48, FormFixes, 2, false), 'GBG Filtered'!T48), PokemonIcons, 2, False), "")</f>
        <v/>
      </c>
      <c r="V54" s="63" t="str">
        <f>IF('GBG Filtered'!U48 &lt;&gt; "", VLOOKUP(IFERROR(VLOOKUP('GBG Filtered'!U48, FormFixes, 2, false), 'GBG Filtered'!U48), PokemonIcons, 2, False), "")</f>
        <v/>
      </c>
      <c r="W54" s="63" t="str">
        <f>IF('GBG Filtered'!V48 &lt;&gt; "", VLOOKUP(IFERROR(VLOOKUP('GBG Filtered'!V48, FormFixes, 2, false), 'GBG Filtered'!V48), PokemonIcons, 2, False), "")</f>
        <v/>
      </c>
      <c r="Z54" s="63" t="str">
        <f>IF('GBG Filtered'!Y48 &lt;&gt; "", VLOOKUP(IFERROR(VLOOKUP('GBG Filtered'!Y48, FormFixes, 2, false), 'GBG Filtered'!Y48), PokemonIcons, 2, False), "")</f>
        <v/>
      </c>
      <c r="AA54" s="63" t="str">
        <f>IF('GBG Filtered'!Z48 &lt;&gt; "", VLOOKUP('GBG Filtered'!Z48, TypeIcons, 2, False), "")</f>
        <v/>
      </c>
      <c r="AB54" s="63" t="str">
        <f>IF('GBG Filtered'!AA48 &lt;&gt; "", VLOOKUP(IFERROR(VLOOKUP('GBG Filtered'!AA48, FormFixes, 2, false), 'GBG Filtered'!AA48), PokemonIcons, 2, False), "")</f>
        <v/>
      </c>
      <c r="AC54" s="63" t="str">
        <f>IF('GBG Filtered'!AB48 &lt;&gt; "", VLOOKUP('GBG Filtered'!AB48, TypeIcons, 2, False), "")</f>
        <v/>
      </c>
      <c r="AD54" s="103" t="str">
        <f>'GBG Filtered'!AC48</f>
        <v/>
      </c>
      <c r="AE54" s="103" t="str">
        <f>'GBG Filtered'!AD48</f>
        <v/>
      </c>
      <c r="AF54" s="104" t="str">
        <f>'GBG Filtered'!AE48</f>
        <v/>
      </c>
    </row>
    <row r="55" ht="24.0" customHeight="1">
      <c r="B55" s="101" t="str">
        <f>'GBG Filtered'!A49</f>
        <v/>
      </c>
      <c r="C55" s="102" t="str">
        <f>'GBG Filtered'!B49</f>
        <v/>
      </c>
      <c r="D55" s="102" t="str">
        <f>'GBG Filtered'!C49</f>
        <v/>
      </c>
      <c r="E55" s="102" t="str">
        <f>'GBG Filtered'!D49</f>
        <v/>
      </c>
      <c r="F55" s="63" t="str">
        <f>IF('GBG Filtered'!E49 &lt;&gt; "", VLOOKUP(IFERROR(VLOOKUP('GBG Filtered'!E49, FormFixes, 2, false), 'GBG Filtered'!E49), PokemonIcons, 2, False), "")</f>
        <v/>
      </c>
      <c r="G55" s="63" t="str">
        <f>IF('GBG Filtered'!F49 &lt;&gt; "", VLOOKUP(IFERROR(VLOOKUP('GBG Filtered'!F49, FormFixes, 2, false), 'GBG Filtered'!F49), PokemonIcons, 2, False), "")</f>
        <v/>
      </c>
      <c r="H55" s="63" t="str">
        <f>IF('GBG Filtered'!G49 &lt;&gt; "", VLOOKUP(IFERROR(VLOOKUP('GBG Filtered'!G49, FormFixes, 2, false), 'GBG Filtered'!G49), PokemonIcons, 2, False), "")</f>
        <v/>
      </c>
      <c r="I55" s="63" t="str">
        <f>IF('GBG Filtered'!H49 &lt;&gt; "", VLOOKUP(IFERROR(VLOOKUP('GBG Filtered'!H49, FormFixes, 2, false), 'GBG Filtered'!H49), PokemonIcons, 2, False), "")</f>
        <v/>
      </c>
      <c r="J55" s="63" t="str">
        <f>IF('GBG Filtered'!I49 &lt;&gt; "", VLOOKUP(IFERROR(VLOOKUP('GBG Filtered'!I49, FormFixes, 2, false), 'GBG Filtered'!I49), PokemonIcons, 2, False), "")</f>
        <v/>
      </c>
      <c r="K55" s="63" t="str">
        <f>IF('GBG Filtered'!J49 &lt;&gt; "", VLOOKUP(IFERROR(VLOOKUP('GBG Filtered'!J49, FormFixes, 2, false), 'GBG Filtered'!J49), PokemonIcons, 2, False), "")</f>
        <v/>
      </c>
      <c r="O55" s="63" t="str">
        <f>IF('GBG Filtered'!N49 &lt;&gt; "", VLOOKUP(IFERROR(VLOOKUP('GBG Filtered'!N49, FormFixes, 2, false), 'GBG Filtered'!N49), PokemonIcons, 2, False), "")</f>
        <v/>
      </c>
      <c r="P55" s="63" t="str">
        <f>IF('GBG Filtered'!O49 &lt;&gt; "", VLOOKUP(IFERROR(VLOOKUP('GBG Filtered'!O49, FormFixes, 2, false), 'GBG Filtered'!O49), PokemonIcons, 2, False), "")</f>
        <v/>
      </c>
      <c r="Q55" s="63" t="str">
        <f>IF('GBG Filtered'!P49 &lt;&gt; "", VLOOKUP(IFERROR(VLOOKUP('GBG Filtered'!P49, FormFixes, 2, false), 'GBG Filtered'!P49), PokemonIcons, 2, False), "")</f>
        <v/>
      </c>
      <c r="R55" s="63" t="str">
        <f>IF('GBG Filtered'!Q49 &lt;&gt; "", VLOOKUP(IFERROR(VLOOKUP('GBG Filtered'!Q49, FormFixes, 2, false), 'GBG Filtered'!Q49), PokemonIcons, 2, False), "")</f>
        <v/>
      </c>
      <c r="T55" s="63" t="str">
        <f>IF('GBG Filtered'!S49 &lt;&gt; "", VLOOKUP(IFERROR(VLOOKUP('GBG Filtered'!S49, FormFixes, 2, false), 'GBG Filtered'!S49), PokemonIcons, 2, False), "")</f>
        <v/>
      </c>
      <c r="U55" s="63" t="str">
        <f>IF('GBG Filtered'!T49 &lt;&gt; "", VLOOKUP(IFERROR(VLOOKUP('GBG Filtered'!T49, FormFixes, 2, false), 'GBG Filtered'!T49), PokemonIcons, 2, False), "")</f>
        <v/>
      </c>
      <c r="V55" s="63" t="str">
        <f>IF('GBG Filtered'!U49 &lt;&gt; "", VLOOKUP(IFERROR(VLOOKUP('GBG Filtered'!U49, FormFixes, 2, false), 'GBG Filtered'!U49), PokemonIcons, 2, False), "")</f>
        <v/>
      </c>
      <c r="W55" s="63" t="str">
        <f>IF('GBG Filtered'!V49 &lt;&gt; "", VLOOKUP(IFERROR(VLOOKUP('GBG Filtered'!V49, FormFixes, 2, false), 'GBG Filtered'!V49), PokemonIcons, 2, False), "")</f>
        <v/>
      </c>
      <c r="Z55" s="63" t="str">
        <f>IF('GBG Filtered'!Y49 &lt;&gt; "", VLOOKUP(IFERROR(VLOOKUP('GBG Filtered'!Y49, FormFixes, 2, false), 'GBG Filtered'!Y49), PokemonIcons, 2, False), "")</f>
        <v/>
      </c>
      <c r="AA55" s="63" t="str">
        <f>IF('GBG Filtered'!Z49 &lt;&gt; "", VLOOKUP('GBG Filtered'!Z49, TypeIcons, 2, False), "")</f>
        <v/>
      </c>
      <c r="AB55" s="63" t="str">
        <f>IF('GBG Filtered'!AA49 &lt;&gt; "", VLOOKUP(IFERROR(VLOOKUP('GBG Filtered'!AA49, FormFixes, 2, false), 'GBG Filtered'!AA49), PokemonIcons, 2, False), "")</f>
        <v/>
      </c>
      <c r="AC55" s="63" t="str">
        <f>IF('GBG Filtered'!AB49 &lt;&gt; "", VLOOKUP('GBG Filtered'!AB49, TypeIcons, 2, False), "")</f>
        <v/>
      </c>
      <c r="AD55" s="103" t="str">
        <f>'GBG Filtered'!AC49</f>
        <v/>
      </c>
      <c r="AE55" s="103" t="str">
        <f>'GBG Filtered'!AD49</f>
        <v/>
      </c>
      <c r="AF55" s="104" t="str">
        <f>'GBG Filtered'!AE49</f>
        <v/>
      </c>
    </row>
    <row r="56" ht="24.0" customHeight="1">
      <c r="B56" s="101" t="str">
        <f>'GBG Filtered'!A50</f>
        <v/>
      </c>
      <c r="C56" s="102" t="str">
        <f>'GBG Filtered'!B50</f>
        <v/>
      </c>
      <c r="D56" s="102" t="str">
        <f>'GBG Filtered'!C50</f>
        <v/>
      </c>
      <c r="E56" s="102" t="str">
        <f>'GBG Filtered'!D50</f>
        <v/>
      </c>
      <c r="F56" s="63" t="str">
        <f>IF('GBG Filtered'!E50 &lt;&gt; "", VLOOKUP(IFERROR(VLOOKUP('GBG Filtered'!E50, FormFixes, 2, false), 'GBG Filtered'!E50), PokemonIcons, 2, False), "")</f>
        <v/>
      </c>
      <c r="G56" s="63" t="str">
        <f>IF('GBG Filtered'!F50 &lt;&gt; "", VLOOKUP(IFERROR(VLOOKUP('GBG Filtered'!F50, FormFixes, 2, false), 'GBG Filtered'!F50), PokemonIcons, 2, False), "")</f>
        <v/>
      </c>
      <c r="H56" s="63" t="str">
        <f>IF('GBG Filtered'!G50 &lt;&gt; "", VLOOKUP(IFERROR(VLOOKUP('GBG Filtered'!G50, FormFixes, 2, false), 'GBG Filtered'!G50), PokemonIcons, 2, False), "")</f>
        <v/>
      </c>
      <c r="I56" s="63" t="str">
        <f>IF('GBG Filtered'!H50 &lt;&gt; "", VLOOKUP(IFERROR(VLOOKUP('GBG Filtered'!H50, FormFixes, 2, false), 'GBG Filtered'!H50), PokemonIcons, 2, False), "")</f>
        <v/>
      </c>
      <c r="J56" s="63" t="str">
        <f>IF('GBG Filtered'!I50 &lt;&gt; "", VLOOKUP(IFERROR(VLOOKUP('GBG Filtered'!I50, FormFixes, 2, false), 'GBG Filtered'!I50), PokemonIcons, 2, False), "")</f>
        <v/>
      </c>
      <c r="K56" s="63" t="str">
        <f>IF('GBG Filtered'!J50 &lt;&gt; "", VLOOKUP(IFERROR(VLOOKUP('GBG Filtered'!J50, FormFixes, 2, false), 'GBG Filtered'!J50), PokemonIcons, 2, False), "")</f>
        <v/>
      </c>
      <c r="O56" s="63" t="str">
        <f>IF('GBG Filtered'!N50 &lt;&gt; "", VLOOKUP(IFERROR(VLOOKUP('GBG Filtered'!N50, FormFixes, 2, false), 'GBG Filtered'!N50), PokemonIcons, 2, False), "")</f>
        <v/>
      </c>
      <c r="P56" s="63" t="str">
        <f>IF('GBG Filtered'!O50 &lt;&gt; "", VLOOKUP(IFERROR(VLOOKUP('GBG Filtered'!O50, FormFixes, 2, false), 'GBG Filtered'!O50), PokemonIcons, 2, False), "")</f>
        <v/>
      </c>
      <c r="Q56" s="63" t="str">
        <f>IF('GBG Filtered'!P50 &lt;&gt; "", VLOOKUP(IFERROR(VLOOKUP('GBG Filtered'!P50, FormFixes, 2, false), 'GBG Filtered'!P50), PokemonIcons, 2, False), "")</f>
        <v/>
      </c>
      <c r="R56" s="63" t="str">
        <f>IF('GBG Filtered'!Q50 &lt;&gt; "", VLOOKUP(IFERROR(VLOOKUP('GBG Filtered'!Q50, FormFixes, 2, false), 'GBG Filtered'!Q50), PokemonIcons, 2, False), "")</f>
        <v/>
      </c>
      <c r="T56" s="63" t="str">
        <f>IF('GBG Filtered'!S50 &lt;&gt; "", VLOOKUP(IFERROR(VLOOKUP('GBG Filtered'!S50, FormFixes, 2, false), 'GBG Filtered'!S50), PokemonIcons, 2, False), "")</f>
        <v/>
      </c>
      <c r="U56" s="63" t="str">
        <f>IF('GBG Filtered'!T50 &lt;&gt; "", VLOOKUP(IFERROR(VLOOKUP('GBG Filtered'!T50, FormFixes, 2, false), 'GBG Filtered'!T50), PokemonIcons, 2, False), "")</f>
        <v/>
      </c>
      <c r="V56" s="63" t="str">
        <f>IF('GBG Filtered'!U50 &lt;&gt; "", VLOOKUP(IFERROR(VLOOKUP('GBG Filtered'!U50, FormFixes, 2, false), 'GBG Filtered'!U50), PokemonIcons, 2, False), "")</f>
        <v/>
      </c>
      <c r="W56" s="63" t="str">
        <f>IF('GBG Filtered'!V50 &lt;&gt; "", VLOOKUP(IFERROR(VLOOKUP('GBG Filtered'!V50, FormFixes, 2, false), 'GBG Filtered'!V50), PokemonIcons, 2, False), "")</f>
        <v/>
      </c>
      <c r="Z56" s="63" t="str">
        <f>IF('GBG Filtered'!Y50 &lt;&gt; "", VLOOKUP(IFERROR(VLOOKUP('GBG Filtered'!Y50, FormFixes, 2, false), 'GBG Filtered'!Y50), PokemonIcons, 2, False), "")</f>
        <v/>
      </c>
      <c r="AA56" s="63" t="str">
        <f>IF('GBG Filtered'!Z50 &lt;&gt; "", VLOOKUP('GBG Filtered'!Z50, TypeIcons, 2, False), "")</f>
        <v/>
      </c>
      <c r="AB56" s="63" t="str">
        <f>IF('GBG Filtered'!AA50 &lt;&gt; "", VLOOKUP(IFERROR(VLOOKUP('GBG Filtered'!AA50, FormFixes, 2, false), 'GBG Filtered'!AA50), PokemonIcons, 2, False), "")</f>
        <v/>
      </c>
      <c r="AC56" s="63" t="str">
        <f>IF('GBG Filtered'!AB50 &lt;&gt; "", VLOOKUP('GBG Filtered'!AB50, TypeIcons, 2, False), "")</f>
        <v/>
      </c>
      <c r="AD56" s="103" t="str">
        <f>'GBG Filtered'!AC50</f>
        <v/>
      </c>
      <c r="AE56" s="103" t="str">
        <f>'GBG Filtered'!AD50</f>
        <v/>
      </c>
      <c r="AF56" s="104" t="str">
        <f>'GBG Filtered'!AE50</f>
        <v/>
      </c>
    </row>
    <row r="57" ht="24.0" customHeight="1">
      <c r="B57" s="101" t="str">
        <f>'GBG Filtered'!A51</f>
        <v/>
      </c>
      <c r="C57" s="102" t="str">
        <f>'GBG Filtered'!B51</f>
        <v/>
      </c>
      <c r="D57" s="102" t="str">
        <f>'GBG Filtered'!C51</f>
        <v/>
      </c>
      <c r="E57" s="102" t="str">
        <f>'GBG Filtered'!D51</f>
        <v/>
      </c>
      <c r="F57" s="63" t="str">
        <f>IF('GBG Filtered'!E51 &lt;&gt; "", VLOOKUP(IFERROR(VLOOKUP('GBG Filtered'!E51, FormFixes, 2, false), 'GBG Filtered'!E51), PokemonIcons, 2, False), "")</f>
        <v/>
      </c>
      <c r="G57" s="63" t="str">
        <f>IF('GBG Filtered'!F51 &lt;&gt; "", VLOOKUP(IFERROR(VLOOKUP('GBG Filtered'!F51, FormFixes, 2, false), 'GBG Filtered'!F51), PokemonIcons, 2, False), "")</f>
        <v/>
      </c>
      <c r="H57" s="63" t="str">
        <f>IF('GBG Filtered'!G51 &lt;&gt; "", VLOOKUP(IFERROR(VLOOKUP('GBG Filtered'!G51, FormFixes, 2, false), 'GBG Filtered'!G51), PokemonIcons, 2, False), "")</f>
        <v/>
      </c>
      <c r="I57" s="63" t="str">
        <f>IF('GBG Filtered'!H51 &lt;&gt; "", VLOOKUP(IFERROR(VLOOKUP('GBG Filtered'!H51, FormFixes, 2, false), 'GBG Filtered'!H51), PokemonIcons, 2, False), "")</f>
        <v/>
      </c>
      <c r="J57" s="63" t="str">
        <f>IF('GBG Filtered'!I51 &lt;&gt; "", VLOOKUP(IFERROR(VLOOKUP('GBG Filtered'!I51, FormFixes, 2, false), 'GBG Filtered'!I51), PokemonIcons, 2, False), "")</f>
        <v/>
      </c>
      <c r="K57" s="63" t="str">
        <f>IF('GBG Filtered'!J51 &lt;&gt; "", VLOOKUP(IFERROR(VLOOKUP('GBG Filtered'!J51, FormFixes, 2, false), 'GBG Filtered'!J51), PokemonIcons, 2, False), "")</f>
        <v/>
      </c>
      <c r="O57" s="63" t="str">
        <f>IF('GBG Filtered'!N51 &lt;&gt; "", VLOOKUP(IFERROR(VLOOKUP('GBG Filtered'!N51, FormFixes, 2, false), 'GBG Filtered'!N51), PokemonIcons, 2, False), "")</f>
        <v/>
      </c>
      <c r="P57" s="63" t="str">
        <f>IF('GBG Filtered'!O51 &lt;&gt; "", VLOOKUP(IFERROR(VLOOKUP('GBG Filtered'!O51, FormFixes, 2, false), 'GBG Filtered'!O51), PokemonIcons, 2, False), "")</f>
        <v/>
      </c>
      <c r="Q57" s="63" t="str">
        <f>IF('GBG Filtered'!P51 &lt;&gt; "", VLOOKUP(IFERROR(VLOOKUP('GBG Filtered'!P51, FormFixes, 2, false), 'GBG Filtered'!P51), PokemonIcons, 2, False), "")</f>
        <v/>
      </c>
      <c r="R57" s="63" t="str">
        <f>IF('GBG Filtered'!Q51 &lt;&gt; "", VLOOKUP(IFERROR(VLOOKUP('GBG Filtered'!Q51, FormFixes, 2, false), 'GBG Filtered'!Q51), PokemonIcons, 2, False), "")</f>
        <v/>
      </c>
      <c r="T57" s="63" t="str">
        <f>IF('GBG Filtered'!S51 &lt;&gt; "", VLOOKUP(IFERROR(VLOOKUP('GBG Filtered'!S51, FormFixes, 2, false), 'GBG Filtered'!S51), PokemonIcons, 2, False), "")</f>
        <v/>
      </c>
      <c r="U57" s="63" t="str">
        <f>IF('GBG Filtered'!T51 &lt;&gt; "", VLOOKUP(IFERROR(VLOOKUP('GBG Filtered'!T51, FormFixes, 2, false), 'GBG Filtered'!T51), PokemonIcons, 2, False), "")</f>
        <v/>
      </c>
      <c r="V57" s="63" t="str">
        <f>IF('GBG Filtered'!U51 &lt;&gt; "", VLOOKUP(IFERROR(VLOOKUP('GBG Filtered'!U51, FormFixes, 2, false), 'GBG Filtered'!U51), PokemonIcons, 2, False), "")</f>
        <v/>
      </c>
      <c r="W57" s="63" t="str">
        <f>IF('GBG Filtered'!V51 &lt;&gt; "", VLOOKUP(IFERROR(VLOOKUP('GBG Filtered'!V51, FormFixes, 2, false), 'GBG Filtered'!V51), PokemonIcons, 2, False), "")</f>
        <v/>
      </c>
      <c r="Z57" s="63" t="str">
        <f>IF('GBG Filtered'!Y51 &lt;&gt; "", VLOOKUP(IFERROR(VLOOKUP('GBG Filtered'!Y51, FormFixes, 2, false), 'GBG Filtered'!Y51), PokemonIcons, 2, False), "")</f>
        <v/>
      </c>
      <c r="AA57" s="63" t="str">
        <f>IF('GBG Filtered'!Z51 &lt;&gt; "", VLOOKUP('GBG Filtered'!Z51, TypeIcons, 2, False), "")</f>
        <v/>
      </c>
      <c r="AB57" s="63" t="str">
        <f>IF('GBG Filtered'!AA51 &lt;&gt; "", VLOOKUP(IFERROR(VLOOKUP('GBG Filtered'!AA51, FormFixes, 2, false), 'GBG Filtered'!AA51), PokemonIcons, 2, False), "")</f>
        <v/>
      </c>
      <c r="AC57" s="63" t="str">
        <f>IF('GBG Filtered'!AB51 &lt;&gt; "", VLOOKUP('GBG Filtered'!AB51, TypeIcons, 2, False), "")</f>
        <v/>
      </c>
      <c r="AD57" s="103" t="str">
        <f>'GBG Filtered'!AC51</f>
        <v/>
      </c>
      <c r="AE57" s="103" t="str">
        <f>'GBG Filtered'!AD51</f>
        <v/>
      </c>
      <c r="AF57" s="104" t="str">
        <f>'GBG Filtered'!AE51</f>
        <v/>
      </c>
    </row>
    <row r="58" ht="24.0" customHeight="1">
      <c r="A58" s="105"/>
      <c r="B58" s="101" t="str">
        <f>'GBG Filtered'!A52</f>
        <v/>
      </c>
      <c r="C58" s="102" t="str">
        <f>'GBG Filtered'!B52</f>
        <v/>
      </c>
      <c r="D58" s="102" t="str">
        <f>'GBG Filtered'!C52</f>
        <v/>
      </c>
      <c r="E58" s="102" t="str">
        <f>'GBG Filtered'!D52</f>
        <v/>
      </c>
      <c r="F58" s="63" t="str">
        <f>IF('GBG Filtered'!E52 &lt;&gt; "", VLOOKUP(IFERROR(VLOOKUP('GBG Filtered'!E52, FormFixes, 2, false), 'GBG Filtered'!E52), PokemonIcons, 2, False), "")</f>
        <v/>
      </c>
      <c r="G58" s="63" t="str">
        <f>IF('GBG Filtered'!F52 &lt;&gt; "", VLOOKUP(IFERROR(VLOOKUP('GBG Filtered'!F52, FormFixes, 2, false), 'GBG Filtered'!F52), PokemonIcons, 2, False), "")</f>
        <v/>
      </c>
      <c r="H58" s="63" t="str">
        <f>IF('GBG Filtered'!G52 &lt;&gt; "", VLOOKUP(IFERROR(VLOOKUP('GBG Filtered'!G52, FormFixes, 2, false), 'GBG Filtered'!G52), PokemonIcons, 2, False), "")</f>
        <v/>
      </c>
      <c r="I58" s="63" t="str">
        <f>IF('GBG Filtered'!H52 &lt;&gt; "", VLOOKUP(IFERROR(VLOOKUP('GBG Filtered'!H52, FormFixes, 2, false), 'GBG Filtered'!H52), PokemonIcons, 2, False), "")</f>
        <v/>
      </c>
      <c r="J58" s="63" t="str">
        <f>IF('GBG Filtered'!I52 &lt;&gt; "", VLOOKUP(IFERROR(VLOOKUP('GBG Filtered'!I52, FormFixes, 2, false), 'GBG Filtered'!I52), PokemonIcons, 2, False), "")</f>
        <v/>
      </c>
      <c r="K58" s="63" t="str">
        <f>IF('GBG Filtered'!J52 &lt;&gt; "", VLOOKUP(IFERROR(VLOOKUP('GBG Filtered'!J52, FormFixes, 2, false), 'GBG Filtered'!J52), PokemonIcons, 2, False), "")</f>
        <v/>
      </c>
      <c r="M58" s="105"/>
      <c r="N58" s="105"/>
      <c r="O58" s="63" t="str">
        <f>IF('GBG Filtered'!N52 &lt;&gt; "", VLOOKUP(IFERROR(VLOOKUP('GBG Filtered'!N52, FormFixes, 2, false), 'GBG Filtered'!N52), PokemonIcons, 2, False), "")</f>
        <v/>
      </c>
      <c r="P58" s="63" t="str">
        <f>IF('GBG Filtered'!O52 &lt;&gt; "", VLOOKUP(IFERROR(VLOOKUP('GBG Filtered'!O52, FormFixes, 2, false), 'GBG Filtered'!O52), PokemonIcons, 2, False), "")</f>
        <v/>
      </c>
      <c r="Q58" s="63" t="str">
        <f>IF('GBG Filtered'!P52 &lt;&gt; "", VLOOKUP(IFERROR(VLOOKUP('GBG Filtered'!P52, FormFixes, 2, false), 'GBG Filtered'!P52), PokemonIcons, 2, False), "")</f>
        <v/>
      </c>
      <c r="R58" s="63" t="str">
        <f>IF('GBG Filtered'!Q52 &lt;&gt; "", VLOOKUP(IFERROR(VLOOKUP('GBG Filtered'!Q52, FormFixes, 2, false), 'GBG Filtered'!Q52), PokemonIcons, 2, False), "")</f>
        <v/>
      </c>
      <c r="S58" s="105"/>
      <c r="T58" s="63" t="str">
        <f>IF('GBG Filtered'!S52 &lt;&gt; "", VLOOKUP(IFERROR(VLOOKUP('GBG Filtered'!S52, FormFixes, 2, false), 'GBG Filtered'!S52), PokemonIcons, 2, False), "")</f>
        <v/>
      </c>
      <c r="U58" s="63" t="str">
        <f>IF('GBG Filtered'!T52 &lt;&gt; "", VLOOKUP(IFERROR(VLOOKUP('GBG Filtered'!T52, FormFixes, 2, false), 'GBG Filtered'!T52), PokemonIcons, 2, False), "")</f>
        <v/>
      </c>
      <c r="V58" s="63" t="str">
        <f>IF('GBG Filtered'!U52 &lt;&gt; "", VLOOKUP(IFERROR(VLOOKUP('GBG Filtered'!U52, FormFixes, 2, false), 'GBG Filtered'!U52), PokemonIcons, 2, False), "")</f>
        <v/>
      </c>
      <c r="W58" s="63" t="str">
        <f>IF('GBG Filtered'!V52 &lt;&gt; "", VLOOKUP(IFERROR(VLOOKUP('GBG Filtered'!V52, FormFixes, 2, false), 'GBG Filtered'!V52), PokemonIcons, 2, False), "")</f>
        <v/>
      </c>
      <c r="X58" s="105"/>
      <c r="Y58" s="105"/>
      <c r="Z58" s="63" t="str">
        <f>IF('GBG Filtered'!Y52 &lt;&gt; "", VLOOKUP(IFERROR(VLOOKUP('GBG Filtered'!Y52, FormFixes, 2, false), 'GBG Filtered'!Y52), PokemonIcons, 2, False), "")</f>
        <v/>
      </c>
      <c r="AA58" s="63" t="str">
        <f>IF('GBG Filtered'!Z52 &lt;&gt; "", VLOOKUP('GBG Filtered'!Z52, TypeIcons, 2, False), "")</f>
        <v/>
      </c>
      <c r="AB58" s="63" t="str">
        <f>IF('GBG Filtered'!AA52 &lt;&gt; "", VLOOKUP(IFERROR(VLOOKUP('GBG Filtered'!AA52, FormFixes, 2, false), 'GBG Filtered'!AA52), PokemonIcons, 2, False), "")</f>
        <v/>
      </c>
      <c r="AC58" s="63" t="str">
        <f>IF('GBG Filtered'!AB52 &lt;&gt; "", VLOOKUP('GBG Filtered'!AB52, TypeIcons, 2, False), "")</f>
        <v/>
      </c>
      <c r="AD58" s="103" t="str">
        <f>'GBG Filtered'!AC52</f>
        <v/>
      </c>
      <c r="AE58" s="103" t="str">
        <f>'GBG Filtered'!AD52</f>
        <v/>
      </c>
      <c r="AF58" s="104" t="str">
        <f>'GBG Filtered'!AE52</f>
        <v/>
      </c>
    </row>
    <row r="59" ht="24.0" customHeight="1">
      <c r="B59" s="101" t="str">
        <f>'GBG Filtered'!A53</f>
        <v/>
      </c>
      <c r="C59" s="102" t="str">
        <f>'GBG Filtered'!B53</f>
        <v/>
      </c>
      <c r="D59" s="102" t="str">
        <f>'GBG Filtered'!C53</f>
        <v/>
      </c>
      <c r="E59" s="102" t="str">
        <f>'GBG Filtered'!D53</f>
        <v/>
      </c>
      <c r="F59" s="63" t="str">
        <f>IF('GBG Filtered'!E53 &lt;&gt; "", VLOOKUP(IFERROR(VLOOKUP('GBG Filtered'!E53, FormFixes, 2, false), 'GBG Filtered'!E53), PokemonIcons, 2, False), "")</f>
        <v/>
      </c>
      <c r="G59" s="63" t="str">
        <f>IF('GBG Filtered'!F53 &lt;&gt; "", VLOOKUP(IFERROR(VLOOKUP('GBG Filtered'!F53, FormFixes, 2, false), 'GBG Filtered'!F53), PokemonIcons, 2, False), "")</f>
        <v/>
      </c>
      <c r="H59" s="63" t="str">
        <f>IF('GBG Filtered'!G53 &lt;&gt; "", VLOOKUP(IFERROR(VLOOKUP('GBG Filtered'!G53, FormFixes, 2, false), 'GBG Filtered'!G53), PokemonIcons, 2, False), "")</f>
        <v/>
      </c>
      <c r="I59" s="63" t="str">
        <f>IF('GBG Filtered'!H53 &lt;&gt; "", VLOOKUP(IFERROR(VLOOKUP('GBG Filtered'!H53, FormFixes, 2, false), 'GBG Filtered'!H53), PokemonIcons, 2, False), "")</f>
        <v/>
      </c>
      <c r="J59" s="63" t="str">
        <f>IF('GBG Filtered'!I53 &lt;&gt; "", VLOOKUP(IFERROR(VLOOKUP('GBG Filtered'!I53, FormFixes, 2, false), 'GBG Filtered'!I53), PokemonIcons, 2, False), "")</f>
        <v/>
      </c>
      <c r="K59" s="63" t="str">
        <f>IF('GBG Filtered'!J53 &lt;&gt; "", VLOOKUP(IFERROR(VLOOKUP('GBG Filtered'!J53, FormFixes, 2, false), 'GBG Filtered'!J53), PokemonIcons, 2, False), "")</f>
        <v/>
      </c>
      <c r="O59" s="63" t="str">
        <f>IF('GBG Filtered'!N53 &lt;&gt; "", VLOOKUP(IFERROR(VLOOKUP('GBG Filtered'!N53, FormFixes, 2, false), 'GBG Filtered'!N53), PokemonIcons, 2, False), "")</f>
        <v/>
      </c>
      <c r="P59" s="63" t="str">
        <f>IF('GBG Filtered'!O53 &lt;&gt; "", VLOOKUP(IFERROR(VLOOKUP('GBG Filtered'!O53, FormFixes, 2, false), 'GBG Filtered'!O53), PokemonIcons, 2, False), "")</f>
        <v/>
      </c>
      <c r="Q59" s="63" t="str">
        <f>IF('GBG Filtered'!P53 &lt;&gt; "", VLOOKUP(IFERROR(VLOOKUP('GBG Filtered'!P53, FormFixes, 2, false), 'GBG Filtered'!P53), PokemonIcons, 2, False), "")</f>
        <v/>
      </c>
      <c r="R59" s="63" t="str">
        <f>IF('GBG Filtered'!Q53 &lt;&gt; "", VLOOKUP(IFERROR(VLOOKUP('GBG Filtered'!Q53, FormFixes, 2, false), 'GBG Filtered'!Q53), PokemonIcons, 2, False), "")</f>
        <v/>
      </c>
      <c r="T59" s="63" t="str">
        <f>IF('GBG Filtered'!S53 &lt;&gt; "", VLOOKUP(IFERROR(VLOOKUP('GBG Filtered'!S53, FormFixes, 2, false), 'GBG Filtered'!S53), PokemonIcons, 2, False), "")</f>
        <v/>
      </c>
      <c r="U59" s="63" t="str">
        <f>IF('GBG Filtered'!T53 &lt;&gt; "", VLOOKUP(IFERROR(VLOOKUP('GBG Filtered'!T53, FormFixes, 2, false), 'GBG Filtered'!T53), PokemonIcons, 2, False), "")</f>
        <v/>
      </c>
      <c r="V59" s="63" t="str">
        <f>IF('GBG Filtered'!U53 &lt;&gt; "", VLOOKUP(IFERROR(VLOOKUP('GBG Filtered'!U53, FormFixes, 2, false), 'GBG Filtered'!U53), PokemonIcons, 2, False), "")</f>
        <v/>
      </c>
      <c r="W59" s="63" t="str">
        <f>IF('GBG Filtered'!V53 &lt;&gt; "", VLOOKUP(IFERROR(VLOOKUP('GBG Filtered'!V53, FormFixes, 2, false), 'GBG Filtered'!V53), PokemonIcons, 2, False), "")</f>
        <v/>
      </c>
      <c r="Z59" s="63" t="str">
        <f>IF('GBG Filtered'!Y53 &lt;&gt; "", VLOOKUP(IFERROR(VLOOKUP('GBG Filtered'!Y53, FormFixes, 2, false), 'GBG Filtered'!Y53), PokemonIcons, 2, False), "")</f>
        <v/>
      </c>
      <c r="AA59" s="63" t="str">
        <f>IF('GBG Filtered'!Z53 &lt;&gt; "", VLOOKUP('GBG Filtered'!Z53, TypeIcons, 2, False), "")</f>
        <v/>
      </c>
      <c r="AB59" s="63" t="str">
        <f>IF('GBG Filtered'!AA53 &lt;&gt; "", VLOOKUP(IFERROR(VLOOKUP('GBG Filtered'!AA53, FormFixes, 2, false), 'GBG Filtered'!AA53), PokemonIcons, 2, False), "")</f>
        <v/>
      </c>
      <c r="AC59" s="63" t="str">
        <f>IF('GBG Filtered'!AB53 &lt;&gt; "", VLOOKUP('GBG Filtered'!AB53, TypeIcons, 2, False), "")</f>
        <v/>
      </c>
      <c r="AD59" s="103" t="str">
        <f>'GBG Filtered'!AC53</f>
        <v/>
      </c>
      <c r="AE59" s="103" t="str">
        <f>'GBG Filtered'!AD53</f>
        <v/>
      </c>
      <c r="AF59" s="104" t="str">
        <f>'GBG Filtered'!AE53</f>
        <v/>
      </c>
    </row>
    <row r="60" ht="24.0" customHeight="1">
      <c r="B60" s="101" t="str">
        <f>'GBG Filtered'!A54</f>
        <v/>
      </c>
      <c r="C60" s="102" t="str">
        <f>'GBG Filtered'!B54</f>
        <v/>
      </c>
      <c r="D60" s="102" t="str">
        <f>'GBG Filtered'!C54</f>
        <v/>
      </c>
      <c r="E60" s="102" t="str">
        <f>'GBG Filtered'!D54</f>
        <v/>
      </c>
      <c r="F60" s="63" t="str">
        <f>IF('GBG Filtered'!E54 &lt;&gt; "", VLOOKUP(IFERROR(VLOOKUP('GBG Filtered'!E54, FormFixes, 2, false), 'GBG Filtered'!E54), PokemonIcons, 2, False), "")</f>
        <v/>
      </c>
      <c r="G60" s="63" t="str">
        <f>IF('GBG Filtered'!F54 &lt;&gt; "", VLOOKUP(IFERROR(VLOOKUP('GBG Filtered'!F54, FormFixes, 2, false), 'GBG Filtered'!F54), PokemonIcons, 2, False), "")</f>
        <v/>
      </c>
      <c r="H60" s="63" t="str">
        <f>IF('GBG Filtered'!G54 &lt;&gt; "", VLOOKUP(IFERROR(VLOOKUP('GBG Filtered'!G54, FormFixes, 2, false), 'GBG Filtered'!G54), PokemonIcons, 2, False), "")</f>
        <v/>
      </c>
      <c r="I60" s="63" t="str">
        <f>IF('GBG Filtered'!H54 &lt;&gt; "", VLOOKUP(IFERROR(VLOOKUP('GBG Filtered'!H54, FormFixes, 2, false), 'GBG Filtered'!H54), PokemonIcons, 2, False), "")</f>
        <v/>
      </c>
      <c r="J60" s="63" t="str">
        <f>IF('GBG Filtered'!I54 &lt;&gt; "", VLOOKUP(IFERROR(VLOOKUP('GBG Filtered'!I54, FormFixes, 2, false), 'GBG Filtered'!I54), PokemonIcons, 2, False), "")</f>
        <v/>
      </c>
      <c r="K60" s="63" t="str">
        <f>IF('GBG Filtered'!J54 &lt;&gt; "", VLOOKUP(IFERROR(VLOOKUP('GBG Filtered'!J54, FormFixes, 2, false), 'GBG Filtered'!J54), PokemonIcons, 2, False), "")</f>
        <v/>
      </c>
      <c r="O60" s="63" t="str">
        <f>IF('GBG Filtered'!N54 &lt;&gt; "", VLOOKUP(IFERROR(VLOOKUP('GBG Filtered'!N54, FormFixes, 2, false), 'GBG Filtered'!N54), PokemonIcons, 2, False), "")</f>
        <v/>
      </c>
      <c r="P60" s="63" t="str">
        <f>IF('GBG Filtered'!O54 &lt;&gt; "", VLOOKUP(IFERROR(VLOOKUP('GBG Filtered'!O54, FormFixes, 2, false), 'GBG Filtered'!O54), PokemonIcons, 2, False), "")</f>
        <v/>
      </c>
      <c r="Q60" s="63" t="str">
        <f>IF('GBG Filtered'!P54 &lt;&gt; "", VLOOKUP(IFERROR(VLOOKUP('GBG Filtered'!P54, FormFixes, 2, false), 'GBG Filtered'!P54), PokemonIcons, 2, False), "")</f>
        <v/>
      </c>
      <c r="R60" s="63" t="str">
        <f>IF('GBG Filtered'!Q54 &lt;&gt; "", VLOOKUP(IFERROR(VLOOKUP('GBG Filtered'!Q54, FormFixes, 2, false), 'GBG Filtered'!Q54), PokemonIcons, 2, False), "")</f>
        <v/>
      </c>
      <c r="T60" s="63" t="str">
        <f>IF('GBG Filtered'!S54 &lt;&gt; "", VLOOKUP(IFERROR(VLOOKUP('GBG Filtered'!S54, FormFixes, 2, false), 'GBG Filtered'!S54), PokemonIcons, 2, False), "")</f>
        <v/>
      </c>
      <c r="U60" s="63" t="str">
        <f>IF('GBG Filtered'!T54 &lt;&gt; "", VLOOKUP(IFERROR(VLOOKUP('GBG Filtered'!T54, FormFixes, 2, false), 'GBG Filtered'!T54), PokemonIcons, 2, False), "")</f>
        <v/>
      </c>
      <c r="V60" s="63" t="str">
        <f>IF('GBG Filtered'!U54 &lt;&gt; "", VLOOKUP(IFERROR(VLOOKUP('GBG Filtered'!U54, FormFixes, 2, false), 'GBG Filtered'!U54), PokemonIcons, 2, False), "")</f>
        <v/>
      </c>
      <c r="W60" s="63" t="str">
        <f>IF('GBG Filtered'!V54 &lt;&gt; "", VLOOKUP(IFERROR(VLOOKUP('GBG Filtered'!V54, FormFixes, 2, false), 'GBG Filtered'!V54), PokemonIcons, 2, False), "")</f>
        <v/>
      </c>
      <c r="Z60" s="63" t="str">
        <f>IF('GBG Filtered'!Y54 &lt;&gt; "", VLOOKUP(IFERROR(VLOOKUP('GBG Filtered'!Y54, FormFixes, 2, false), 'GBG Filtered'!Y54), PokemonIcons, 2, False), "")</f>
        <v/>
      </c>
      <c r="AA60" s="63" t="str">
        <f>IF('GBG Filtered'!Z54 &lt;&gt; "", VLOOKUP('GBG Filtered'!Z54, TypeIcons, 2, False), "")</f>
        <v/>
      </c>
      <c r="AB60" s="63" t="str">
        <f>IF('GBG Filtered'!AA54 &lt;&gt; "", VLOOKUP(IFERROR(VLOOKUP('GBG Filtered'!AA54, FormFixes, 2, false), 'GBG Filtered'!AA54), PokemonIcons, 2, False), "")</f>
        <v/>
      </c>
      <c r="AC60" s="63" t="str">
        <f>IF('GBG Filtered'!AB54 &lt;&gt; "", VLOOKUP('GBG Filtered'!AB54, TypeIcons, 2, False), "")</f>
        <v/>
      </c>
      <c r="AD60" s="103" t="str">
        <f>'GBG Filtered'!AC54</f>
        <v/>
      </c>
      <c r="AE60" s="103" t="str">
        <f>'GBG Filtered'!AD54</f>
        <v/>
      </c>
      <c r="AF60" s="104" t="str">
        <f>'GBG Filtered'!AE54</f>
        <v/>
      </c>
    </row>
    <row r="61" ht="24.0" customHeight="1">
      <c r="B61" s="101" t="str">
        <f>'GBG Filtered'!A55</f>
        <v/>
      </c>
      <c r="C61" s="102" t="str">
        <f>'GBG Filtered'!B55</f>
        <v/>
      </c>
      <c r="D61" s="102" t="str">
        <f>'GBG Filtered'!C55</f>
        <v/>
      </c>
      <c r="E61" s="102" t="str">
        <f>'GBG Filtered'!D55</f>
        <v/>
      </c>
      <c r="F61" s="63" t="str">
        <f>IF('GBG Filtered'!E55 &lt;&gt; "", VLOOKUP(IFERROR(VLOOKUP('GBG Filtered'!E55, FormFixes, 2, false), 'GBG Filtered'!E55), PokemonIcons, 2, False), "")</f>
        <v/>
      </c>
      <c r="G61" s="63" t="str">
        <f>IF('GBG Filtered'!F55 &lt;&gt; "", VLOOKUP(IFERROR(VLOOKUP('GBG Filtered'!F55, FormFixes, 2, false), 'GBG Filtered'!F55), PokemonIcons, 2, False), "")</f>
        <v/>
      </c>
      <c r="H61" s="63" t="str">
        <f>IF('GBG Filtered'!G55 &lt;&gt; "", VLOOKUP(IFERROR(VLOOKUP('GBG Filtered'!G55, FormFixes, 2, false), 'GBG Filtered'!G55), PokemonIcons, 2, False), "")</f>
        <v/>
      </c>
      <c r="I61" s="63" t="str">
        <f>IF('GBG Filtered'!H55 &lt;&gt; "", VLOOKUP(IFERROR(VLOOKUP('GBG Filtered'!H55, FormFixes, 2, false), 'GBG Filtered'!H55), PokemonIcons, 2, False), "")</f>
        <v/>
      </c>
      <c r="J61" s="63" t="str">
        <f>IF('GBG Filtered'!I55 &lt;&gt; "", VLOOKUP(IFERROR(VLOOKUP('GBG Filtered'!I55, FormFixes, 2, false), 'GBG Filtered'!I55), PokemonIcons, 2, False), "")</f>
        <v/>
      </c>
      <c r="K61" s="63" t="str">
        <f>IF('GBG Filtered'!J55 &lt;&gt; "", VLOOKUP(IFERROR(VLOOKUP('GBG Filtered'!J55, FormFixes, 2, false), 'GBG Filtered'!J55), PokemonIcons, 2, False), "")</f>
        <v/>
      </c>
      <c r="O61" s="63" t="str">
        <f>IF('GBG Filtered'!N55 &lt;&gt; "", VLOOKUP(IFERROR(VLOOKUP('GBG Filtered'!N55, FormFixes, 2, false), 'GBG Filtered'!N55), PokemonIcons, 2, False), "")</f>
        <v/>
      </c>
      <c r="P61" s="63" t="str">
        <f>IF('GBG Filtered'!O55 &lt;&gt; "", VLOOKUP(IFERROR(VLOOKUP('GBG Filtered'!O55, FormFixes, 2, false), 'GBG Filtered'!O55), PokemonIcons, 2, False), "")</f>
        <v/>
      </c>
      <c r="Q61" s="63" t="str">
        <f>IF('GBG Filtered'!P55 &lt;&gt; "", VLOOKUP(IFERROR(VLOOKUP('GBG Filtered'!P55, FormFixes, 2, false), 'GBG Filtered'!P55), PokemonIcons, 2, False), "")</f>
        <v/>
      </c>
      <c r="R61" s="63" t="str">
        <f>IF('GBG Filtered'!Q55 &lt;&gt; "", VLOOKUP(IFERROR(VLOOKUP('GBG Filtered'!Q55, FormFixes, 2, false), 'GBG Filtered'!Q55), PokemonIcons, 2, False), "")</f>
        <v/>
      </c>
      <c r="T61" s="63" t="str">
        <f>IF('GBG Filtered'!S55 &lt;&gt; "", VLOOKUP(IFERROR(VLOOKUP('GBG Filtered'!S55, FormFixes, 2, false), 'GBG Filtered'!S55), PokemonIcons, 2, False), "")</f>
        <v/>
      </c>
      <c r="U61" s="63" t="str">
        <f>IF('GBG Filtered'!T55 &lt;&gt; "", VLOOKUP(IFERROR(VLOOKUP('GBG Filtered'!T55, FormFixes, 2, false), 'GBG Filtered'!T55), PokemonIcons, 2, False), "")</f>
        <v/>
      </c>
      <c r="V61" s="63" t="str">
        <f>IF('GBG Filtered'!U55 &lt;&gt; "", VLOOKUP(IFERROR(VLOOKUP('GBG Filtered'!U55, FormFixes, 2, false), 'GBG Filtered'!U55), PokemonIcons, 2, False), "")</f>
        <v/>
      </c>
      <c r="W61" s="63" t="str">
        <f>IF('GBG Filtered'!V55 &lt;&gt; "", VLOOKUP(IFERROR(VLOOKUP('GBG Filtered'!V55, FormFixes, 2, false), 'GBG Filtered'!V55), PokemonIcons, 2, False), "")</f>
        <v/>
      </c>
      <c r="Z61" s="63" t="str">
        <f>IF('GBG Filtered'!Y55 &lt;&gt; "", VLOOKUP(IFERROR(VLOOKUP('GBG Filtered'!Y55, FormFixes, 2, false), 'GBG Filtered'!Y55), PokemonIcons, 2, False), "")</f>
        <v/>
      </c>
      <c r="AA61" s="63" t="str">
        <f>IF('GBG Filtered'!Z55 &lt;&gt; "", VLOOKUP('GBG Filtered'!Z55, TypeIcons, 2, False), "")</f>
        <v/>
      </c>
      <c r="AB61" s="63" t="str">
        <f>IF('GBG Filtered'!AA55 &lt;&gt; "", VLOOKUP(IFERROR(VLOOKUP('GBG Filtered'!AA55, FormFixes, 2, false), 'GBG Filtered'!AA55), PokemonIcons, 2, False), "")</f>
        <v/>
      </c>
      <c r="AC61" s="63" t="str">
        <f>IF('GBG Filtered'!AB55 &lt;&gt; "", VLOOKUP('GBG Filtered'!AB55, TypeIcons, 2, False), "")</f>
        <v/>
      </c>
      <c r="AD61" s="103" t="str">
        <f>'GBG Filtered'!AC55</f>
        <v/>
      </c>
      <c r="AE61" s="103" t="str">
        <f>'GBG Filtered'!AD55</f>
        <v/>
      </c>
      <c r="AF61" s="104" t="str">
        <f>'GBG Filtered'!AE55</f>
        <v/>
      </c>
    </row>
    <row r="62" ht="24.0" customHeight="1">
      <c r="B62" s="101" t="str">
        <f>'GBG Filtered'!A56</f>
        <v/>
      </c>
      <c r="C62" s="102" t="str">
        <f>'GBG Filtered'!B56</f>
        <v/>
      </c>
      <c r="D62" s="102" t="str">
        <f>'GBG Filtered'!C56</f>
        <v/>
      </c>
      <c r="E62" s="102" t="str">
        <f>'GBG Filtered'!D56</f>
        <v/>
      </c>
      <c r="F62" s="63" t="str">
        <f>IF('GBG Filtered'!E56 &lt;&gt; "", VLOOKUP(IFERROR(VLOOKUP('GBG Filtered'!E56, FormFixes, 2, false), 'GBG Filtered'!E56), PokemonIcons, 2, False), "")</f>
        <v/>
      </c>
      <c r="G62" s="63" t="str">
        <f>IF('GBG Filtered'!F56 &lt;&gt; "", VLOOKUP(IFERROR(VLOOKUP('GBG Filtered'!F56, FormFixes, 2, false), 'GBG Filtered'!F56), PokemonIcons, 2, False), "")</f>
        <v/>
      </c>
      <c r="H62" s="63" t="str">
        <f>IF('GBG Filtered'!G56 &lt;&gt; "", VLOOKUP(IFERROR(VLOOKUP('GBG Filtered'!G56, FormFixes, 2, false), 'GBG Filtered'!G56), PokemonIcons, 2, False), "")</f>
        <v/>
      </c>
      <c r="I62" s="63" t="str">
        <f>IF('GBG Filtered'!H56 &lt;&gt; "", VLOOKUP(IFERROR(VLOOKUP('GBG Filtered'!H56, FormFixes, 2, false), 'GBG Filtered'!H56), PokemonIcons, 2, False), "")</f>
        <v/>
      </c>
      <c r="J62" s="63" t="str">
        <f>IF('GBG Filtered'!I56 &lt;&gt; "", VLOOKUP(IFERROR(VLOOKUP('GBG Filtered'!I56, FormFixes, 2, false), 'GBG Filtered'!I56), PokemonIcons, 2, False), "")</f>
        <v/>
      </c>
      <c r="K62" s="63" t="str">
        <f>IF('GBG Filtered'!J56 &lt;&gt; "", VLOOKUP(IFERROR(VLOOKUP('GBG Filtered'!J56, FormFixes, 2, false), 'GBG Filtered'!J56), PokemonIcons, 2, False), "")</f>
        <v/>
      </c>
      <c r="O62" s="63" t="str">
        <f>IF('GBG Filtered'!N56 &lt;&gt; "", VLOOKUP(IFERROR(VLOOKUP('GBG Filtered'!N56, FormFixes, 2, false), 'GBG Filtered'!N56), PokemonIcons, 2, False), "")</f>
        <v/>
      </c>
      <c r="P62" s="63" t="str">
        <f>IF('GBG Filtered'!O56 &lt;&gt; "", VLOOKUP(IFERROR(VLOOKUP('GBG Filtered'!O56, FormFixes, 2, false), 'GBG Filtered'!O56), PokemonIcons, 2, False), "")</f>
        <v/>
      </c>
      <c r="Q62" s="63" t="str">
        <f>IF('GBG Filtered'!P56 &lt;&gt; "", VLOOKUP(IFERROR(VLOOKUP('GBG Filtered'!P56, FormFixes, 2, false), 'GBG Filtered'!P56), PokemonIcons, 2, False), "")</f>
        <v/>
      </c>
      <c r="R62" s="63" t="str">
        <f>IF('GBG Filtered'!Q56 &lt;&gt; "", VLOOKUP(IFERROR(VLOOKUP('GBG Filtered'!Q56, FormFixes, 2, false), 'GBG Filtered'!Q56), PokemonIcons, 2, False), "")</f>
        <v/>
      </c>
      <c r="T62" s="63" t="str">
        <f>IF('GBG Filtered'!S56 &lt;&gt; "", VLOOKUP(IFERROR(VLOOKUP('GBG Filtered'!S56, FormFixes, 2, false), 'GBG Filtered'!S56), PokemonIcons, 2, False), "")</f>
        <v/>
      </c>
      <c r="U62" s="63" t="str">
        <f>IF('GBG Filtered'!T56 &lt;&gt; "", VLOOKUP(IFERROR(VLOOKUP('GBG Filtered'!T56, FormFixes, 2, false), 'GBG Filtered'!T56), PokemonIcons, 2, False), "")</f>
        <v/>
      </c>
      <c r="V62" s="63" t="str">
        <f>IF('GBG Filtered'!U56 &lt;&gt; "", VLOOKUP(IFERROR(VLOOKUP('GBG Filtered'!U56, FormFixes, 2, false), 'GBG Filtered'!U56), PokemonIcons, 2, False), "")</f>
        <v/>
      </c>
      <c r="W62" s="63" t="str">
        <f>IF('GBG Filtered'!V56 &lt;&gt; "", VLOOKUP(IFERROR(VLOOKUP('GBG Filtered'!V56, FormFixes, 2, false), 'GBG Filtered'!V56), PokemonIcons, 2, False), "")</f>
        <v/>
      </c>
      <c r="Z62" s="63" t="str">
        <f>IF('GBG Filtered'!Y56 &lt;&gt; "", VLOOKUP(IFERROR(VLOOKUP('GBG Filtered'!Y56, FormFixes, 2, false), 'GBG Filtered'!Y56), PokemonIcons, 2, False), "")</f>
        <v/>
      </c>
      <c r="AA62" s="63" t="str">
        <f>IF('GBG Filtered'!Z56 &lt;&gt; "", VLOOKUP('GBG Filtered'!Z56, TypeIcons, 2, False), "")</f>
        <v/>
      </c>
      <c r="AB62" s="63" t="str">
        <f>IF('GBG Filtered'!AA56 &lt;&gt; "", VLOOKUP(IFERROR(VLOOKUP('GBG Filtered'!AA56, FormFixes, 2, false), 'GBG Filtered'!AA56), PokemonIcons, 2, False), "")</f>
        <v/>
      </c>
      <c r="AC62" s="63" t="str">
        <f>IF('GBG Filtered'!AB56 &lt;&gt; "", VLOOKUP('GBG Filtered'!AB56, TypeIcons, 2, False), "")</f>
        <v/>
      </c>
      <c r="AD62" s="103" t="str">
        <f>'GBG Filtered'!AC56</f>
        <v/>
      </c>
      <c r="AE62" s="103" t="str">
        <f>'GBG Filtered'!AD56</f>
        <v/>
      </c>
      <c r="AF62" s="104" t="str">
        <f>'GBG Filtered'!AE56</f>
        <v/>
      </c>
    </row>
    <row r="63" ht="24.0" customHeight="1">
      <c r="B63" s="101" t="str">
        <f>'GBG Filtered'!A57</f>
        <v/>
      </c>
      <c r="C63" s="102" t="str">
        <f>'GBG Filtered'!B57</f>
        <v/>
      </c>
      <c r="D63" s="102" t="str">
        <f>'GBG Filtered'!C57</f>
        <v/>
      </c>
      <c r="E63" s="102" t="str">
        <f>'GBG Filtered'!D57</f>
        <v/>
      </c>
      <c r="F63" s="63" t="str">
        <f>IF('GBG Filtered'!E57 &lt;&gt; "", VLOOKUP(IFERROR(VLOOKUP('GBG Filtered'!E57, FormFixes, 2, false), 'GBG Filtered'!E57), PokemonIcons, 2, False), "")</f>
        <v/>
      </c>
      <c r="G63" s="63" t="str">
        <f>IF('GBG Filtered'!F57 &lt;&gt; "", VLOOKUP(IFERROR(VLOOKUP('GBG Filtered'!F57, FormFixes, 2, false), 'GBG Filtered'!F57), PokemonIcons, 2, False), "")</f>
        <v/>
      </c>
      <c r="H63" s="63" t="str">
        <f>IF('GBG Filtered'!G57 &lt;&gt; "", VLOOKUP(IFERROR(VLOOKUP('GBG Filtered'!G57, FormFixes, 2, false), 'GBG Filtered'!G57), PokemonIcons, 2, False), "")</f>
        <v/>
      </c>
      <c r="I63" s="63" t="str">
        <f>IF('GBG Filtered'!H57 &lt;&gt; "", VLOOKUP(IFERROR(VLOOKUP('GBG Filtered'!H57, FormFixes, 2, false), 'GBG Filtered'!H57), PokemonIcons, 2, False), "")</f>
        <v/>
      </c>
      <c r="J63" s="63" t="str">
        <f>IF('GBG Filtered'!I57 &lt;&gt; "", VLOOKUP(IFERROR(VLOOKUP('GBG Filtered'!I57, FormFixes, 2, false), 'GBG Filtered'!I57), PokemonIcons, 2, False), "")</f>
        <v/>
      </c>
      <c r="K63" s="63" t="str">
        <f>IF('GBG Filtered'!J57 &lt;&gt; "", VLOOKUP(IFERROR(VLOOKUP('GBG Filtered'!J57, FormFixes, 2, false), 'GBG Filtered'!J57), PokemonIcons, 2, False), "")</f>
        <v/>
      </c>
      <c r="O63" s="63" t="str">
        <f>IF('GBG Filtered'!N57 &lt;&gt; "", VLOOKUP(IFERROR(VLOOKUP('GBG Filtered'!N57, FormFixes, 2, false), 'GBG Filtered'!N57), PokemonIcons, 2, False), "")</f>
        <v/>
      </c>
      <c r="P63" s="63" t="str">
        <f>IF('GBG Filtered'!O57 &lt;&gt; "", VLOOKUP(IFERROR(VLOOKUP('GBG Filtered'!O57, FormFixes, 2, false), 'GBG Filtered'!O57), PokemonIcons, 2, False), "")</f>
        <v/>
      </c>
      <c r="Q63" s="63" t="str">
        <f>IF('GBG Filtered'!P57 &lt;&gt; "", VLOOKUP(IFERROR(VLOOKUP('GBG Filtered'!P57, FormFixes, 2, false), 'GBG Filtered'!P57), PokemonIcons, 2, False), "")</f>
        <v/>
      </c>
      <c r="R63" s="63" t="str">
        <f>IF('GBG Filtered'!Q57 &lt;&gt; "", VLOOKUP(IFERROR(VLOOKUP('GBG Filtered'!Q57, FormFixes, 2, false), 'GBG Filtered'!Q57), PokemonIcons, 2, False), "")</f>
        <v/>
      </c>
      <c r="T63" s="63" t="str">
        <f>IF('GBG Filtered'!S57 &lt;&gt; "", VLOOKUP(IFERROR(VLOOKUP('GBG Filtered'!S57, FormFixes, 2, false), 'GBG Filtered'!S57), PokemonIcons, 2, False), "")</f>
        <v/>
      </c>
      <c r="U63" s="63" t="str">
        <f>IF('GBG Filtered'!T57 &lt;&gt; "", VLOOKUP(IFERROR(VLOOKUP('GBG Filtered'!T57, FormFixes, 2, false), 'GBG Filtered'!T57), PokemonIcons, 2, False), "")</f>
        <v/>
      </c>
      <c r="V63" s="63" t="str">
        <f>IF('GBG Filtered'!U57 &lt;&gt; "", VLOOKUP(IFERROR(VLOOKUP('GBG Filtered'!U57, FormFixes, 2, false), 'GBG Filtered'!U57), PokemonIcons, 2, False), "")</f>
        <v/>
      </c>
      <c r="W63" s="63" t="str">
        <f>IF('GBG Filtered'!V57 &lt;&gt; "", VLOOKUP(IFERROR(VLOOKUP('GBG Filtered'!V57, FormFixes, 2, false), 'GBG Filtered'!V57), PokemonIcons, 2, False), "")</f>
        <v/>
      </c>
      <c r="Z63" s="63" t="str">
        <f>IF('GBG Filtered'!Y57 &lt;&gt; "", VLOOKUP(IFERROR(VLOOKUP('GBG Filtered'!Y57, FormFixes, 2, false), 'GBG Filtered'!Y57), PokemonIcons, 2, False), "")</f>
        <v/>
      </c>
      <c r="AA63" s="63" t="str">
        <f>IF('GBG Filtered'!Z57 &lt;&gt; "", VLOOKUP('GBG Filtered'!Z57, TypeIcons, 2, False), "")</f>
        <v/>
      </c>
      <c r="AB63" s="63" t="str">
        <f>IF('GBG Filtered'!AA57 &lt;&gt; "", VLOOKUP(IFERROR(VLOOKUP('GBG Filtered'!AA57, FormFixes, 2, false), 'GBG Filtered'!AA57), PokemonIcons, 2, False), "")</f>
        <v/>
      </c>
      <c r="AC63" s="63" t="str">
        <f>IF('GBG Filtered'!AB57 &lt;&gt; "", VLOOKUP('GBG Filtered'!AB57, TypeIcons, 2, False), "")</f>
        <v/>
      </c>
      <c r="AD63" s="103" t="str">
        <f>'GBG Filtered'!AC57</f>
        <v/>
      </c>
      <c r="AE63" s="103" t="str">
        <f>'GBG Filtered'!AD57</f>
        <v/>
      </c>
      <c r="AF63" s="104" t="str">
        <f>'GBG Filtered'!AE57</f>
        <v/>
      </c>
    </row>
    <row r="64" ht="24.0" customHeight="1">
      <c r="B64" s="101" t="str">
        <f>'GBG Filtered'!A58</f>
        <v/>
      </c>
      <c r="C64" s="102" t="str">
        <f>'GBG Filtered'!B58</f>
        <v/>
      </c>
      <c r="D64" s="102" t="str">
        <f>'GBG Filtered'!C58</f>
        <v/>
      </c>
      <c r="E64" s="102" t="str">
        <f>'GBG Filtered'!D58</f>
        <v/>
      </c>
      <c r="F64" s="63" t="str">
        <f>IF('GBG Filtered'!E58 &lt;&gt; "", VLOOKUP(IFERROR(VLOOKUP('GBG Filtered'!E58, FormFixes, 2, false), 'GBG Filtered'!E58), PokemonIcons, 2, False), "")</f>
        <v/>
      </c>
      <c r="G64" s="63" t="str">
        <f>IF('GBG Filtered'!F58 &lt;&gt; "", VLOOKUP(IFERROR(VLOOKUP('GBG Filtered'!F58, FormFixes, 2, false), 'GBG Filtered'!F58), PokemonIcons, 2, False), "")</f>
        <v/>
      </c>
      <c r="H64" s="63" t="str">
        <f>IF('GBG Filtered'!G58 &lt;&gt; "", VLOOKUP(IFERROR(VLOOKUP('GBG Filtered'!G58, FormFixes, 2, false), 'GBG Filtered'!G58), PokemonIcons, 2, False), "")</f>
        <v/>
      </c>
      <c r="I64" s="63" t="str">
        <f>IF('GBG Filtered'!H58 &lt;&gt; "", VLOOKUP(IFERROR(VLOOKUP('GBG Filtered'!H58, FormFixes, 2, false), 'GBG Filtered'!H58), PokemonIcons, 2, False), "")</f>
        <v/>
      </c>
      <c r="J64" s="63" t="str">
        <f>IF('GBG Filtered'!I58 &lt;&gt; "", VLOOKUP(IFERROR(VLOOKUP('GBG Filtered'!I58, FormFixes, 2, false), 'GBG Filtered'!I58), PokemonIcons, 2, False), "")</f>
        <v/>
      </c>
      <c r="K64" s="63" t="str">
        <f>IF('GBG Filtered'!J58 &lt;&gt; "", VLOOKUP(IFERROR(VLOOKUP('GBG Filtered'!J58, FormFixes, 2, false), 'GBG Filtered'!J58), PokemonIcons, 2, False), "")</f>
        <v/>
      </c>
      <c r="O64" s="63" t="str">
        <f>IF('GBG Filtered'!N58 &lt;&gt; "", VLOOKUP(IFERROR(VLOOKUP('GBG Filtered'!N58, FormFixes, 2, false), 'GBG Filtered'!N58), PokemonIcons, 2, False), "")</f>
        <v/>
      </c>
      <c r="P64" s="63" t="str">
        <f>IF('GBG Filtered'!O58 &lt;&gt; "", VLOOKUP(IFERROR(VLOOKUP('GBG Filtered'!O58, FormFixes, 2, false), 'GBG Filtered'!O58), PokemonIcons, 2, False), "")</f>
        <v/>
      </c>
      <c r="Q64" s="63" t="str">
        <f>IF('GBG Filtered'!P58 &lt;&gt; "", VLOOKUP(IFERROR(VLOOKUP('GBG Filtered'!P58, FormFixes, 2, false), 'GBG Filtered'!P58), PokemonIcons, 2, False), "")</f>
        <v/>
      </c>
      <c r="R64" s="63" t="str">
        <f>IF('GBG Filtered'!Q58 &lt;&gt; "", VLOOKUP(IFERROR(VLOOKUP('GBG Filtered'!Q58, FormFixes, 2, false), 'GBG Filtered'!Q58), PokemonIcons, 2, False), "")</f>
        <v/>
      </c>
      <c r="T64" s="63" t="str">
        <f>IF('GBG Filtered'!S58 &lt;&gt; "", VLOOKUP(IFERROR(VLOOKUP('GBG Filtered'!S58, FormFixes, 2, false), 'GBG Filtered'!S58), PokemonIcons, 2, False), "")</f>
        <v/>
      </c>
      <c r="U64" s="63" t="str">
        <f>IF('GBG Filtered'!T58 &lt;&gt; "", VLOOKUP(IFERROR(VLOOKUP('GBG Filtered'!T58, FormFixes, 2, false), 'GBG Filtered'!T58), PokemonIcons, 2, False), "")</f>
        <v/>
      </c>
      <c r="V64" s="63" t="str">
        <f>IF('GBG Filtered'!U58 &lt;&gt; "", VLOOKUP(IFERROR(VLOOKUP('GBG Filtered'!U58, FormFixes, 2, false), 'GBG Filtered'!U58), PokemonIcons, 2, False), "")</f>
        <v/>
      </c>
      <c r="W64" s="63" t="str">
        <f>IF('GBG Filtered'!V58 &lt;&gt; "", VLOOKUP(IFERROR(VLOOKUP('GBG Filtered'!V58, FormFixes, 2, false), 'GBG Filtered'!V58), PokemonIcons, 2, False), "")</f>
        <v/>
      </c>
      <c r="Z64" s="63" t="str">
        <f>IF('GBG Filtered'!Y58 &lt;&gt; "", VLOOKUP(IFERROR(VLOOKUP('GBG Filtered'!Y58, FormFixes, 2, false), 'GBG Filtered'!Y58), PokemonIcons, 2, False), "")</f>
        <v/>
      </c>
      <c r="AA64" s="63" t="str">
        <f>IF('GBG Filtered'!Z58 &lt;&gt; "", VLOOKUP('GBG Filtered'!Z58, TypeIcons, 2, False), "")</f>
        <v/>
      </c>
      <c r="AB64" s="63" t="str">
        <f>IF('GBG Filtered'!AA58 &lt;&gt; "", VLOOKUP(IFERROR(VLOOKUP('GBG Filtered'!AA58, FormFixes, 2, false), 'GBG Filtered'!AA58), PokemonIcons, 2, False), "")</f>
        <v/>
      </c>
      <c r="AC64" s="63" t="str">
        <f>IF('GBG Filtered'!AB58 &lt;&gt; "", VLOOKUP('GBG Filtered'!AB58, TypeIcons, 2, False), "")</f>
        <v/>
      </c>
      <c r="AD64" s="103" t="str">
        <f>'GBG Filtered'!AC58</f>
        <v/>
      </c>
      <c r="AE64" s="103" t="str">
        <f>'GBG Filtered'!AD58</f>
        <v/>
      </c>
      <c r="AF64" s="104" t="str">
        <f>'GBG Filtered'!AE58</f>
        <v/>
      </c>
    </row>
    <row r="65" ht="24.0" customHeight="1">
      <c r="B65" s="101" t="str">
        <f>'GBG Filtered'!A59</f>
        <v/>
      </c>
      <c r="C65" s="102" t="str">
        <f>'GBG Filtered'!B59</f>
        <v/>
      </c>
      <c r="D65" s="102" t="str">
        <f>'GBG Filtered'!C59</f>
        <v/>
      </c>
      <c r="E65" s="102" t="str">
        <f>'GBG Filtered'!D59</f>
        <v/>
      </c>
      <c r="F65" s="63" t="str">
        <f>IF('GBG Filtered'!E59 &lt;&gt; "", VLOOKUP(IFERROR(VLOOKUP('GBG Filtered'!E59, FormFixes, 2, false), 'GBG Filtered'!E59), PokemonIcons, 2, False), "")</f>
        <v/>
      </c>
      <c r="G65" s="63" t="str">
        <f>IF('GBG Filtered'!F59 &lt;&gt; "", VLOOKUP(IFERROR(VLOOKUP('GBG Filtered'!F59, FormFixes, 2, false), 'GBG Filtered'!F59), PokemonIcons, 2, False), "")</f>
        <v/>
      </c>
      <c r="H65" s="63" t="str">
        <f>IF('GBG Filtered'!G59 &lt;&gt; "", VLOOKUP(IFERROR(VLOOKUP('GBG Filtered'!G59, FormFixes, 2, false), 'GBG Filtered'!G59), PokemonIcons, 2, False), "")</f>
        <v/>
      </c>
      <c r="I65" s="63" t="str">
        <f>IF('GBG Filtered'!H59 &lt;&gt; "", VLOOKUP(IFERROR(VLOOKUP('GBG Filtered'!H59, FormFixes, 2, false), 'GBG Filtered'!H59), PokemonIcons, 2, False), "")</f>
        <v/>
      </c>
      <c r="J65" s="63" t="str">
        <f>IF('GBG Filtered'!I59 &lt;&gt; "", VLOOKUP(IFERROR(VLOOKUP('GBG Filtered'!I59, FormFixes, 2, false), 'GBG Filtered'!I59), PokemonIcons, 2, False), "")</f>
        <v/>
      </c>
      <c r="K65" s="63" t="str">
        <f>IF('GBG Filtered'!J59 &lt;&gt; "", VLOOKUP(IFERROR(VLOOKUP('GBG Filtered'!J59, FormFixes, 2, false), 'GBG Filtered'!J59), PokemonIcons, 2, False), "")</f>
        <v/>
      </c>
      <c r="O65" s="63" t="str">
        <f>IF('GBG Filtered'!N59 &lt;&gt; "", VLOOKUP(IFERROR(VLOOKUP('GBG Filtered'!N59, FormFixes, 2, false), 'GBG Filtered'!N59), PokemonIcons, 2, False), "")</f>
        <v/>
      </c>
      <c r="P65" s="63" t="str">
        <f>IF('GBG Filtered'!O59 &lt;&gt; "", VLOOKUP(IFERROR(VLOOKUP('GBG Filtered'!O59, FormFixes, 2, false), 'GBG Filtered'!O59), PokemonIcons, 2, False), "")</f>
        <v/>
      </c>
      <c r="Q65" s="63" t="str">
        <f>IF('GBG Filtered'!P59 &lt;&gt; "", VLOOKUP(IFERROR(VLOOKUP('GBG Filtered'!P59, FormFixes, 2, false), 'GBG Filtered'!P59), PokemonIcons, 2, False), "")</f>
        <v/>
      </c>
      <c r="R65" s="63" t="str">
        <f>IF('GBG Filtered'!Q59 &lt;&gt; "", VLOOKUP(IFERROR(VLOOKUP('GBG Filtered'!Q59, FormFixes, 2, false), 'GBG Filtered'!Q59), PokemonIcons, 2, False), "")</f>
        <v/>
      </c>
      <c r="T65" s="63" t="str">
        <f>IF('GBG Filtered'!S59 &lt;&gt; "", VLOOKUP(IFERROR(VLOOKUP('GBG Filtered'!S59, FormFixes, 2, false), 'GBG Filtered'!S59), PokemonIcons, 2, False), "")</f>
        <v/>
      </c>
      <c r="U65" s="63" t="str">
        <f>IF('GBG Filtered'!T59 &lt;&gt; "", VLOOKUP(IFERROR(VLOOKUP('GBG Filtered'!T59, FormFixes, 2, false), 'GBG Filtered'!T59), PokemonIcons, 2, False), "")</f>
        <v/>
      </c>
      <c r="V65" s="63" t="str">
        <f>IF('GBG Filtered'!U59 &lt;&gt; "", VLOOKUP(IFERROR(VLOOKUP('GBG Filtered'!U59, FormFixes, 2, false), 'GBG Filtered'!U59), PokemonIcons, 2, False), "")</f>
        <v/>
      </c>
      <c r="W65" s="63" t="str">
        <f>IF('GBG Filtered'!V59 &lt;&gt; "", VLOOKUP(IFERROR(VLOOKUP('GBG Filtered'!V59, FormFixes, 2, false), 'GBG Filtered'!V59), PokemonIcons, 2, False), "")</f>
        <v/>
      </c>
      <c r="Z65" s="63" t="str">
        <f>IF('GBG Filtered'!Y59 &lt;&gt; "", VLOOKUP(IFERROR(VLOOKUP('GBG Filtered'!Y59, FormFixes, 2, false), 'GBG Filtered'!Y59), PokemonIcons, 2, False), "")</f>
        <v/>
      </c>
      <c r="AA65" s="63" t="str">
        <f>IF('GBG Filtered'!Z59 &lt;&gt; "", VLOOKUP('GBG Filtered'!Z59, TypeIcons, 2, False), "")</f>
        <v/>
      </c>
      <c r="AB65" s="63" t="str">
        <f>IF('GBG Filtered'!AA59 &lt;&gt; "", VLOOKUP(IFERROR(VLOOKUP('GBG Filtered'!AA59, FormFixes, 2, false), 'GBG Filtered'!AA59), PokemonIcons, 2, False), "")</f>
        <v/>
      </c>
      <c r="AC65" s="63" t="str">
        <f>IF('GBG Filtered'!AB59 &lt;&gt; "", VLOOKUP('GBG Filtered'!AB59, TypeIcons, 2, False), "")</f>
        <v/>
      </c>
      <c r="AD65" s="103" t="str">
        <f>'GBG Filtered'!AC59</f>
        <v/>
      </c>
      <c r="AE65" s="103" t="str">
        <f>'GBG Filtered'!AD59</f>
        <v/>
      </c>
      <c r="AF65" s="104" t="str">
        <f>'GBG Filtered'!AE59</f>
        <v/>
      </c>
    </row>
    <row r="66" ht="24.0" customHeight="1">
      <c r="B66" s="101" t="str">
        <f>'GBG Filtered'!A60</f>
        <v/>
      </c>
      <c r="C66" s="102" t="str">
        <f>'GBG Filtered'!B60</f>
        <v/>
      </c>
      <c r="D66" s="102" t="str">
        <f>'GBG Filtered'!C60</f>
        <v/>
      </c>
      <c r="E66" s="102" t="str">
        <f>'GBG Filtered'!D60</f>
        <v/>
      </c>
      <c r="F66" s="63" t="str">
        <f>IF('GBG Filtered'!E60 &lt;&gt; "", VLOOKUP(IFERROR(VLOOKUP('GBG Filtered'!E60, FormFixes, 2, false), 'GBG Filtered'!E60), PokemonIcons, 2, False), "")</f>
        <v/>
      </c>
      <c r="G66" s="63" t="str">
        <f>IF('GBG Filtered'!F60 &lt;&gt; "", VLOOKUP(IFERROR(VLOOKUP('GBG Filtered'!F60, FormFixes, 2, false), 'GBG Filtered'!F60), PokemonIcons, 2, False), "")</f>
        <v/>
      </c>
      <c r="H66" s="63" t="str">
        <f>IF('GBG Filtered'!G60 &lt;&gt; "", VLOOKUP(IFERROR(VLOOKUP('GBG Filtered'!G60, FormFixes, 2, false), 'GBG Filtered'!G60), PokemonIcons, 2, False), "")</f>
        <v/>
      </c>
      <c r="I66" s="63" t="str">
        <f>IF('GBG Filtered'!H60 &lt;&gt; "", VLOOKUP(IFERROR(VLOOKUP('GBG Filtered'!H60, FormFixes, 2, false), 'GBG Filtered'!H60), PokemonIcons, 2, False), "")</f>
        <v/>
      </c>
      <c r="J66" s="63" t="str">
        <f>IF('GBG Filtered'!I60 &lt;&gt; "", VLOOKUP(IFERROR(VLOOKUP('GBG Filtered'!I60, FormFixes, 2, false), 'GBG Filtered'!I60), PokemonIcons, 2, False), "")</f>
        <v/>
      </c>
      <c r="K66" s="63" t="str">
        <f>IF('GBG Filtered'!J60 &lt;&gt; "", VLOOKUP(IFERROR(VLOOKUP('GBG Filtered'!J60, FormFixes, 2, false), 'GBG Filtered'!J60), PokemonIcons, 2, False), "")</f>
        <v/>
      </c>
      <c r="O66" s="63" t="str">
        <f>IF('GBG Filtered'!N60 &lt;&gt; "", VLOOKUP(IFERROR(VLOOKUP('GBG Filtered'!N60, FormFixes, 2, false), 'GBG Filtered'!N60), PokemonIcons, 2, False), "")</f>
        <v/>
      </c>
      <c r="P66" s="63" t="str">
        <f>IF('GBG Filtered'!O60 &lt;&gt; "", VLOOKUP(IFERROR(VLOOKUP('GBG Filtered'!O60, FormFixes, 2, false), 'GBG Filtered'!O60), PokemonIcons, 2, False), "")</f>
        <v/>
      </c>
      <c r="Q66" s="63" t="str">
        <f>IF('GBG Filtered'!P60 &lt;&gt; "", VLOOKUP(IFERROR(VLOOKUP('GBG Filtered'!P60, FormFixes, 2, false), 'GBG Filtered'!P60), PokemonIcons, 2, False), "")</f>
        <v/>
      </c>
      <c r="R66" s="63" t="str">
        <f>IF('GBG Filtered'!Q60 &lt;&gt; "", VLOOKUP(IFERROR(VLOOKUP('GBG Filtered'!Q60, FormFixes, 2, false), 'GBG Filtered'!Q60), PokemonIcons, 2, False), "")</f>
        <v/>
      </c>
      <c r="T66" s="63" t="str">
        <f>IF('GBG Filtered'!S60 &lt;&gt; "", VLOOKUP(IFERROR(VLOOKUP('GBG Filtered'!S60, FormFixes, 2, false), 'GBG Filtered'!S60), PokemonIcons, 2, False), "")</f>
        <v/>
      </c>
      <c r="U66" s="63" t="str">
        <f>IF('GBG Filtered'!T60 &lt;&gt; "", VLOOKUP(IFERROR(VLOOKUP('GBG Filtered'!T60, FormFixes, 2, false), 'GBG Filtered'!T60), PokemonIcons, 2, False), "")</f>
        <v/>
      </c>
      <c r="V66" s="63" t="str">
        <f>IF('GBG Filtered'!U60 &lt;&gt; "", VLOOKUP(IFERROR(VLOOKUP('GBG Filtered'!U60, FormFixes, 2, false), 'GBG Filtered'!U60), PokemonIcons, 2, False), "")</f>
        <v/>
      </c>
      <c r="W66" s="63" t="str">
        <f>IF('GBG Filtered'!V60 &lt;&gt; "", VLOOKUP(IFERROR(VLOOKUP('GBG Filtered'!V60, FormFixes, 2, false), 'GBG Filtered'!V60), PokemonIcons, 2, False), "")</f>
        <v/>
      </c>
      <c r="Z66" s="63" t="str">
        <f>IF('GBG Filtered'!Y60 &lt;&gt; "", VLOOKUP(IFERROR(VLOOKUP('GBG Filtered'!Y60, FormFixes, 2, false), 'GBG Filtered'!Y60), PokemonIcons, 2, False), "")</f>
        <v/>
      </c>
      <c r="AA66" s="63" t="str">
        <f>IF('GBG Filtered'!Z60 &lt;&gt; "", VLOOKUP('GBG Filtered'!Z60, TypeIcons, 2, False), "")</f>
        <v/>
      </c>
      <c r="AB66" s="63" t="str">
        <f>IF('GBG Filtered'!AA60 &lt;&gt; "", VLOOKUP(IFERROR(VLOOKUP('GBG Filtered'!AA60, FormFixes, 2, false), 'GBG Filtered'!AA60), PokemonIcons, 2, False), "")</f>
        <v/>
      </c>
      <c r="AC66" s="63" t="str">
        <f>IF('GBG Filtered'!AB60 &lt;&gt; "", VLOOKUP('GBG Filtered'!AB60, TypeIcons, 2, False), "")</f>
        <v/>
      </c>
      <c r="AD66" s="103" t="str">
        <f>'GBG Filtered'!AC60</f>
        <v/>
      </c>
      <c r="AE66" s="103" t="str">
        <f>'GBG Filtered'!AD60</f>
        <v/>
      </c>
      <c r="AF66" s="104" t="str">
        <f>'GBG Filtered'!AE60</f>
        <v/>
      </c>
    </row>
    <row r="67" ht="24.0" customHeight="1">
      <c r="B67" s="101" t="str">
        <f>'GBG Filtered'!A61</f>
        <v/>
      </c>
      <c r="C67" s="102" t="str">
        <f>'GBG Filtered'!B61</f>
        <v/>
      </c>
      <c r="D67" s="102" t="str">
        <f>'GBG Filtered'!C61</f>
        <v/>
      </c>
      <c r="E67" s="102" t="str">
        <f>'GBG Filtered'!D61</f>
        <v/>
      </c>
      <c r="F67" s="63" t="str">
        <f>IF('GBG Filtered'!E61 &lt;&gt; "", VLOOKUP(IFERROR(VLOOKUP('GBG Filtered'!E61, FormFixes, 2, false), 'GBG Filtered'!E61), PokemonIcons, 2, False), "")</f>
        <v/>
      </c>
      <c r="G67" s="63" t="str">
        <f>IF('GBG Filtered'!F61 &lt;&gt; "", VLOOKUP(IFERROR(VLOOKUP('GBG Filtered'!F61, FormFixes, 2, false), 'GBG Filtered'!F61), PokemonIcons, 2, False), "")</f>
        <v/>
      </c>
      <c r="H67" s="63" t="str">
        <f>IF('GBG Filtered'!G61 &lt;&gt; "", VLOOKUP(IFERROR(VLOOKUP('GBG Filtered'!G61, FormFixes, 2, false), 'GBG Filtered'!G61), PokemonIcons, 2, False), "")</f>
        <v/>
      </c>
      <c r="I67" s="63" t="str">
        <f>IF('GBG Filtered'!H61 &lt;&gt; "", VLOOKUP(IFERROR(VLOOKUP('GBG Filtered'!H61, FormFixes, 2, false), 'GBG Filtered'!H61), PokemonIcons, 2, False), "")</f>
        <v/>
      </c>
      <c r="J67" s="63" t="str">
        <f>IF('GBG Filtered'!I61 &lt;&gt; "", VLOOKUP(IFERROR(VLOOKUP('GBG Filtered'!I61, FormFixes, 2, false), 'GBG Filtered'!I61), PokemonIcons, 2, False), "")</f>
        <v/>
      </c>
      <c r="K67" s="63" t="str">
        <f>IF('GBG Filtered'!J61 &lt;&gt; "", VLOOKUP(IFERROR(VLOOKUP('GBG Filtered'!J61, FormFixes, 2, false), 'GBG Filtered'!J61), PokemonIcons, 2, False), "")</f>
        <v/>
      </c>
      <c r="O67" s="63" t="str">
        <f>IF('GBG Filtered'!N61 &lt;&gt; "", VLOOKUP(IFERROR(VLOOKUP('GBG Filtered'!N61, FormFixes, 2, false), 'GBG Filtered'!N61), PokemonIcons, 2, False), "")</f>
        <v/>
      </c>
      <c r="P67" s="63" t="str">
        <f>IF('GBG Filtered'!O61 &lt;&gt; "", VLOOKUP(IFERROR(VLOOKUP('GBG Filtered'!O61, FormFixes, 2, false), 'GBG Filtered'!O61), PokemonIcons, 2, False), "")</f>
        <v/>
      </c>
      <c r="Q67" s="63" t="str">
        <f>IF('GBG Filtered'!P61 &lt;&gt; "", VLOOKUP(IFERROR(VLOOKUP('GBG Filtered'!P61, FormFixes, 2, false), 'GBG Filtered'!P61), PokemonIcons, 2, False), "")</f>
        <v/>
      </c>
      <c r="R67" s="63" t="str">
        <f>IF('GBG Filtered'!Q61 &lt;&gt; "", VLOOKUP(IFERROR(VLOOKUP('GBG Filtered'!Q61, FormFixes, 2, false), 'GBG Filtered'!Q61), PokemonIcons, 2, False), "")</f>
        <v/>
      </c>
      <c r="T67" s="63" t="str">
        <f>IF('GBG Filtered'!S61 &lt;&gt; "", VLOOKUP(IFERROR(VLOOKUP('GBG Filtered'!S61, FormFixes, 2, false), 'GBG Filtered'!S61), PokemonIcons, 2, False), "")</f>
        <v/>
      </c>
      <c r="U67" s="63" t="str">
        <f>IF('GBG Filtered'!T61 &lt;&gt; "", VLOOKUP(IFERROR(VLOOKUP('GBG Filtered'!T61, FormFixes, 2, false), 'GBG Filtered'!T61), PokemonIcons, 2, False), "")</f>
        <v/>
      </c>
      <c r="V67" s="63" t="str">
        <f>IF('GBG Filtered'!U61 &lt;&gt; "", VLOOKUP(IFERROR(VLOOKUP('GBG Filtered'!U61, FormFixes, 2, false), 'GBG Filtered'!U61), PokemonIcons, 2, False), "")</f>
        <v/>
      </c>
      <c r="W67" s="63" t="str">
        <f>IF('GBG Filtered'!V61 &lt;&gt; "", VLOOKUP(IFERROR(VLOOKUP('GBG Filtered'!V61, FormFixes, 2, false), 'GBG Filtered'!V61), PokemonIcons, 2, False), "")</f>
        <v/>
      </c>
      <c r="Z67" s="63" t="str">
        <f>IF('GBG Filtered'!Y61 &lt;&gt; "", VLOOKUP(IFERROR(VLOOKUP('GBG Filtered'!Y61, FormFixes, 2, false), 'GBG Filtered'!Y61), PokemonIcons, 2, False), "")</f>
        <v/>
      </c>
      <c r="AA67" s="63" t="str">
        <f>IF('GBG Filtered'!Z61 &lt;&gt; "", VLOOKUP('GBG Filtered'!Z61, TypeIcons, 2, False), "")</f>
        <v/>
      </c>
      <c r="AB67" s="63" t="str">
        <f>IF('GBG Filtered'!AA61 &lt;&gt; "", VLOOKUP(IFERROR(VLOOKUP('GBG Filtered'!AA61, FormFixes, 2, false), 'GBG Filtered'!AA61), PokemonIcons, 2, False), "")</f>
        <v/>
      </c>
      <c r="AC67" s="63" t="str">
        <f>IF('GBG Filtered'!AB61 &lt;&gt; "", VLOOKUP('GBG Filtered'!AB61, TypeIcons, 2, False), "")</f>
        <v/>
      </c>
      <c r="AD67" s="103" t="str">
        <f>'GBG Filtered'!AC61</f>
        <v/>
      </c>
      <c r="AE67" s="103" t="str">
        <f>'GBG Filtered'!AD61</f>
        <v/>
      </c>
      <c r="AF67" s="104" t="str">
        <f>'GBG Filtered'!AE61</f>
        <v/>
      </c>
    </row>
    <row r="68" ht="24.0" customHeight="1">
      <c r="B68" s="101" t="str">
        <f>'GBG Filtered'!A62</f>
        <v/>
      </c>
      <c r="C68" s="102" t="str">
        <f>'GBG Filtered'!B62</f>
        <v/>
      </c>
      <c r="D68" s="102" t="str">
        <f>'GBG Filtered'!C62</f>
        <v/>
      </c>
      <c r="E68" s="102" t="str">
        <f>'GBG Filtered'!D62</f>
        <v/>
      </c>
      <c r="F68" s="63" t="str">
        <f>IF('GBG Filtered'!E62 &lt;&gt; "", VLOOKUP(IFERROR(VLOOKUP('GBG Filtered'!E62, FormFixes, 2, false), 'GBG Filtered'!E62), PokemonIcons, 2, False), "")</f>
        <v/>
      </c>
      <c r="G68" s="63" t="str">
        <f>IF('GBG Filtered'!F62 &lt;&gt; "", VLOOKUP(IFERROR(VLOOKUP('GBG Filtered'!F62, FormFixes, 2, false), 'GBG Filtered'!F62), PokemonIcons, 2, False), "")</f>
        <v/>
      </c>
      <c r="H68" s="63" t="str">
        <f>IF('GBG Filtered'!G62 &lt;&gt; "", VLOOKUP(IFERROR(VLOOKUP('GBG Filtered'!G62, FormFixes, 2, false), 'GBG Filtered'!G62), PokemonIcons, 2, False), "")</f>
        <v/>
      </c>
      <c r="I68" s="63" t="str">
        <f>IF('GBG Filtered'!H62 &lt;&gt; "", VLOOKUP(IFERROR(VLOOKUP('GBG Filtered'!H62, FormFixes, 2, false), 'GBG Filtered'!H62), PokemonIcons, 2, False), "")</f>
        <v/>
      </c>
      <c r="J68" s="63" t="str">
        <f>IF('GBG Filtered'!I62 &lt;&gt; "", VLOOKUP(IFERROR(VLOOKUP('GBG Filtered'!I62, FormFixes, 2, false), 'GBG Filtered'!I62), PokemonIcons, 2, False), "")</f>
        <v/>
      </c>
      <c r="K68" s="63" t="str">
        <f>IF('GBG Filtered'!J62 &lt;&gt; "", VLOOKUP(IFERROR(VLOOKUP('GBG Filtered'!J62, FormFixes, 2, false), 'GBG Filtered'!J62), PokemonIcons, 2, False), "")</f>
        <v/>
      </c>
      <c r="O68" s="63" t="str">
        <f>IF('GBG Filtered'!N62 &lt;&gt; "", VLOOKUP(IFERROR(VLOOKUP('GBG Filtered'!N62, FormFixes, 2, false), 'GBG Filtered'!N62), PokemonIcons, 2, False), "")</f>
        <v/>
      </c>
      <c r="P68" s="63" t="str">
        <f>IF('GBG Filtered'!O62 &lt;&gt; "", VLOOKUP(IFERROR(VLOOKUP('GBG Filtered'!O62, FormFixes, 2, false), 'GBG Filtered'!O62), PokemonIcons, 2, False), "")</f>
        <v/>
      </c>
      <c r="Q68" s="63" t="str">
        <f>IF('GBG Filtered'!P62 &lt;&gt; "", VLOOKUP(IFERROR(VLOOKUP('GBG Filtered'!P62, FormFixes, 2, false), 'GBG Filtered'!P62), PokemonIcons, 2, False), "")</f>
        <v/>
      </c>
      <c r="R68" s="63" t="str">
        <f>IF('GBG Filtered'!Q62 &lt;&gt; "", VLOOKUP(IFERROR(VLOOKUP('GBG Filtered'!Q62, FormFixes, 2, false), 'GBG Filtered'!Q62), PokemonIcons, 2, False), "")</f>
        <v/>
      </c>
      <c r="T68" s="63" t="str">
        <f>IF('GBG Filtered'!S62 &lt;&gt; "", VLOOKUP(IFERROR(VLOOKUP('GBG Filtered'!S62, FormFixes, 2, false), 'GBG Filtered'!S62), PokemonIcons, 2, False), "")</f>
        <v/>
      </c>
      <c r="U68" s="63" t="str">
        <f>IF('GBG Filtered'!T62 &lt;&gt; "", VLOOKUP(IFERROR(VLOOKUP('GBG Filtered'!T62, FormFixes, 2, false), 'GBG Filtered'!T62), PokemonIcons, 2, False), "")</f>
        <v/>
      </c>
      <c r="V68" s="63" t="str">
        <f>IF('GBG Filtered'!U62 &lt;&gt; "", VLOOKUP(IFERROR(VLOOKUP('GBG Filtered'!U62, FormFixes, 2, false), 'GBG Filtered'!U62), PokemonIcons, 2, False), "")</f>
        <v/>
      </c>
      <c r="W68" s="63" t="str">
        <f>IF('GBG Filtered'!V62 &lt;&gt; "", VLOOKUP(IFERROR(VLOOKUP('GBG Filtered'!V62, FormFixes, 2, false), 'GBG Filtered'!V62), PokemonIcons, 2, False), "")</f>
        <v/>
      </c>
      <c r="Z68" s="63" t="str">
        <f>IF('GBG Filtered'!Y62 &lt;&gt; "", VLOOKUP(IFERROR(VLOOKUP('GBG Filtered'!Y62, FormFixes, 2, false), 'GBG Filtered'!Y62), PokemonIcons, 2, False), "")</f>
        <v/>
      </c>
      <c r="AA68" s="63" t="str">
        <f>IF('GBG Filtered'!Z62 &lt;&gt; "", VLOOKUP('GBG Filtered'!Z62, TypeIcons, 2, False), "")</f>
        <v/>
      </c>
      <c r="AB68" s="63" t="str">
        <f>IF('GBG Filtered'!AA62 &lt;&gt; "", VLOOKUP(IFERROR(VLOOKUP('GBG Filtered'!AA62, FormFixes, 2, false), 'GBG Filtered'!AA62), PokemonIcons, 2, False), "")</f>
        <v/>
      </c>
      <c r="AC68" s="63" t="str">
        <f>IF('GBG Filtered'!AB62 &lt;&gt; "", VLOOKUP('GBG Filtered'!AB62, TypeIcons, 2, False), "")</f>
        <v/>
      </c>
      <c r="AD68" s="103" t="str">
        <f>'GBG Filtered'!AC62</f>
        <v/>
      </c>
      <c r="AE68" s="103" t="str">
        <f>'GBG Filtered'!AD62</f>
        <v/>
      </c>
      <c r="AF68" s="104" t="str">
        <f>'GBG Filtered'!AE62</f>
        <v/>
      </c>
    </row>
    <row r="69" ht="24.0" customHeight="1">
      <c r="B69" s="101" t="str">
        <f>'GBG Filtered'!A63</f>
        <v/>
      </c>
      <c r="C69" s="102" t="str">
        <f>'GBG Filtered'!B63</f>
        <v/>
      </c>
      <c r="D69" s="102" t="str">
        <f>'GBG Filtered'!C63</f>
        <v/>
      </c>
      <c r="E69" s="102" t="str">
        <f>'GBG Filtered'!D63</f>
        <v/>
      </c>
      <c r="F69" s="63" t="str">
        <f>IF('GBG Filtered'!E63 &lt;&gt; "", VLOOKUP(IFERROR(VLOOKUP('GBG Filtered'!E63, FormFixes, 2, false), 'GBG Filtered'!E63), PokemonIcons, 2, False), "")</f>
        <v/>
      </c>
      <c r="G69" s="63" t="str">
        <f>IF('GBG Filtered'!F63 &lt;&gt; "", VLOOKUP(IFERROR(VLOOKUP('GBG Filtered'!F63, FormFixes, 2, false), 'GBG Filtered'!F63), PokemonIcons, 2, False), "")</f>
        <v/>
      </c>
      <c r="H69" s="63" t="str">
        <f>IF('GBG Filtered'!G63 &lt;&gt; "", VLOOKUP(IFERROR(VLOOKUP('GBG Filtered'!G63, FormFixes, 2, false), 'GBG Filtered'!G63), PokemonIcons, 2, False), "")</f>
        <v/>
      </c>
      <c r="I69" s="63" t="str">
        <f>IF('GBG Filtered'!H63 &lt;&gt; "", VLOOKUP(IFERROR(VLOOKUP('GBG Filtered'!H63, FormFixes, 2, false), 'GBG Filtered'!H63), PokemonIcons, 2, False), "")</f>
        <v/>
      </c>
      <c r="J69" s="63" t="str">
        <f>IF('GBG Filtered'!I63 &lt;&gt; "", VLOOKUP(IFERROR(VLOOKUP('GBG Filtered'!I63, FormFixes, 2, false), 'GBG Filtered'!I63), PokemonIcons, 2, False), "")</f>
        <v/>
      </c>
      <c r="K69" s="63" t="str">
        <f>IF('GBG Filtered'!J63 &lt;&gt; "", VLOOKUP(IFERROR(VLOOKUP('GBG Filtered'!J63, FormFixes, 2, false), 'GBG Filtered'!J63), PokemonIcons, 2, False), "")</f>
        <v/>
      </c>
      <c r="O69" s="63" t="str">
        <f>IF('GBG Filtered'!N63 &lt;&gt; "", VLOOKUP(IFERROR(VLOOKUP('GBG Filtered'!N63, FormFixes, 2, false), 'GBG Filtered'!N63), PokemonIcons, 2, False), "")</f>
        <v/>
      </c>
      <c r="P69" s="63" t="str">
        <f>IF('GBG Filtered'!O63 &lt;&gt; "", VLOOKUP(IFERROR(VLOOKUP('GBG Filtered'!O63, FormFixes, 2, false), 'GBG Filtered'!O63), PokemonIcons, 2, False), "")</f>
        <v/>
      </c>
      <c r="Q69" s="63" t="str">
        <f>IF('GBG Filtered'!P63 &lt;&gt; "", VLOOKUP(IFERROR(VLOOKUP('GBG Filtered'!P63, FormFixes, 2, false), 'GBG Filtered'!P63), PokemonIcons, 2, False), "")</f>
        <v/>
      </c>
      <c r="R69" s="63" t="str">
        <f>IF('GBG Filtered'!Q63 &lt;&gt; "", VLOOKUP(IFERROR(VLOOKUP('GBG Filtered'!Q63, FormFixes, 2, false), 'GBG Filtered'!Q63), PokemonIcons, 2, False), "")</f>
        <v/>
      </c>
      <c r="T69" s="63" t="str">
        <f>IF('GBG Filtered'!S63 &lt;&gt; "", VLOOKUP(IFERROR(VLOOKUP('GBG Filtered'!S63, FormFixes, 2, false), 'GBG Filtered'!S63), PokemonIcons, 2, False), "")</f>
        <v/>
      </c>
      <c r="U69" s="63" t="str">
        <f>IF('GBG Filtered'!T63 &lt;&gt; "", VLOOKUP(IFERROR(VLOOKUP('GBG Filtered'!T63, FormFixes, 2, false), 'GBG Filtered'!T63), PokemonIcons, 2, False), "")</f>
        <v/>
      </c>
      <c r="V69" s="63" t="str">
        <f>IF('GBG Filtered'!U63 &lt;&gt; "", VLOOKUP(IFERROR(VLOOKUP('GBG Filtered'!U63, FormFixes, 2, false), 'GBG Filtered'!U63), PokemonIcons, 2, False), "")</f>
        <v/>
      </c>
      <c r="W69" s="63" t="str">
        <f>IF('GBG Filtered'!V63 &lt;&gt; "", VLOOKUP(IFERROR(VLOOKUP('GBG Filtered'!V63, FormFixes, 2, false), 'GBG Filtered'!V63), PokemonIcons, 2, False), "")</f>
        <v/>
      </c>
      <c r="Z69" s="63" t="str">
        <f>IF('GBG Filtered'!Y63 &lt;&gt; "", VLOOKUP(IFERROR(VLOOKUP('GBG Filtered'!Y63, FormFixes, 2, false), 'GBG Filtered'!Y63), PokemonIcons, 2, False), "")</f>
        <v/>
      </c>
      <c r="AA69" s="63" t="str">
        <f>IF('GBG Filtered'!Z63 &lt;&gt; "", VLOOKUP('GBG Filtered'!Z63, TypeIcons, 2, False), "")</f>
        <v/>
      </c>
      <c r="AB69" s="63" t="str">
        <f>IF('GBG Filtered'!AA63 &lt;&gt; "", VLOOKUP(IFERROR(VLOOKUP('GBG Filtered'!AA63, FormFixes, 2, false), 'GBG Filtered'!AA63), PokemonIcons, 2, False), "")</f>
        <v/>
      </c>
      <c r="AC69" s="63" t="str">
        <f>IF('GBG Filtered'!AB63 &lt;&gt; "", VLOOKUP('GBG Filtered'!AB63, TypeIcons, 2, False), "")</f>
        <v/>
      </c>
      <c r="AD69" s="103" t="str">
        <f>'GBG Filtered'!AC63</f>
        <v/>
      </c>
      <c r="AE69" s="103" t="str">
        <f>'GBG Filtered'!AD63</f>
        <v/>
      </c>
      <c r="AF69" s="104" t="str">
        <f>'GBG Filtered'!AE63</f>
        <v/>
      </c>
    </row>
    <row r="70" ht="24.0" customHeight="1">
      <c r="B70" s="101" t="str">
        <f>'GBG Filtered'!A64</f>
        <v/>
      </c>
      <c r="C70" s="102" t="str">
        <f>'GBG Filtered'!B64</f>
        <v/>
      </c>
      <c r="D70" s="102" t="str">
        <f>'GBG Filtered'!C64</f>
        <v/>
      </c>
      <c r="E70" s="102" t="str">
        <f>'GBG Filtered'!D64</f>
        <v/>
      </c>
      <c r="F70" s="63" t="str">
        <f>IF('GBG Filtered'!E64 &lt;&gt; "", VLOOKUP(IFERROR(VLOOKUP('GBG Filtered'!E64, FormFixes, 2, false), 'GBG Filtered'!E64), PokemonIcons, 2, False), "")</f>
        <v/>
      </c>
      <c r="G70" s="63" t="str">
        <f>IF('GBG Filtered'!F64 &lt;&gt; "", VLOOKUP(IFERROR(VLOOKUP('GBG Filtered'!F64, FormFixes, 2, false), 'GBG Filtered'!F64), PokemonIcons, 2, False), "")</f>
        <v/>
      </c>
      <c r="H70" s="63" t="str">
        <f>IF('GBG Filtered'!G64 &lt;&gt; "", VLOOKUP(IFERROR(VLOOKUP('GBG Filtered'!G64, FormFixes, 2, false), 'GBG Filtered'!G64), PokemonIcons, 2, False), "")</f>
        <v/>
      </c>
      <c r="I70" s="63" t="str">
        <f>IF('GBG Filtered'!H64 &lt;&gt; "", VLOOKUP(IFERROR(VLOOKUP('GBG Filtered'!H64, FormFixes, 2, false), 'GBG Filtered'!H64), PokemonIcons, 2, False), "")</f>
        <v/>
      </c>
      <c r="J70" s="63" t="str">
        <f>IF('GBG Filtered'!I64 &lt;&gt; "", VLOOKUP(IFERROR(VLOOKUP('GBG Filtered'!I64, FormFixes, 2, false), 'GBG Filtered'!I64), PokemonIcons, 2, False), "")</f>
        <v/>
      </c>
      <c r="K70" s="63" t="str">
        <f>IF('GBG Filtered'!J64 &lt;&gt; "", VLOOKUP(IFERROR(VLOOKUP('GBG Filtered'!J64, FormFixes, 2, false), 'GBG Filtered'!J64), PokemonIcons, 2, False), "")</f>
        <v/>
      </c>
      <c r="O70" s="63" t="str">
        <f>IF('GBG Filtered'!N64 &lt;&gt; "", VLOOKUP(IFERROR(VLOOKUP('GBG Filtered'!N64, FormFixes, 2, false), 'GBG Filtered'!N64), PokemonIcons, 2, False), "")</f>
        <v/>
      </c>
      <c r="P70" s="63" t="str">
        <f>IF('GBG Filtered'!O64 &lt;&gt; "", VLOOKUP(IFERROR(VLOOKUP('GBG Filtered'!O64, FormFixes, 2, false), 'GBG Filtered'!O64), PokemonIcons, 2, False), "")</f>
        <v/>
      </c>
      <c r="Q70" s="63" t="str">
        <f>IF('GBG Filtered'!P64 &lt;&gt; "", VLOOKUP(IFERROR(VLOOKUP('GBG Filtered'!P64, FormFixes, 2, false), 'GBG Filtered'!P64), PokemonIcons, 2, False), "")</f>
        <v/>
      </c>
      <c r="R70" s="63" t="str">
        <f>IF('GBG Filtered'!Q64 &lt;&gt; "", VLOOKUP(IFERROR(VLOOKUP('GBG Filtered'!Q64, FormFixes, 2, false), 'GBG Filtered'!Q64), PokemonIcons, 2, False), "")</f>
        <v/>
      </c>
      <c r="T70" s="63" t="str">
        <f>IF('GBG Filtered'!S64 &lt;&gt; "", VLOOKUP(IFERROR(VLOOKUP('GBG Filtered'!S64, FormFixes, 2, false), 'GBG Filtered'!S64), PokemonIcons, 2, False), "")</f>
        <v/>
      </c>
      <c r="U70" s="63" t="str">
        <f>IF('GBG Filtered'!T64 &lt;&gt; "", VLOOKUP(IFERROR(VLOOKUP('GBG Filtered'!T64, FormFixes, 2, false), 'GBG Filtered'!T64), PokemonIcons, 2, False), "")</f>
        <v/>
      </c>
      <c r="V70" s="63" t="str">
        <f>IF('GBG Filtered'!U64 &lt;&gt; "", VLOOKUP(IFERROR(VLOOKUP('GBG Filtered'!U64, FormFixes, 2, false), 'GBG Filtered'!U64), PokemonIcons, 2, False), "")</f>
        <v/>
      </c>
      <c r="W70" s="63" t="str">
        <f>IF('GBG Filtered'!V64 &lt;&gt; "", VLOOKUP(IFERROR(VLOOKUP('GBG Filtered'!V64, FormFixes, 2, false), 'GBG Filtered'!V64), PokemonIcons, 2, False), "")</f>
        <v/>
      </c>
      <c r="Z70" s="63" t="str">
        <f>IF('GBG Filtered'!Y64 &lt;&gt; "", VLOOKUP(IFERROR(VLOOKUP('GBG Filtered'!Y64, FormFixes, 2, false), 'GBG Filtered'!Y64), PokemonIcons, 2, False), "")</f>
        <v/>
      </c>
      <c r="AA70" s="63" t="str">
        <f>IF('GBG Filtered'!Z64 &lt;&gt; "", VLOOKUP('GBG Filtered'!Z64, TypeIcons, 2, False), "")</f>
        <v/>
      </c>
      <c r="AB70" s="63" t="str">
        <f>IF('GBG Filtered'!AA64 &lt;&gt; "", VLOOKUP(IFERROR(VLOOKUP('GBG Filtered'!AA64, FormFixes, 2, false), 'GBG Filtered'!AA64), PokemonIcons, 2, False), "")</f>
        <v/>
      </c>
      <c r="AC70" s="63" t="str">
        <f>IF('GBG Filtered'!AB64 &lt;&gt; "", VLOOKUP('GBG Filtered'!AB64, TypeIcons, 2, False), "")</f>
        <v/>
      </c>
      <c r="AD70" s="103" t="str">
        <f>'GBG Filtered'!AC64</f>
        <v/>
      </c>
      <c r="AE70" s="103" t="str">
        <f>'GBG Filtered'!AD64</f>
        <v/>
      </c>
      <c r="AF70" s="104" t="str">
        <f>'GBG Filtered'!AE64</f>
        <v/>
      </c>
    </row>
    <row r="71" ht="24.0" customHeight="1">
      <c r="B71" s="101" t="str">
        <f>'GBG Filtered'!A65</f>
        <v/>
      </c>
      <c r="C71" s="102" t="str">
        <f>'GBG Filtered'!B65</f>
        <v/>
      </c>
      <c r="D71" s="102" t="str">
        <f>'GBG Filtered'!C65</f>
        <v/>
      </c>
      <c r="E71" s="102" t="str">
        <f>'GBG Filtered'!D65</f>
        <v/>
      </c>
      <c r="F71" s="63" t="str">
        <f>IF('GBG Filtered'!E65 &lt;&gt; "", VLOOKUP(IFERROR(VLOOKUP('GBG Filtered'!E65, FormFixes, 2, false), 'GBG Filtered'!E65), PokemonIcons, 2, False), "")</f>
        <v/>
      </c>
      <c r="G71" s="63" t="str">
        <f>IF('GBG Filtered'!F65 &lt;&gt; "", VLOOKUP(IFERROR(VLOOKUP('GBG Filtered'!F65, FormFixes, 2, false), 'GBG Filtered'!F65), PokemonIcons, 2, False), "")</f>
        <v/>
      </c>
      <c r="H71" s="63" t="str">
        <f>IF('GBG Filtered'!G65 &lt;&gt; "", VLOOKUP(IFERROR(VLOOKUP('GBG Filtered'!G65, FormFixes, 2, false), 'GBG Filtered'!G65), PokemonIcons, 2, False), "")</f>
        <v/>
      </c>
      <c r="I71" s="63" t="str">
        <f>IF('GBG Filtered'!H65 &lt;&gt; "", VLOOKUP(IFERROR(VLOOKUP('GBG Filtered'!H65, FormFixes, 2, false), 'GBG Filtered'!H65), PokemonIcons, 2, False), "")</f>
        <v/>
      </c>
      <c r="J71" s="63" t="str">
        <f>IF('GBG Filtered'!I65 &lt;&gt; "", VLOOKUP(IFERROR(VLOOKUP('GBG Filtered'!I65, FormFixes, 2, false), 'GBG Filtered'!I65), PokemonIcons, 2, False), "")</f>
        <v/>
      </c>
      <c r="K71" s="63" t="str">
        <f>IF('GBG Filtered'!J65 &lt;&gt; "", VLOOKUP(IFERROR(VLOOKUP('GBG Filtered'!J65, FormFixes, 2, false), 'GBG Filtered'!J65), PokemonIcons, 2, False), "")</f>
        <v/>
      </c>
      <c r="O71" s="63" t="str">
        <f>IF('GBG Filtered'!N65 &lt;&gt; "", VLOOKUP(IFERROR(VLOOKUP('GBG Filtered'!N65, FormFixes, 2, false), 'GBG Filtered'!N65), PokemonIcons, 2, False), "")</f>
        <v/>
      </c>
      <c r="P71" s="63" t="str">
        <f>IF('GBG Filtered'!O65 &lt;&gt; "", VLOOKUP(IFERROR(VLOOKUP('GBG Filtered'!O65, FormFixes, 2, false), 'GBG Filtered'!O65), PokemonIcons, 2, False), "")</f>
        <v/>
      </c>
      <c r="Q71" s="63" t="str">
        <f>IF('GBG Filtered'!P65 &lt;&gt; "", VLOOKUP(IFERROR(VLOOKUP('GBG Filtered'!P65, FormFixes, 2, false), 'GBG Filtered'!P65), PokemonIcons, 2, False), "")</f>
        <v/>
      </c>
      <c r="R71" s="63" t="str">
        <f>IF('GBG Filtered'!Q65 &lt;&gt; "", VLOOKUP(IFERROR(VLOOKUP('GBG Filtered'!Q65, FormFixes, 2, false), 'GBG Filtered'!Q65), PokemonIcons, 2, False), "")</f>
        <v/>
      </c>
      <c r="T71" s="63" t="str">
        <f>IF('GBG Filtered'!S65 &lt;&gt; "", VLOOKUP(IFERROR(VLOOKUP('GBG Filtered'!S65, FormFixes, 2, false), 'GBG Filtered'!S65), PokemonIcons, 2, False), "")</f>
        <v/>
      </c>
      <c r="U71" s="63" t="str">
        <f>IF('GBG Filtered'!T65 &lt;&gt; "", VLOOKUP(IFERROR(VLOOKUP('GBG Filtered'!T65, FormFixes, 2, false), 'GBG Filtered'!T65), PokemonIcons, 2, False), "")</f>
        <v/>
      </c>
      <c r="V71" s="63" t="str">
        <f>IF('GBG Filtered'!U65 &lt;&gt; "", VLOOKUP(IFERROR(VLOOKUP('GBG Filtered'!U65, FormFixes, 2, false), 'GBG Filtered'!U65), PokemonIcons, 2, False), "")</f>
        <v/>
      </c>
      <c r="W71" s="63" t="str">
        <f>IF('GBG Filtered'!V65 &lt;&gt; "", VLOOKUP(IFERROR(VLOOKUP('GBG Filtered'!V65, FormFixes, 2, false), 'GBG Filtered'!V65), PokemonIcons, 2, False), "")</f>
        <v/>
      </c>
      <c r="Z71" s="63" t="str">
        <f>IF('GBG Filtered'!Y65 &lt;&gt; "", VLOOKUP(IFERROR(VLOOKUP('GBG Filtered'!Y65, FormFixes, 2, false), 'GBG Filtered'!Y65), PokemonIcons, 2, False), "")</f>
        <v/>
      </c>
      <c r="AA71" s="63" t="str">
        <f>IF('GBG Filtered'!Z65 &lt;&gt; "", VLOOKUP('GBG Filtered'!Z65, TypeIcons, 2, False), "")</f>
        <v/>
      </c>
      <c r="AB71" s="63" t="str">
        <f>IF('GBG Filtered'!AA65 &lt;&gt; "", VLOOKUP(IFERROR(VLOOKUP('GBG Filtered'!AA65, FormFixes, 2, false), 'GBG Filtered'!AA65), PokemonIcons, 2, False), "")</f>
        <v/>
      </c>
      <c r="AC71" s="63" t="str">
        <f>IF('GBG Filtered'!AB65 &lt;&gt; "", VLOOKUP('GBG Filtered'!AB65, TypeIcons, 2, False), "")</f>
        <v/>
      </c>
      <c r="AD71" s="103" t="str">
        <f>'GBG Filtered'!AC65</f>
        <v/>
      </c>
      <c r="AE71" s="103" t="str">
        <f>'GBG Filtered'!AD65</f>
        <v/>
      </c>
      <c r="AF71" s="104" t="str">
        <f>'GBG Filtered'!AE65</f>
        <v/>
      </c>
    </row>
    <row r="72" ht="24.0" customHeight="1">
      <c r="B72" s="101" t="str">
        <f>'GBG Filtered'!A66</f>
        <v/>
      </c>
      <c r="C72" s="102" t="str">
        <f>'GBG Filtered'!B66</f>
        <v/>
      </c>
      <c r="D72" s="102" t="str">
        <f>'GBG Filtered'!C66</f>
        <v/>
      </c>
      <c r="E72" s="102" t="str">
        <f>'GBG Filtered'!D66</f>
        <v/>
      </c>
      <c r="F72" s="63" t="str">
        <f>IF('GBG Filtered'!E66 &lt;&gt; "", VLOOKUP(IFERROR(VLOOKUP('GBG Filtered'!E66, FormFixes, 2, false), 'GBG Filtered'!E66), PokemonIcons, 2, False), "")</f>
        <v/>
      </c>
      <c r="G72" s="63" t="str">
        <f>IF('GBG Filtered'!F66 &lt;&gt; "", VLOOKUP(IFERROR(VLOOKUP('GBG Filtered'!F66, FormFixes, 2, false), 'GBG Filtered'!F66), PokemonIcons, 2, False), "")</f>
        <v/>
      </c>
      <c r="H72" s="63" t="str">
        <f>IF('GBG Filtered'!G66 &lt;&gt; "", VLOOKUP(IFERROR(VLOOKUP('GBG Filtered'!G66, FormFixes, 2, false), 'GBG Filtered'!G66), PokemonIcons, 2, False), "")</f>
        <v/>
      </c>
      <c r="I72" s="63" t="str">
        <f>IF('GBG Filtered'!H66 &lt;&gt; "", VLOOKUP(IFERROR(VLOOKUP('GBG Filtered'!H66, FormFixes, 2, false), 'GBG Filtered'!H66), PokemonIcons, 2, False), "")</f>
        <v/>
      </c>
      <c r="J72" s="63" t="str">
        <f>IF('GBG Filtered'!I66 &lt;&gt; "", VLOOKUP(IFERROR(VLOOKUP('GBG Filtered'!I66, FormFixes, 2, false), 'GBG Filtered'!I66), PokemonIcons, 2, False), "")</f>
        <v/>
      </c>
      <c r="K72" s="63" t="str">
        <f>IF('GBG Filtered'!J66 &lt;&gt; "", VLOOKUP(IFERROR(VLOOKUP('GBG Filtered'!J66, FormFixes, 2, false), 'GBG Filtered'!J66), PokemonIcons, 2, False), "")</f>
        <v/>
      </c>
      <c r="O72" s="63" t="str">
        <f>IF('GBG Filtered'!N66 &lt;&gt; "", VLOOKUP(IFERROR(VLOOKUP('GBG Filtered'!N66, FormFixes, 2, false), 'GBG Filtered'!N66), PokemonIcons, 2, False), "")</f>
        <v/>
      </c>
      <c r="P72" s="63" t="str">
        <f>IF('GBG Filtered'!O66 &lt;&gt; "", VLOOKUP(IFERROR(VLOOKUP('GBG Filtered'!O66, FormFixes, 2, false), 'GBG Filtered'!O66), PokemonIcons, 2, False), "")</f>
        <v/>
      </c>
      <c r="Q72" s="63" t="str">
        <f>IF('GBG Filtered'!P66 &lt;&gt; "", VLOOKUP(IFERROR(VLOOKUP('GBG Filtered'!P66, FormFixes, 2, false), 'GBG Filtered'!P66), PokemonIcons, 2, False), "")</f>
        <v/>
      </c>
      <c r="R72" s="63" t="str">
        <f>IF('GBG Filtered'!Q66 &lt;&gt; "", VLOOKUP(IFERROR(VLOOKUP('GBG Filtered'!Q66, FormFixes, 2, false), 'GBG Filtered'!Q66), PokemonIcons, 2, False), "")</f>
        <v/>
      </c>
      <c r="T72" s="63" t="str">
        <f>IF('GBG Filtered'!S66 &lt;&gt; "", VLOOKUP(IFERROR(VLOOKUP('GBG Filtered'!S66, FormFixes, 2, false), 'GBG Filtered'!S66), PokemonIcons, 2, False), "")</f>
        <v/>
      </c>
      <c r="U72" s="63" t="str">
        <f>IF('GBG Filtered'!T66 &lt;&gt; "", VLOOKUP(IFERROR(VLOOKUP('GBG Filtered'!T66, FormFixes, 2, false), 'GBG Filtered'!T66), PokemonIcons, 2, False), "")</f>
        <v/>
      </c>
      <c r="V72" s="63" t="str">
        <f>IF('GBG Filtered'!U66 &lt;&gt; "", VLOOKUP(IFERROR(VLOOKUP('GBG Filtered'!U66, FormFixes, 2, false), 'GBG Filtered'!U66), PokemonIcons, 2, False), "")</f>
        <v/>
      </c>
      <c r="W72" s="63" t="str">
        <f>IF('GBG Filtered'!V66 &lt;&gt; "", VLOOKUP(IFERROR(VLOOKUP('GBG Filtered'!V66, FormFixes, 2, false), 'GBG Filtered'!V66), PokemonIcons, 2, False), "")</f>
        <v/>
      </c>
      <c r="Z72" s="63" t="str">
        <f>IF('GBG Filtered'!Y66 &lt;&gt; "", VLOOKUP(IFERROR(VLOOKUP('GBG Filtered'!Y66, FormFixes, 2, false), 'GBG Filtered'!Y66), PokemonIcons, 2, False), "")</f>
        <v/>
      </c>
      <c r="AA72" s="63" t="str">
        <f>IF('GBG Filtered'!Z66 &lt;&gt; "", VLOOKUP('GBG Filtered'!Z66, TypeIcons, 2, False), "")</f>
        <v/>
      </c>
      <c r="AB72" s="63" t="str">
        <f>IF('GBG Filtered'!AA66 &lt;&gt; "", VLOOKUP(IFERROR(VLOOKUP('GBG Filtered'!AA66, FormFixes, 2, false), 'GBG Filtered'!AA66), PokemonIcons, 2, False), "")</f>
        <v/>
      </c>
      <c r="AC72" s="63" t="str">
        <f>IF('GBG Filtered'!AB66 &lt;&gt; "", VLOOKUP('GBG Filtered'!AB66, TypeIcons, 2, False), "")</f>
        <v/>
      </c>
      <c r="AD72" s="103" t="str">
        <f>'GBG Filtered'!AC66</f>
        <v/>
      </c>
      <c r="AE72" s="103" t="str">
        <f>'GBG Filtered'!AD66</f>
        <v/>
      </c>
      <c r="AF72" s="104" t="str">
        <f>'GBG Filtered'!AE66</f>
        <v/>
      </c>
    </row>
    <row r="73" ht="24.0" customHeight="1">
      <c r="B73" s="101" t="str">
        <f>'GBG Filtered'!A67</f>
        <v/>
      </c>
      <c r="C73" s="102" t="str">
        <f>'GBG Filtered'!B67</f>
        <v/>
      </c>
      <c r="D73" s="102" t="str">
        <f>'GBG Filtered'!C67</f>
        <v/>
      </c>
      <c r="E73" s="102" t="str">
        <f>'GBG Filtered'!D67</f>
        <v/>
      </c>
      <c r="F73" s="63" t="str">
        <f>IF('GBG Filtered'!E67 &lt;&gt; "", VLOOKUP(IFERROR(VLOOKUP('GBG Filtered'!E67, FormFixes, 2, false), 'GBG Filtered'!E67), PokemonIcons, 2, False), "")</f>
        <v/>
      </c>
      <c r="G73" s="63" t="str">
        <f>IF('GBG Filtered'!F67 &lt;&gt; "", VLOOKUP(IFERROR(VLOOKUP('GBG Filtered'!F67, FormFixes, 2, false), 'GBG Filtered'!F67), PokemonIcons, 2, False), "")</f>
        <v/>
      </c>
      <c r="H73" s="63" t="str">
        <f>IF('GBG Filtered'!G67 &lt;&gt; "", VLOOKUP(IFERROR(VLOOKUP('GBG Filtered'!G67, FormFixes, 2, false), 'GBG Filtered'!G67), PokemonIcons, 2, False), "")</f>
        <v/>
      </c>
      <c r="I73" s="63" t="str">
        <f>IF('GBG Filtered'!H67 &lt;&gt; "", VLOOKUP(IFERROR(VLOOKUP('GBG Filtered'!H67, FormFixes, 2, false), 'GBG Filtered'!H67), PokemonIcons, 2, False), "")</f>
        <v/>
      </c>
      <c r="J73" s="63" t="str">
        <f>IF('GBG Filtered'!I67 &lt;&gt; "", VLOOKUP(IFERROR(VLOOKUP('GBG Filtered'!I67, FormFixes, 2, false), 'GBG Filtered'!I67), PokemonIcons, 2, False), "")</f>
        <v/>
      </c>
      <c r="K73" s="63" t="str">
        <f>IF('GBG Filtered'!J67 &lt;&gt; "", VLOOKUP(IFERROR(VLOOKUP('GBG Filtered'!J67, FormFixes, 2, false), 'GBG Filtered'!J67), PokemonIcons, 2, False), "")</f>
        <v/>
      </c>
      <c r="O73" s="63" t="str">
        <f>IF('GBG Filtered'!N67 &lt;&gt; "", VLOOKUP(IFERROR(VLOOKUP('GBG Filtered'!N67, FormFixes, 2, false), 'GBG Filtered'!N67), PokemonIcons, 2, False), "")</f>
        <v/>
      </c>
      <c r="P73" s="63" t="str">
        <f>IF('GBG Filtered'!O67 &lt;&gt; "", VLOOKUP(IFERROR(VLOOKUP('GBG Filtered'!O67, FormFixes, 2, false), 'GBG Filtered'!O67), PokemonIcons, 2, False), "")</f>
        <v/>
      </c>
      <c r="Q73" s="63" t="str">
        <f>IF('GBG Filtered'!P67 &lt;&gt; "", VLOOKUP(IFERROR(VLOOKUP('GBG Filtered'!P67, FormFixes, 2, false), 'GBG Filtered'!P67), PokemonIcons, 2, False), "")</f>
        <v/>
      </c>
      <c r="R73" s="63" t="str">
        <f>IF('GBG Filtered'!Q67 &lt;&gt; "", VLOOKUP(IFERROR(VLOOKUP('GBG Filtered'!Q67, FormFixes, 2, false), 'GBG Filtered'!Q67), PokemonIcons, 2, False), "")</f>
        <v/>
      </c>
      <c r="T73" s="63" t="str">
        <f>IF('GBG Filtered'!S67 &lt;&gt; "", VLOOKUP(IFERROR(VLOOKUP('GBG Filtered'!S67, FormFixes, 2, false), 'GBG Filtered'!S67), PokemonIcons, 2, False), "")</f>
        <v/>
      </c>
      <c r="U73" s="63" t="str">
        <f>IF('GBG Filtered'!T67 &lt;&gt; "", VLOOKUP(IFERROR(VLOOKUP('GBG Filtered'!T67, FormFixes, 2, false), 'GBG Filtered'!T67), PokemonIcons, 2, False), "")</f>
        <v/>
      </c>
      <c r="V73" s="63" t="str">
        <f>IF('GBG Filtered'!U67 &lt;&gt; "", VLOOKUP(IFERROR(VLOOKUP('GBG Filtered'!U67, FormFixes, 2, false), 'GBG Filtered'!U67), PokemonIcons, 2, False), "")</f>
        <v/>
      </c>
      <c r="W73" s="63" t="str">
        <f>IF('GBG Filtered'!V67 &lt;&gt; "", VLOOKUP(IFERROR(VLOOKUP('GBG Filtered'!V67, FormFixes, 2, false), 'GBG Filtered'!V67), PokemonIcons, 2, False), "")</f>
        <v/>
      </c>
      <c r="Z73" s="63" t="str">
        <f>IF('GBG Filtered'!Y67 &lt;&gt; "", VLOOKUP(IFERROR(VLOOKUP('GBG Filtered'!Y67, FormFixes, 2, false), 'GBG Filtered'!Y67), PokemonIcons, 2, False), "")</f>
        <v/>
      </c>
      <c r="AA73" s="63" t="str">
        <f>IF('GBG Filtered'!Z67 &lt;&gt; "", VLOOKUP('GBG Filtered'!Z67, TypeIcons, 2, False), "")</f>
        <v/>
      </c>
      <c r="AB73" s="63" t="str">
        <f>IF('GBG Filtered'!AA67 &lt;&gt; "", VLOOKUP(IFERROR(VLOOKUP('GBG Filtered'!AA67, FormFixes, 2, false), 'GBG Filtered'!AA67), PokemonIcons, 2, False), "")</f>
        <v/>
      </c>
      <c r="AC73" s="63" t="str">
        <f>IF('GBG Filtered'!AB67 &lt;&gt; "", VLOOKUP('GBG Filtered'!AB67, TypeIcons, 2, False), "")</f>
        <v/>
      </c>
      <c r="AD73" s="103" t="str">
        <f>'GBG Filtered'!AC67</f>
        <v/>
      </c>
      <c r="AE73" s="103" t="str">
        <f>'GBG Filtered'!AD67</f>
        <v/>
      </c>
      <c r="AF73" s="104" t="str">
        <f>'GBG Filtered'!AE67</f>
        <v/>
      </c>
    </row>
    <row r="74" ht="24.0" customHeight="1">
      <c r="B74" s="101" t="str">
        <f>'GBG Filtered'!A68</f>
        <v/>
      </c>
      <c r="C74" s="102" t="str">
        <f>'GBG Filtered'!B68</f>
        <v/>
      </c>
      <c r="D74" s="102" t="str">
        <f>'GBG Filtered'!C68</f>
        <v/>
      </c>
      <c r="E74" s="102" t="str">
        <f>'GBG Filtered'!D68</f>
        <v/>
      </c>
      <c r="F74" s="63" t="str">
        <f>IF('GBG Filtered'!E68 &lt;&gt; "", VLOOKUP(IFERROR(VLOOKUP('GBG Filtered'!E68, FormFixes, 2, false), 'GBG Filtered'!E68), PokemonIcons, 2, False), "")</f>
        <v/>
      </c>
      <c r="G74" s="63" t="str">
        <f>IF('GBG Filtered'!F68 &lt;&gt; "", VLOOKUP(IFERROR(VLOOKUP('GBG Filtered'!F68, FormFixes, 2, false), 'GBG Filtered'!F68), PokemonIcons, 2, False), "")</f>
        <v/>
      </c>
      <c r="H74" s="63" t="str">
        <f>IF('GBG Filtered'!G68 &lt;&gt; "", VLOOKUP(IFERROR(VLOOKUP('GBG Filtered'!G68, FormFixes, 2, false), 'GBG Filtered'!G68), PokemonIcons, 2, False), "")</f>
        <v/>
      </c>
      <c r="I74" s="63" t="str">
        <f>IF('GBG Filtered'!H68 &lt;&gt; "", VLOOKUP(IFERROR(VLOOKUP('GBG Filtered'!H68, FormFixes, 2, false), 'GBG Filtered'!H68), PokemonIcons, 2, False), "")</f>
        <v/>
      </c>
      <c r="J74" s="63" t="str">
        <f>IF('GBG Filtered'!I68 &lt;&gt; "", VLOOKUP(IFERROR(VLOOKUP('GBG Filtered'!I68, FormFixes, 2, false), 'GBG Filtered'!I68), PokemonIcons, 2, False), "")</f>
        <v/>
      </c>
      <c r="K74" s="63" t="str">
        <f>IF('GBG Filtered'!J68 &lt;&gt; "", VLOOKUP(IFERROR(VLOOKUP('GBG Filtered'!J68, FormFixes, 2, false), 'GBG Filtered'!J68), PokemonIcons, 2, False), "")</f>
        <v/>
      </c>
      <c r="O74" s="63" t="str">
        <f>IF('GBG Filtered'!N68 &lt;&gt; "", VLOOKUP(IFERROR(VLOOKUP('GBG Filtered'!N68, FormFixes, 2, false), 'GBG Filtered'!N68), PokemonIcons, 2, False), "")</f>
        <v/>
      </c>
      <c r="P74" s="63" t="str">
        <f>IF('GBG Filtered'!O68 &lt;&gt; "", VLOOKUP(IFERROR(VLOOKUP('GBG Filtered'!O68, FormFixes, 2, false), 'GBG Filtered'!O68), PokemonIcons, 2, False), "")</f>
        <v/>
      </c>
      <c r="Q74" s="63" t="str">
        <f>IF('GBG Filtered'!P68 &lt;&gt; "", VLOOKUP(IFERROR(VLOOKUP('GBG Filtered'!P68, FormFixes, 2, false), 'GBG Filtered'!P68), PokemonIcons, 2, False), "")</f>
        <v/>
      </c>
      <c r="R74" s="63" t="str">
        <f>IF('GBG Filtered'!Q68 &lt;&gt; "", VLOOKUP(IFERROR(VLOOKUP('GBG Filtered'!Q68, FormFixes, 2, false), 'GBG Filtered'!Q68), PokemonIcons, 2, False), "")</f>
        <v/>
      </c>
      <c r="T74" s="63" t="str">
        <f>IF('GBG Filtered'!S68 &lt;&gt; "", VLOOKUP(IFERROR(VLOOKUP('GBG Filtered'!S68, FormFixes, 2, false), 'GBG Filtered'!S68), PokemonIcons, 2, False), "")</f>
        <v/>
      </c>
      <c r="U74" s="63" t="str">
        <f>IF('GBG Filtered'!T68 &lt;&gt; "", VLOOKUP(IFERROR(VLOOKUP('GBG Filtered'!T68, FormFixes, 2, false), 'GBG Filtered'!T68), PokemonIcons, 2, False), "")</f>
        <v/>
      </c>
      <c r="V74" s="63" t="str">
        <f>IF('GBG Filtered'!U68 &lt;&gt; "", VLOOKUP(IFERROR(VLOOKUP('GBG Filtered'!U68, FormFixes, 2, false), 'GBG Filtered'!U68), PokemonIcons, 2, False), "")</f>
        <v/>
      </c>
      <c r="W74" s="63" t="str">
        <f>IF('GBG Filtered'!V68 &lt;&gt; "", VLOOKUP(IFERROR(VLOOKUP('GBG Filtered'!V68, FormFixes, 2, false), 'GBG Filtered'!V68), PokemonIcons, 2, False), "")</f>
        <v/>
      </c>
      <c r="Z74" s="63" t="str">
        <f>IF('GBG Filtered'!Y68 &lt;&gt; "", VLOOKUP(IFERROR(VLOOKUP('GBG Filtered'!Y68, FormFixes, 2, false), 'GBG Filtered'!Y68), PokemonIcons, 2, False), "")</f>
        <v/>
      </c>
      <c r="AA74" s="63" t="str">
        <f>IF('GBG Filtered'!Z68 &lt;&gt; "", VLOOKUP('GBG Filtered'!Z68, TypeIcons, 2, False), "")</f>
        <v/>
      </c>
      <c r="AB74" s="63" t="str">
        <f>IF('GBG Filtered'!AA68 &lt;&gt; "", VLOOKUP(IFERROR(VLOOKUP('GBG Filtered'!AA68, FormFixes, 2, false), 'GBG Filtered'!AA68), PokemonIcons, 2, False), "")</f>
        <v/>
      </c>
      <c r="AC74" s="63" t="str">
        <f>IF('GBG Filtered'!AB68 &lt;&gt; "", VLOOKUP('GBG Filtered'!AB68, TypeIcons, 2, False), "")</f>
        <v/>
      </c>
      <c r="AD74" s="103" t="str">
        <f>'GBG Filtered'!AC68</f>
        <v/>
      </c>
      <c r="AE74" s="103" t="str">
        <f>'GBG Filtered'!AD68</f>
        <v/>
      </c>
      <c r="AF74" s="104" t="str">
        <f>'GBG Filtered'!AE68</f>
        <v/>
      </c>
    </row>
    <row r="75" ht="24.0" customHeight="1">
      <c r="B75" s="101" t="str">
        <f>'GBG Filtered'!A69</f>
        <v/>
      </c>
      <c r="C75" s="102" t="str">
        <f>'GBG Filtered'!B69</f>
        <v/>
      </c>
      <c r="D75" s="102" t="str">
        <f>'GBG Filtered'!C69</f>
        <v/>
      </c>
      <c r="E75" s="102" t="str">
        <f>'GBG Filtered'!D69</f>
        <v/>
      </c>
      <c r="F75" s="63" t="str">
        <f>IF('GBG Filtered'!E69 &lt;&gt; "", VLOOKUP(IFERROR(VLOOKUP('GBG Filtered'!E69, FormFixes, 2, false), 'GBG Filtered'!E69), PokemonIcons, 2, False), "")</f>
        <v/>
      </c>
      <c r="G75" s="63" t="str">
        <f>IF('GBG Filtered'!F69 &lt;&gt; "", VLOOKUP(IFERROR(VLOOKUP('GBG Filtered'!F69, FormFixes, 2, false), 'GBG Filtered'!F69), PokemonIcons, 2, False), "")</f>
        <v/>
      </c>
      <c r="H75" s="63" t="str">
        <f>IF('GBG Filtered'!G69 &lt;&gt; "", VLOOKUP(IFERROR(VLOOKUP('GBG Filtered'!G69, FormFixes, 2, false), 'GBG Filtered'!G69), PokemonIcons, 2, False), "")</f>
        <v/>
      </c>
      <c r="I75" s="63" t="str">
        <f>IF('GBG Filtered'!H69 &lt;&gt; "", VLOOKUP(IFERROR(VLOOKUP('GBG Filtered'!H69, FormFixes, 2, false), 'GBG Filtered'!H69), PokemonIcons, 2, False), "")</f>
        <v/>
      </c>
      <c r="J75" s="63" t="str">
        <f>IF('GBG Filtered'!I69 &lt;&gt; "", VLOOKUP(IFERROR(VLOOKUP('GBG Filtered'!I69, FormFixes, 2, false), 'GBG Filtered'!I69), PokemonIcons, 2, False), "")</f>
        <v/>
      </c>
      <c r="K75" s="63" t="str">
        <f>IF('GBG Filtered'!J69 &lt;&gt; "", VLOOKUP(IFERROR(VLOOKUP('GBG Filtered'!J69, FormFixes, 2, false), 'GBG Filtered'!J69), PokemonIcons, 2, False), "")</f>
        <v/>
      </c>
      <c r="O75" s="63" t="str">
        <f>IF('GBG Filtered'!N69 &lt;&gt; "", VLOOKUP(IFERROR(VLOOKUP('GBG Filtered'!N69, FormFixes, 2, false), 'GBG Filtered'!N69), PokemonIcons, 2, False), "")</f>
        <v/>
      </c>
      <c r="P75" s="63" t="str">
        <f>IF('GBG Filtered'!O69 &lt;&gt; "", VLOOKUP(IFERROR(VLOOKUP('GBG Filtered'!O69, FormFixes, 2, false), 'GBG Filtered'!O69), PokemonIcons, 2, False), "")</f>
        <v/>
      </c>
      <c r="Q75" s="63" t="str">
        <f>IF('GBG Filtered'!P69 &lt;&gt; "", VLOOKUP(IFERROR(VLOOKUP('GBG Filtered'!P69, FormFixes, 2, false), 'GBG Filtered'!P69), PokemonIcons, 2, False), "")</f>
        <v/>
      </c>
      <c r="R75" s="63" t="str">
        <f>IF('GBG Filtered'!Q69 &lt;&gt; "", VLOOKUP(IFERROR(VLOOKUP('GBG Filtered'!Q69, FormFixes, 2, false), 'GBG Filtered'!Q69), PokemonIcons, 2, False), "")</f>
        <v/>
      </c>
      <c r="T75" s="63" t="str">
        <f>IF('GBG Filtered'!S69 &lt;&gt; "", VLOOKUP(IFERROR(VLOOKUP('GBG Filtered'!S69, FormFixes, 2, false), 'GBG Filtered'!S69), PokemonIcons, 2, False), "")</f>
        <v/>
      </c>
      <c r="U75" s="63" t="str">
        <f>IF('GBG Filtered'!T69 &lt;&gt; "", VLOOKUP(IFERROR(VLOOKUP('GBG Filtered'!T69, FormFixes, 2, false), 'GBG Filtered'!T69), PokemonIcons, 2, False), "")</f>
        <v/>
      </c>
      <c r="V75" s="63" t="str">
        <f>IF('GBG Filtered'!U69 &lt;&gt; "", VLOOKUP(IFERROR(VLOOKUP('GBG Filtered'!U69, FormFixes, 2, false), 'GBG Filtered'!U69), PokemonIcons, 2, False), "")</f>
        <v/>
      </c>
      <c r="W75" s="63" t="str">
        <f>IF('GBG Filtered'!V69 &lt;&gt; "", VLOOKUP(IFERROR(VLOOKUP('GBG Filtered'!V69, FormFixes, 2, false), 'GBG Filtered'!V69), PokemonIcons, 2, False), "")</f>
        <v/>
      </c>
      <c r="Z75" s="63" t="str">
        <f>IF('GBG Filtered'!Y69 &lt;&gt; "", VLOOKUP(IFERROR(VLOOKUP('GBG Filtered'!Y69, FormFixes, 2, false), 'GBG Filtered'!Y69), PokemonIcons, 2, False), "")</f>
        <v/>
      </c>
      <c r="AA75" s="63" t="str">
        <f>IF('GBG Filtered'!Z69 &lt;&gt; "", VLOOKUP('GBG Filtered'!Z69, TypeIcons, 2, False), "")</f>
        <v/>
      </c>
      <c r="AB75" s="63" t="str">
        <f>IF('GBG Filtered'!AA69 &lt;&gt; "", VLOOKUP(IFERROR(VLOOKUP('GBG Filtered'!AA69, FormFixes, 2, false), 'GBG Filtered'!AA69), PokemonIcons, 2, False), "")</f>
        <v/>
      </c>
      <c r="AC75" s="63" t="str">
        <f>IF('GBG Filtered'!AB69 &lt;&gt; "", VLOOKUP('GBG Filtered'!AB69, TypeIcons, 2, False), "")</f>
        <v/>
      </c>
      <c r="AD75" s="103" t="str">
        <f>'GBG Filtered'!AC69</f>
        <v/>
      </c>
      <c r="AE75" s="103" t="str">
        <f>'GBG Filtered'!AD69</f>
        <v/>
      </c>
      <c r="AF75" s="104" t="str">
        <f>'GBG Filtered'!AE69</f>
        <v/>
      </c>
    </row>
    <row r="76" ht="24.0" customHeight="1">
      <c r="B76" s="101" t="str">
        <f>'GBG Filtered'!A70</f>
        <v/>
      </c>
      <c r="C76" s="102" t="str">
        <f>'GBG Filtered'!B70</f>
        <v/>
      </c>
      <c r="D76" s="102" t="str">
        <f>'GBG Filtered'!C70</f>
        <v/>
      </c>
      <c r="E76" s="102" t="str">
        <f>'GBG Filtered'!D70</f>
        <v/>
      </c>
      <c r="F76" s="63" t="str">
        <f>IF('GBG Filtered'!E70 &lt;&gt; "", VLOOKUP(IFERROR(VLOOKUP('GBG Filtered'!E70, FormFixes, 2, false), 'GBG Filtered'!E70), PokemonIcons, 2, False), "")</f>
        <v/>
      </c>
      <c r="G76" s="63" t="str">
        <f>IF('GBG Filtered'!F70 &lt;&gt; "", VLOOKUP(IFERROR(VLOOKUP('GBG Filtered'!F70, FormFixes, 2, false), 'GBG Filtered'!F70), PokemonIcons, 2, False), "")</f>
        <v/>
      </c>
      <c r="H76" s="63" t="str">
        <f>IF('GBG Filtered'!G70 &lt;&gt; "", VLOOKUP(IFERROR(VLOOKUP('GBG Filtered'!G70, FormFixes, 2, false), 'GBG Filtered'!G70), PokemonIcons, 2, False), "")</f>
        <v/>
      </c>
      <c r="I76" s="63" t="str">
        <f>IF('GBG Filtered'!H70 &lt;&gt; "", VLOOKUP(IFERROR(VLOOKUP('GBG Filtered'!H70, FormFixes, 2, false), 'GBG Filtered'!H70), PokemonIcons, 2, False), "")</f>
        <v/>
      </c>
      <c r="J76" s="63" t="str">
        <f>IF('GBG Filtered'!I70 &lt;&gt; "", VLOOKUP(IFERROR(VLOOKUP('GBG Filtered'!I70, FormFixes, 2, false), 'GBG Filtered'!I70), PokemonIcons, 2, False), "")</f>
        <v/>
      </c>
      <c r="K76" s="63" t="str">
        <f>IF('GBG Filtered'!J70 &lt;&gt; "", VLOOKUP(IFERROR(VLOOKUP('GBG Filtered'!J70, FormFixes, 2, false), 'GBG Filtered'!J70), PokemonIcons, 2, False), "")</f>
        <v/>
      </c>
      <c r="O76" s="63" t="str">
        <f>IF('GBG Filtered'!N70 &lt;&gt; "", VLOOKUP(IFERROR(VLOOKUP('GBG Filtered'!N70, FormFixes, 2, false), 'GBG Filtered'!N70), PokemonIcons, 2, False), "")</f>
        <v/>
      </c>
      <c r="P76" s="63" t="str">
        <f>IF('GBG Filtered'!O70 &lt;&gt; "", VLOOKUP(IFERROR(VLOOKUP('GBG Filtered'!O70, FormFixes, 2, false), 'GBG Filtered'!O70), PokemonIcons, 2, False), "")</f>
        <v/>
      </c>
      <c r="Q76" s="63" t="str">
        <f>IF('GBG Filtered'!P70 &lt;&gt; "", VLOOKUP(IFERROR(VLOOKUP('GBG Filtered'!P70, FormFixes, 2, false), 'GBG Filtered'!P70), PokemonIcons, 2, False), "")</f>
        <v/>
      </c>
      <c r="R76" s="63" t="str">
        <f>IF('GBG Filtered'!Q70 &lt;&gt; "", VLOOKUP(IFERROR(VLOOKUP('GBG Filtered'!Q70, FormFixes, 2, false), 'GBG Filtered'!Q70), PokemonIcons, 2, False), "")</f>
        <v/>
      </c>
      <c r="T76" s="63" t="str">
        <f>IF('GBG Filtered'!S70 &lt;&gt; "", VLOOKUP(IFERROR(VLOOKUP('GBG Filtered'!S70, FormFixes, 2, false), 'GBG Filtered'!S70), PokemonIcons, 2, False), "")</f>
        <v/>
      </c>
      <c r="U76" s="63" t="str">
        <f>IF('GBG Filtered'!T70 &lt;&gt; "", VLOOKUP(IFERROR(VLOOKUP('GBG Filtered'!T70, FormFixes, 2, false), 'GBG Filtered'!T70), PokemonIcons, 2, False), "")</f>
        <v/>
      </c>
      <c r="V76" s="63" t="str">
        <f>IF('GBG Filtered'!U70 &lt;&gt; "", VLOOKUP(IFERROR(VLOOKUP('GBG Filtered'!U70, FormFixes, 2, false), 'GBG Filtered'!U70), PokemonIcons, 2, False), "")</f>
        <v/>
      </c>
      <c r="W76" s="63" t="str">
        <f>IF('GBG Filtered'!V70 &lt;&gt; "", VLOOKUP(IFERROR(VLOOKUP('GBG Filtered'!V70, FormFixes, 2, false), 'GBG Filtered'!V70), PokemonIcons, 2, False), "")</f>
        <v/>
      </c>
      <c r="Z76" s="63" t="str">
        <f>IF('GBG Filtered'!Y70 &lt;&gt; "", VLOOKUP(IFERROR(VLOOKUP('GBG Filtered'!Y70, FormFixes, 2, false), 'GBG Filtered'!Y70), PokemonIcons, 2, False), "")</f>
        <v/>
      </c>
      <c r="AA76" s="63" t="str">
        <f>IF('GBG Filtered'!Z70 &lt;&gt; "", VLOOKUP('GBG Filtered'!Z70, TypeIcons, 2, False), "")</f>
        <v/>
      </c>
      <c r="AB76" s="63" t="str">
        <f>IF('GBG Filtered'!AA70 &lt;&gt; "", VLOOKUP(IFERROR(VLOOKUP('GBG Filtered'!AA70, FormFixes, 2, false), 'GBG Filtered'!AA70), PokemonIcons, 2, False), "")</f>
        <v/>
      </c>
      <c r="AC76" s="63" t="str">
        <f>IF('GBG Filtered'!AB70 &lt;&gt; "", VLOOKUP('GBG Filtered'!AB70, TypeIcons, 2, False), "")</f>
        <v/>
      </c>
      <c r="AD76" s="103" t="str">
        <f>'GBG Filtered'!AC70</f>
        <v/>
      </c>
      <c r="AE76" s="103" t="str">
        <f>'GBG Filtered'!AD70</f>
        <v/>
      </c>
      <c r="AF76" s="104" t="str">
        <f>'GBG Filtered'!AE70</f>
        <v/>
      </c>
    </row>
    <row r="77" ht="24.0" customHeight="1">
      <c r="B77" s="101" t="str">
        <f>'GBG Filtered'!A71</f>
        <v/>
      </c>
      <c r="C77" s="102" t="str">
        <f>'GBG Filtered'!B71</f>
        <v/>
      </c>
      <c r="D77" s="102" t="str">
        <f>'GBG Filtered'!C71</f>
        <v/>
      </c>
      <c r="E77" s="102" t="str">
        <f>'GBG Filtered'!D71</f>
        <v/>
      </c>
      <c r="F77" s="63" t="str">
        <f>IF('GBG Filtered'!E71 &lt;&gt; "", VLOOKUP(IFERROR(VLOOKUP('GBG Filtered'!E71, FormFixes, 2, false), 'GBG Filtered'!E71), PokemonIcons, 2, False), "")</f>
        <v/>
      </c>
      <c r="G77" s="63" t="str">
        <f>IF('GBG Filtered'!F71 &lt;&gt; "", VLOOKUP(IFERROR(VLOOKUP('GBG Filtered'!F71, FormFixes, 2, false), 'GBG Filtered'!F71), PokemonIcons, 2, False), "")</f>
        <v/>
      </c>
      <c r="H77" s="63" t="str">
        <f>IF('GBG Filtered'!G71 &lt;&gt; "", VLOOKUP(IFERROR(VLOOKUP('GBG Filtered'!G71, FormFixes, 2, false), 'GBG Filtered'!G71), PokemonIcons, 2, False), "")</f>
        <v/>
      </c>
      <c r="I77" s="63" t="str">
        <f>IF('GBG Filtered'!H71 &lt;&gt; "", VLOOKUP(IFERROR(VLOOKUP('GBG Filtered'!H71, FormFixes, 2, false), 'GBG Filtered'!H71), PokemonIcons, 2, False), "")</f>
        <v/>
      </c>
      <c r="J77" s="63" t="str">
        <f>IF('GBG Filtered'!I71 &lt;&gt; "", VLOOKUP(IFERROR(VLOOKUP('GBG Filtered'!I71, FormFixes, 2, false), 'GBG Filtered'!I71), PokemonIcons, 2, False), "")</f>
        <v/>
      </c>
      <c r="K77" s="63" t="str">
        <f>IF('GBG Filtered'!J71 &lt;&gt; "", VLOOKUP(IFERROR(VLOOKUP('GBG Filtered'!J71, FormFixes, 2, false), 'GBG Filtered'!J71), PokemonIcons, 2, False), "")</f>
        <v/>
      </c>
      <c r="O77" s="63" t="str">
        <f>IF('GBG Filtered'!N71 &lt;&gt; "", VLOOKUP(IFERROR(VLOOKUP('GBG Filtered'!N71, FormFixes, 2, false), 'GBG Filtered'!N71), PokemonIcons, 2, False), "")</f>
        <v/>
      </c>
      <c r="P77" s="63" t="str">
        <f>IF('GBG Filtered'!O71 &lt;&gt; "", VLOOKUP(IFERROR(VLOOKUP('GBG Filtered'!O71, FormFixes, 2, false), 'GBG Filtered'!O71), PokemonIcons, 2, False), "")</f>
        <v/>
      </c>
      <c r="Q77" s="63" t="str">
        <f>IF('GBG Filtered'!P71 &lt;&gt; "", VLOOKUP(IFERROR(VLOOKUP('GBG Filtered'!P71, FormFixes, 2, false), 'GBG Filtered'!P71), PokemonIcons, 2, False), "")</f>
        <v/>
      </c>
      <c r="R77" s="63" t="str">
        <f>IF('GBG Filtered'!Q71 &lt;&gt; "", VLOOKUP(IFERROR(VLOOKUP('GBG Filtered'!Q71, FormFixes, 2, false), 'GBG Filtered'!Q71), PokemonIcons, 2, False), "")</f>
        <v/>
      </c>
      <c r="T77" s="63" t="str">
        <f>IF('GBG Filtered'!S71 &lt;&gt; "", VLOOKUP(IFERROR(VLOOKUP('GBG Filtered'!S71, FormFixes, 2, false), 'GBG Filtered'!S71), PokemonIcons, 2, False), "")</f>
        <v/>
      </c>
      <c r="U77" s="63" t="str">
        <f>IF('GBG Filtered'!T71 &lt;&gt; "", VLOOKUP(IFERROR(VLOOKUP('GBG Filtered'!T71, FormFixes, 2, false), 'GBG Filtered'!T71), PokemonIcons, 2, False), "")</f>
        <v/>
      </c>
      <c r="V77" s="63" t="str">
        <f>IF('GBG Filtered'!U71 &lt;&gt; "", VLOOKUP(IFERROR(VLOOKUP('GBG Filtered'!U71, FormFixes, 2, false), 'GBG Filtered'!U71), PokemonIcons, 2, False), "")</f>
        <v/>
      </c>
      <c r="W77" s="63" t="str">
        <f>IF('GBG Filtered'!V71 &lt;&gt; "", VLOOKUP(IFERROR(VLOOKUP('GBG Filtered'!V71, FormFixes, 2, false), 'GBG Filtered'!V71), PokemonIcons, 2, False), "")</f>
        <v/>
      </c>
      <c r="Z77" s="63" t="str">
        <f>IF('GBG Filtered'!Y71 &lt;&gt; "", VLOOKUP(IFERROR(VLOOKUP('GBG Filtered'!Y71, FormFixes, 2, false), 'GBG Filtered'!Y71), PokemonIcons, 2, False), "")</f>
        <v/>
      </c>
      <c r="AA77" s="63" t="str">
        <f>IF('GBG Filtered'!Z71 &lt;&gt; "", VLOOKUP('GBG Filtered'!Z71, TypeIcons, 2, False), "")</f>
        <v/>
      </c>
      <c r="AB77" s="63" t="str">
        <f>IF('GBG Filtered'!AA71 &lt;&gt; "", VLOOKUP(IFERROR(VLOOKUP('GBG Filtered'!AA71, FormFixes, 2, false), 'GBG Filtered'!AA71), PokemonIcons, 2, False), "")</f>
        <v/>
      </c>
      <c r="AC77" s="63" t="str">
        <f>IF('GBG Filtered'!AB71 &lt;&gt; "", VLOOKUP('GBG Filtered'!AB71, TypeIcons, 2, False), "")</f>
        <v/>
      </c>
      <c r="AD77" s="103" t="str">
        <f>'GBG Filtered'!AC71</f>
        <v/>
      </c>
      <c r="AE77" s="103" t="str">
        <f>'GBG Filtered'!AD71</f>
        <v/>
      </c>
      <c r="AF77" s="104" t="str">
        <f>'GBG Filtered'!AE71</f>
        <v/>
      </c>
    </row>
    <row r="78" ht="24.0" customHeight="1">
      <c r="B78" s="101" t="str">
        <f>'GBG Filtered'!A72</f>
        <v/>
      </c>
      <c r="C78" s="102" t="str">
        <f>'GBG Filtered'!B72</f>
        <v/>
      </c>
      <c r="D78" s="102" t="str">
        <f>'GBG Filtered'!C72</f>
        <v/>
      </c>
      <c r="E78" s="102" t="str">
        <f>'GBG Filtered'!D72</f>
        <v/>
      </c>
      <c r="F78" s="63" t="str">
        <f>IF('GBG Filtered'!E72 &lt;&gt; "", VLOOKUP(IFERROR(VLOOKUP('GBG Filtered'!E72, FormFixes, 2, false), 'GBG Filtered'!E72), PokemonIcons, 2, False), "")</f>
        <v/>
      </c>
      <c r="G78" s="63" t="str">
        <f>IF('GBG Filtered'!F72 &lt;&gt; "", VLOOKUP(IFERROR(VLOOKUP('GBG Filtered'!F72, FormFixes, 2, false), 'GBG Filtered'!F72), PokemonIcons, 2, False), "")</f>
        <v/>
      </c>
      <c r="H78" s="63" t="str">
        <f>IF('GBG Filtered'!G72 &lt;&gt; "", VLOOKUP(IFERROR(VLOOKUP('GBG Filtered'!G72, FormFixes, 2, false), 'GBG Filtered'!G72), PokemonIcons, 2, False), "")</f>
        <v/>
      </c>
      <c r="I78" s="63" t="str">
        <f>IF('GBG Filtered'!H72 &lt;&gt; "", VLOOKUP(IFERROR(VLOOKUP('GBG Filtered'!H72, FormFixes, 2, false), 'GBG Filtered'!H72), PokemonIcons, 2, False), "")</f>
        <v/>
      </c>
      <c r="J78" s="63" t="str">
        <f>IF('GBG Filtered'!I72 &lt;&gt; "", VLOOKUP(IFERROR(VLOOKUP('GBG Filtered'!I72, FormFixes, 2, false), 'GBG Filtered'!I72), PokemonIcons, 2, False), "")</f>
        <v/>
      </c>
      <c r="K78" s="63" t="str">
        <f>IF('GBG Filtered'!J72 &lt;&gt; "", VLOOKUP(IFERROR(VLOOKUP('GBG Filtered'!J72, FormFixes, 2, false), 'GBG Filtered'!J72), PokemonIcons, 2, False), "")</f>
        <v/>
      </c>
      <c r="O78" s="63" t="str">
        <f>IF('GBG Filtered'!N72 &lt;&gt; "", VLOOKUP(IFERROR(VLOOKUP('GBG Filtered'!N72, FormFixes, 2, false), 'GBG Filtered'!N72), PokemonIcons, 2, False), "")</f>
        <v/>
      </c>
      <c r="P78" s="63" t="str">
        <f>IF('GBG Filtered'!O72 &lt;&gt; "", VLOOKUP(IFERROR(VLOOKUP('GBG Filtered'!O72, FormFixes, 2, false), 'GBG Filtered'!O72), PokemonIcons, 2, False), "")</f>
        <v/>
      </c>
      <c r="Q78" s="63" t="str">
        <f>IF('GBG Filtered'!P72 &lt;&gt; "", VLOOKUP(IFERROR(VLOOKUP('GBG Filtered'!P72, FormFixes, 2, false), 'GBG Filtered'!P72), PokemonIcons, 2, False), "")</f>
        <v/>
      </c>
      <c r="R78" s="63" t="str">
        <f>IF('GBG Filtered'!Q72 &lt;&gt; "", VLOOKUP(IFERROR(VLOOKUP('GBG Filtered'!Q72, FormFixes, 2, false), 'GBG Filtered'!Q72), PokemonIcons, 2, False), "")</f>
        <v/>
      </c>
      <c r="T78" s="63" t="str">
        <f>IF('GBG Filtered'!S72 &lt;&gt; "", VLOOKUP(IFERROR(VLOOKUP('GBG Filtered'!S72, FormFixes, 2, false), 'GBG Filtered'!S72), PokemonIcons, 2, False), "")</f>
        <v/>
      </c>
      <c r="U78" s="63" t="str">
        <f>IF('GBG Filtered'!T72 &lt;&gt; "", VLOOKUP(IFERROR(VLOOKUP('GBG Filtered'!T72, FormFixes, 2, false), 'GBG Filtered'!T72), PokemonIcons, 2, False), "")</f>
        <v/>
      </c>
      <c r="V78" s="63" t="str">
        <f>IF('GBG Filtered'!U72 &lt;&gt; "", VLOOKUP(IFERROR(VLOOKUP('GBG Filtered'!U72, FormFixes, 2, false), 'GBG Filtered'!U72), PokemonIcons, 2, False), "")</f>
        <v/>
      </c>
      <c r="W78" s="63" t="str">
        <f>IF('GBG Filtered'!V72 &lt;&gt; "", VLOOKUP(IFERROR(VLOOKUP('GBG Filtered'!V72, FormFixes, 2, false), 'GBG Filtered'!V72), PokemonIcons, 2, False), "")</f>
        <v/>
      </c>
      <c r="Z78" s="63" t="str">
        <f>IF('GBG Filtered'!Y72 &lt;&gt; "", VLOOKUP(IFERROR(VLOOKUP('GBG Filtered'!Y72, FormFixes, 2, false), 'GBG Filtered'!Y72), PokemonIcons, 2, False), "")</f>
        <v/>
      </c>
      <c r="AA78" s="63" t="str">
        <f>IF('GBG Filtered'!Z72 &lt;&gt; "", VLOOKUP('GBG Filtered'!Z72, TypeIcons, 2, False), "")</f>
        <v/>
      </c>
      <c r="AB78" s="63" t="str">
        <f>IF('GBG Filtered'!AA72 &lt;&gt; "", VLOOKUP(IFERROR(VLOOKUP('GBG Filtered'!AA72, FormFixes, 2, false), 'GBG Filtered'!AA72), PokemonIcons, 2, False), "")</f>
        <v/>
      </c>
      <c r="AC78" s="63" t="str">
        <f>IF('GBG Filtered'!AB72 &lt;&gt; "", VLOOKUP('GBG Filtered'!AB72, TypeIcons, 2, False), "")</f>
        <v/>
      </c>
      <c r="AD78" s="103" t="str">
        <f>'GBG Filtered'!AC72</f>
        <v/>
      </c>
      <c r="AE78" s="103" t="str">
        <f>'GBG Filtered'!AD72</f>
        <v/>
      </c>
      <c r="AF78" s="104" t="str">
        <f>'GBG Filtered'!AE72</f>
        <v/>
      </c>
    </row>
    <row r="79" ht="24.0" customHeight="1">
      <c r="B79" s="101" t="str">
        <f>'GBG Filtered'!A73</f>
        <v/>
      </c>
      <c r="C79" s="102" t="str">
        <f>'GBG Filtered'!B73</f>
        <v/>
      </c>
      <c r="D79" s="102" t="str">
        <f>'GBG Filtered'!C73</f>
        <v/>
      </c>
      <c r="E79" s="102" t="str">
        <f>'GBG Filtered'!D73</f>
        <v/>
      </c>
      <c r="F79" s="63" t="str">
        <f>IF('GBG Filtered'!E73 &lt;&gt; "", VLOOKUP(IFERROR(VLOOKUP('GBG Filtered'!E73, FormFixes, 2, false), 'GBG Filtered'!E73), PokemonIcons, 2, False), "")</f>
        <v/>
      </c>
      <c r="G79" s="63" t="str">
        <f>IF('GBG Filtered'!F73 &lt;&gt; "", VLOOKUP(IFERROR(VLOOKUP('GBG Filtered'!F73, FormFixes, 2, false), 'GBG Filtered'!F73), PokemonIcons, 2, False), "")</f>
        <v/>
      </c>
      <c r="H79" s="63" t="str">
        <f>IF('GBG Filtered'!G73 &lt;&gt; "", VLOOKUP(IFERROR(VLOOKUP('GBG Filtered'!G73, FormFixes, 2, false), 'GBG Filtered'!G73), PokemonIcons, 2, False), "")</f>
        <v/>
      </c>
      <c r="I79" s="63" t="str">
        <f>IF('GBG Filtered'!H73 &lt;&gt; "", VLOOKUP(IFERROR(VLOOKUP('GBG Filtered'!H73, FormFixes, 2, false), 'GBG Filtered'!H73), PokemonIcons, 2, False), "")</f>
        <v/>
      </c>
      <c r="J79" s="63" t="str">
        <f>IF('GBG Filtered'!I73 &lt;&gt; "", VLOOKUP(IFERROR(VLOOKUP('GBG Filtered'!I73, FormFixes, 2, false), 'GBG Filtered'!I73), PokemonIcons, 2, False), "")</f>
        <v/>
      </c>
      <c r="K79" s="63" t="str">
        <f>IF('GBG Filtered'!J73 &lt;&gt; "", VLOOKUP(IFERROR(VLOOKUP('GBG Filtered'!J73, FormFixes, 2, false), 'GBG Filtered'!J73), PokemonIcons, 2, False), "")</f>
        <v/>
      </c>
      <c r="O79" s="63" t="str">
        <f>IF('GBG Filtered'!N73 &lt;&gt; "", VLOOKUP(IFERROR(VLOOKUP('GBG Filtered'!N73, FormFixes, 2, false), 'GBG Filtered'!N73), PokemonIcons, 2, False), "")</f>
        <v/>
      </c>
      <c r="P79" s="63" t="str">
        <f>IF('GBG Filtered'!O73 &lt;&gt; "", VLOOKUP(IFERROR(VLOOKUP('GBG Filtered'!O73, FormFixes, 2, false), 'GBG Filtered'!O73), PokemonIcons, 2, False), "")</f>
        <v/>
      </c>
      <c r="Q79" s="63" t="str">
        <f>IF('GBG Filtered'!P73 &lt;&gt; "", VLOOKUP(IFERROR(VLOOKUP('GBG Filtered'!P73, FormFixes, 2, false), 'GBG Filtered'!P73), PokemonIcons, 2, False), "")</f>
        <v/>
      </c>
      <c r="R79" s="63" t="str">
        <f>IF('GBG Filtered'!Q73 &lt;&gt; "", VLOOKUP(IFERROR(VLOOKUP('GBG Filtered'!Q73, FormFixes, 2, false), 'GBG Filtered'!Q73), PokemonIcons, 2, False), "")</f>
        <v/>
      </c>
      <c r="T79" s="63" t="str">
        <f>IF('GBG Filtered'!S73 &lt;&gt; "", VLOOKUP(IFERROR(VLOOKUP('GBG Filtered'!S73, FormFixes, 2, false), 'GBG Filtered'!S73), PokemonIcons, 2, False), "")</f>
        <v/>
      </c>
      <c r="U79" s="63" t="str">
        <f>IF('GBG Filtered'!T73 &lt;&gt; "", VLOOKUP(IFERROR(VLOOKUP('GBG Filtered'!T73, FormFixes, 2, false), 'GBG Filtered'!T73), PokemonIcons, 2, False), "")</f>
        <v/>
      </c>
      <c r="V79" s="63" t="str">
        <f>IF('GBG Filtered'!U73 &lt;&gt; "", VLOOKUP(IFERROR(VLOOKUP('GBG Filtered'!U73, FormFixes, 2, false), 'GBG Filtered'!U73), PokemonIcons, 2, False), "")</f>
        <v/>
      </c>
      <c r="W79" s="63" t="str">
        <f>IF('GBG Filtered'!V73 &lt;&gt; "", VLOOKUP(IFERROR(VLOOKUP('GBG Filtered'!V73, FormFixes, 2, false), 'GBG Filtered'!V73), PokemonIcons, 2, False), "")</f>
        <v/>
      </c>
      <c r="Z79" s="63" t="str">
        <f>IF('GBG Filtered'!Y73 &lt;&gt; "", VLOOKUP(IFERROR(VLOOKUP('GBG Filtered'!Y73, FormFixes, 2, false), 'GBG Filtered'!Y73), PokemonIcons, 2, False), "")</f>
        <v/>
      </c>
      <c r="AA79" s="63" t="str">
        <f>IF('GBG Filtered'!Z73 &lt;&gt; "", VLOOKUP('GBG Filtered'!Z73, TypeIcons, 2, False), "")</f>
        <v/>
      </c>
      <c r="AB79" s="63" t="str">
        <f>IF('GBG Filtered'!AA73 &lt;&gt; "", VLOOKUP(IFERROR(VLOOKUP('GBG Filtered'!AA73, FormFixes, 2, false), 'GBG Filtered'!AA73), PokemonIcons, 2, False), "")</f>
        <v/>
      </c>
      <c r="AC79" s="63" t="str">
        <f>IF('GBG Filtered'!AB73 &lt;&gt; "", VLOOKUP('GBG Filtered'!AB73, TypeIcons, 2, False), "")</f>
        <v/>
      </c>
      <c r="AD79" s="103" t="str">
        <f>'GBG Filtered'!AC73</f>
        <v/>
      </c>
      <c r="AE79" s="103" t="str">
        <f>'GBG Filtered'!AD73</f>
        <v/>
      </c>
      <c r="AF79" s="104" t="str">
        <f>'GBG Filtered'!AE73</f>
        <v/>
      </c>
    </row>
    <row r="80" ht="24.0" customHeight="1">
      <c r="B80" s="101" t="str">
        <f>'GBG Filtered'!A74</f>
        <v/>
      </c>
      <c r="C80" s="102" t="str">
        <f>'GBG Filtered'!B74</f>
        <v/>
      </c>
      <c r="D80" s="102" t="str">
        <f>'GBG Filtered'!C74</f>
        <v/>
      </c>
      <c r="E80" s="102" t="str">
        <f>'GBG Filtered'!D74</f>
        <v/>
      </c>
      <c r="F80" s="63" t="str">
        <f>IF('GBG Filtered'!E74 &lt;&gt; "", VLOOKUP(IFERROR(VLOOKUP('GBG Filtered'!E74, FormFixes, 2, false), 'GBG Filtered'!E74), PokemonIcons, 2, False), "")</f>
        <v/>
      </c>
      <c r="G80" s="63" t="str">
        <f>IF('GBG Filtered'!F74 &lt;&gt; "", VLOOKUP(IFERROR(VLOOKUP('GBG Filtered'!F74, FormFixes, 2, false), 'GBG Filtered'!F74), PokemonIcons, 2, False), "")</f>
        <v/>
      </c>
      <c r="H80" s="63" t="str">
        <f>IF('GBG Filtered'!G74 &lt;&gt; "", VLOOKUP(IFERROR(VLOOKUP('GBG Filtered'!G74, FormFixes, 2, false), 'GBG Filtered'!G74), PokemonIcons, 2, False), "")</f>
        <v/>
      </c>
      <c r="I80" s="63" t="str">
        <f>IF('GBG Filtered'!H74 &lt;&gt; "", VLOOKUP(IFERROR(VLOOKUP('GBG Filtered'!H74, FormFixes, 2, false), 'GBG Filtered'!H74), PokemonIcons, 2, False), "")</f>
        <v/>
      </c>
      <c r="J80" s="63" t="str">
        <f>IF('GBG Filtered'!I74 &lt;&gt; "", VLOOKUP(IFERROR(VLOOKUP('GBG Filtered'!I74, FormFixes, 2, false), 'GBG Filtered'!I74), PokemonIcons, 2, False), "")</f>
        <v/>
      </c>
      <c r="K80" s="63" t="str">
        <f>IF('GBG Filtered'!J74 &lt;&gt; "", VLOOKUP(IFERROR(VLOOKUP('GBG Filtered'!J74, FormFixes, 2, false), 'GBG Filtered'!J74), PokemonIcons, 2, False), "")</f>
        <v/>
      </c>
      <c r="O80" s="63" t="str">
        <f>IF('GBG Filtered'!N74 &lt;&gt; "", VLOOKUP(IFERROR(VLOOKUP('GBG Filtered'!N74, FormFixes, 2, false), 'GBG Filtered'!N74), PokemonIcons, 2, False), "")</f>
        <v/>
      </c>
      <c r="P80" s="63" t="str">
        <f>IF('GBG Filtered'!O74 &lt;&gt; "", VLOOKUP(IFERROR(VLOOKUP('GBG Filtered'!O74, FormFixes, 2, false), 'GBG Filtered'!O74), PokemonIcons, 2, False), "")</f>
        <v/>
      </c>
      <c r="Q80" s="63" t="str">
        <f>IF('GBG Filtered'!P74 &lt;&gt; "", VLOOKUP(IFERROR(VLOOKUP('GBG Filtered'!P74, FormFixes, 2, false), 'GBG Filtered'!P74), PokemonIcons, 2, False), "")</f>
        <v/>
      </c>
      <c r="R80" s="63" t="str">
        <f>IF('GBG Filtered'!Q74 &lt;&gt; "", VLOOKUP(IFERROR(VLOOKUP('GBG Filtered'!Q74, FormFixes, 2, false), 'GBG Filtered'!Q74), PokemonIcons, 2, False), "")</f>
        <v/>
      </c>
      <c r="T80" s="63" t="str">
        <f>IF('GBG Filtered'!S74 &lt;&gt; "", VLOOKUP(IFERROR(VLOOKUP('GBG Filtered'!S74, FormFixes, 2, false), 'GBG Filtered'!S74), PokemonIcons, 2, False), "")</f>
        <v/>
      </c>
      <c r="U80" s="63" t="str">
        <f>IF('GBG Filtered'!T74 &lt;&gt; "", VLOOKUP(IFERROR(VLOOKUP('GBG Filtered'!T74, FormFixes, 2, false), 'GBG Filtered'!T74), PokemonIcons, 2, False), "")</f>
        <v/>
      </c>
      <c r="V80" s="63" t="str">
        <f>IF('GBG Filtered'!U74 &lt;&gt; "", VLOOKUP(IFERROR(VLOOKUP('GBG Filtered'!U74, FormFixes, 2, false), 'GBG Filtered'!U74), PokemonIcons, 2, False), "")</f>
        <v/>
      </c>
      <c r="W80" s="63" t="str">
        <f>IF('GBG Filtered'!V74 &lt;&gt; "", VLOOKUP(IFERROR(VLOOKUP('GBG Filtered'!V74, FormFixes, 2, false), 'GBG Filtered'!V74), PokemonIcons, 2, False), "")</f>
        <v/>
      </c>
      <c r="Z80" s="63" t="str">
        <f>IF('GBG Filtered'!Y74 &lt;&gt; "", VLOOKUP(IFERROR(VLOOKUP('GBG Filtered'!Y74, FormFixes, 2, false), 'GBG Filtered'!Y74), PokemonIcons, 2, False), "")</f>
        <v/>
      </c>
      <c r="AA80" s="63" t="str">
        <f>IF('GBG Filtered'!Z74 &lt;&gt; "", VLOOKUP('GBG Filtered'!Z74, TypeIcons, 2, False), "")</f>
        <v/>
      </c>
      <c r="AB80" s="63" t="str">
        <f>IF('GBG Filtered'!AA74 &lt;&gt; "", VLOOKUP(IFERROR(VLOOKUP('GBG Filtered'!AA74, FormFixes, 2, false), 'GBG Filtered'!AA74), PokemonIcons, 2, False), "")</f>
        <v/>
      </c>
      <c r="AC80" s="63" t="str">
        <f>IF('GBG Filtered'!AB74 &lt;&gt; "", VLOOKUP('GBG Filtered'!AB74, TypeIcons, 2, False), "")</f>
        <v/>
      </c>
      <c r="AD80" s="103" t="str">
        <f>'GBG Filtered'!AC74</f>
        <v/>
      </c>
      <c r="AE80" s="103" t="str">
        <f>'GBG Filtered'!AD74</f>
        <v/>
      </c>
      <c r="AF80" s="104" t="str">
        <f>'GBG Filtered'!AE74</f>
        <v/>
      </c>
    </row>
    <row r="81" ht="24.0" customHeight="1">
      <c r="B81" s="101" t="str">
        <f>'GBG Filtered'!A75</f>
        <v/>
      </c>
      <c r="C81" s="102" t="str">
        <f>'GBG Filtered'!B75</f>
        <v/>
      </c>
      <c r="D81" s="102" t="str">
        <f>'GBG Filtered'!C75</f>
        <v/>
      </c>
      <c r="E81" s="102" t="str">
        <f>'GBG Filtered'!D75</f>
        <v/>
      </c>
      <c r="F81" s="63" t="str">
        <f>IF('GBG Filtered'!E75 &lt;&gt; "", VLOOKUP(IFERROR(VLOOKUP('GBG Filtered'!E75, FormFixes, 2, false), 'GBG Filtered'!E75), PokemonIcons, 2, False), "")</f>
        <v/>
      </c>
      <c r="G81" s="63" t="str">
        <f>IF('GBG Filtered'!F75 &lt;&gt; "", VLOOKUP(IFERROR(VLOOKUP('GBG Filtered'!F75, FormFixes, 2, false), 'GBG Filtered'!F75), PokemonIcons, 2, False), "")</f>
        <v/>
      </c>
      <c r="H81" s="63" t="str">
        <f>IF('GBG Filtered'!G75 &lt;&gt; "", VLOOKUP(IFERROR(VLOOKUP('GBG Filtered'!G75, FormFixes, 2, false), 'GBG Filtered'!G75), PokemonIcons, 2, False), "")</f>
        <v/>
      </c>
      <c r="I81" s="63" t="str">
        <f>IF('GBG Filtered'!H75 &lt;&gt; "", VLOOKUP(IFERROR(VLOOKUP('GBG Filtered'!H75, FormFixes, 2, false), 'GBG Filtered'!H75), PokemonIcons, 2, False), "")</f>
        <v/>
      </c>
      <c r="J81" s="63" t="str">
        <f>IF('GBG Filtered'!I75 &lt;&gt; "", VLOOKUP(IFERROR(VLOOKUP('GBG Filtered'!I75, FormFixes, 2, false), 'GBG Filtered'!I75), PokemonIcons, 2, False), "")</f>
        <v/>
      </c>
      <c r="K81" s="63" t="str">
        <f>IF('GBG Filtered'!J75 &lt;&gt; "", VLOOKUP(IFERROR(VLOOKUP('GBG Filtered'!J75, FormFixes, 2, false), 'GBG Filtered'!J75), PokemonIcons, 2, False), "")</f>
        <v/>
      </c>
      <c r="O81" s="63" t="str">
        <f>IF('GBG Filtered'!N75 &lt;&gt; "", VLOOKUP(IFERROR(VLOOKUP('GBG Filtered'!N75, FormFixes, 2, false), 'GBG Filtered'!N75), PokemonIcons, 2, False), "")</f>
        <v/>
      </c>
      <c r="P81" s="63" t="str">
        <f>IF('GBG Filtered'!O75 &lt;&gt; "", VLOOKUP(IFERROR(VLOOKUP('GBG Filtered'!O75, FormFixes, 2, false), 'GBG Filtered'!O75), PokemonIcons, 2, False), "")</f>
        <v/>
      </c>
      <c r="Q81" s="63" t="str">
        <f>IF('GBG Filtered'!P75 &lt;&gt; "", VLOOKUP(IFERROR(VLOOKUP('GBG Filtered'!P75, FormFixes, 2, false), 'GBG Filtered'!P75), PokemonIcons, 2, False), "")</f>
        <v/>
      </c>
      <c r="R81" s="63" t="str">
        <f>IF('GBG Filtered'!Q75 &lt;&gt; "", VLOOKUP(IFERROR(VLOOKUP('GBG Filtered'!Q75, FormFixes, 2, false), 'GBG Filtered'!Q75), PokemonIcons, 2, False), "")</f>
        <v/>
      </c>
      <c r="T81" s="63" t="str">
        <f>IF('GBG Filtered'!S75 &lt;&gt; "", VLOOKUP(IFERROR(VLOOKUP('GBG Filtered'!S75, FormFixes, 2, false), 'GBG Filtered'!S75), PokemonIcons, 2, False), "")</f>
        <v/>
      </c>
      <c r="U81" s="63" t="str">
        <f>IF('GBG Filtered'!T75 &lt;&gt; "", VLOOKUP(IFERROR(VLOOKUP('GBG Filtered'!T75, FormFixes, 2, false), 'GBG Filtered'!T75), PokemonIcons, 2, False), "")</f>
        <v/>
      </c>
      <c r="V81" s="63" t="str">
        <f>IF('GBG Filtered'!U75 &lt;&gt; "", VLOOKUP(IFERROR(VLOOKUP('GBG Filtered'!U75, FormFixes, 2, false), 'GBG Filtered'!U75), PokemonIcons, 2, False), "")</f>
        <v/>
      </c>
      <c r="W81" s="63" t="str">
        <f>IF('GBG Filtered'!V75 &lt;&gt; "", VLOOKUP(IFERROR(VLOOKUP('GBG Filtered'!V75, FormFixes, 2, false), 'GBG Filtered'!V75), PokemonIcons, 2, False), "")</f>
        <v/>
      </c>
      <c r="Z81" s="63" t="str">
        <f>IF('GBG Filtered'!Y75 &lt;&gt; "", VLOOKUP(IFERROR(VLOOKUP('GBG Filtered'!Y75, FormFixes, 2, false), 'GBG Filtered'!Y75), PokemonIcons, 2, False), "")</f>
        <v/>
      </c>
      <c r="AA81" s="63" t="str">
        <f>IF('GBG Filtered'!Z75 &lt;&gt; "", VLOOKUP('GBG Filtered'!Z75, TypeIcons, 2, False), "")</f>
        <v/>
      </c>
      <c r="AB81" s="63" t="str">
        <f>IF('GBG Filtered'!AA75 &lt;&gt; "", VLOOKUP(IFERROR(VLOOKUP('GBG Filtered'!AA75, FormFixes, 2, false), 'GBG Filtered'!AA75), PokemonIcons, 2, False), "")</f>
        <v/>
      </c>
      <c r="AC81" s="63" t="str">
        <f>IF('GBG Filtered'!AB75 &lt;&gt; "", VLOOKUP('GBG Filtered'!AB75, TypeIcons, 2, False), "")</f>
        <v/>
      </c>
      <c r="AD81" s="103" t="str">
        <f>'GBG Filtered'!AC75</f>
        <v/>
      </c>
      <c r="AE81" s="103" t="str">
        <f>'GBG Filtered'!AD75</f>
        <v/>
      </c>
      <c r="AF81" s="104" t="str">
        <f>'GBG Filtered'!AE75</f>
        <v/>
      </c>
    </row>
    <row r="82" ht="24.0" customHeight="1">
      <c r="B82" s="101" t="str">
        <f>'GBG Filtered'!A76</f>
        <v/>
      </c>
      <c r="C82" s="102" t="str">
        <f>'GBG Filtered'!B76</f>
        <v/>
      </c>
      <c r="D82" s="102" t="str">
        <f>'GBG Filtered'!C76</f>
        <v/>
      </c>
      <c r="E82" s="102" t="str">
        <f>'GBG Filtered'!D76</f>
        <v/>
      </c>
      <c r="F82" s="63" t="str">
        <f>IF('GBG Filtered'!E76 &lt;&gt; "", VLOOKUP(IFERROR(VLOOKUP('GBG Filtered'!E76, FormFixes, 2, false), 'GBG Filtered'!E76), PokemonIcons, 2, False), "")</f>
        <v/>
      </c>
      <c r="G82" s="63" t="str">
        <f>IF('GBG Filtered'!F76 &lt;&gt; "", VLOOKUP(IFERROR(VLOOKUP('GBG Filtered'!F76, FormFixes, 2, false), 'GBG Filtered'!F76), PokemonIcons, 2, False), "")</f>
        <v/>
      </c>
      <c r="H82" s="63" t="str">
        <f>IF('GBG Filtered'!G76 &lt;&gt; "", VLOOKUP(IFERROR(VLOOKUP('GBG Filtered'!G76, FormFixes, 2, false), 'GBG Filtered'!G76), PokemonIcons, 2, False), "")</f>
        <v/>
      </c>
      <c r="I82" s="63" t="str">
        <f>IF('GBG Filtered'!H76 &lt;&gt; "", VLOOKUP(IFERROR(VLOOKUP('GBG Filtered'!H76, FormFixes, 2, false), 'GBG Filtered'!H76), PokemonIcons, 2, False), "")</f>
        <v/>
      </c>
      <c r="J82" s="63" t="str">
        <f>IF('GBG Filtered'!I76 &lt;&gt; "", VLOOKUP(IFERROR(VLOOKUP('GBG Filtered'!I76, FormFixes, 2, false), 'GBG Filtered'!I76), PokemonIcons, 2, False), "")</f>
        <v/>
      </c>
      <c r="K82" s="63" t="str">
        <f>IF('GBG Filtered'!J76 &lt;&gt; "", VLOOKUP(IFERROR(VLOOKUP('GBG Filtered'!J76, FormFixes, 2, false), 'GBG Filtered'!J76), PokemonIcons, 2, False), "")</f>
        <v/>
      </c>
      <c r="O82" s="63" t="str">
        <f>IF('GBG Filtered'!N76 &lt;&gt; "", VLOOKUP(IFERROR(VLOOKUP('GBG Filtered'!N76, FormFixes, 2, false), 'GBG Filtered'!N76), PokemonIcons, 2, False), "")</f>
        <v/>
      </c>
      <c r="P82" s="63" t="str">
        <f>IF('GBG Filtered'!O76 &lt;&gt; "", VLOOKUP(IFERROR(VLOOKUP('GBG Filtered'!O76, FormFixes, 2, false), 'GBG Filtered'!O76), PokemonIcons, 2, False), "")</f>
        <v/>
      </c>
      <c r="Q82" s="63" t="str">
        <f>IF('GBG Filtered'!P76 &lt;&gt; "", VLOOKUP(IFERROR(VLOOKUP('GBG Filtered'!P76, FormFixes, 2, false), 'GBG Filtered'!P76), PokemonIcons, 2, False), "")</f>
        <v/>
      </c>
      <c r="R82" s="63" t="str">
        <f>IF('GBG Filtered'!Q76 &lt;&gt; "", VLOOKUP(IFERROR(VLOOKUP('GBG Filtered'!Q76, FormFixes, 2, false), 'GBG Filtered'!Q76), PokemonIcons, 2, False), "")</f>
        <v/>
      </c>
      <c r="T82" s="63" t="str">
        <f>IF('GBG Filtered'!S76 &lt;&gt; "", VLOOKUP(IFERROR(VLOOKUP('GBG Filtered'!S76, FormFixes, 2, false), 'GBG Filtered'!S76), PokemonIcons, 2, False), "")</f>
        <v/>
      </c>
      <c r="U82" s="63" t="str">
        <f>IF('GBG Filtered'!T76 &lt;&gt; "", VLOOKUP(IFERROR(VLOOKUP('GBG Filtered'!T76, FormFixes, 2, false), 'GBG Filtered'!T76), PokemonIcons, 2, False), "")</f>
        <v/>
      </c>
      <c r="V82" s="63" t="str">
        <f>IF('GBG Filtered'!U76 &lt;&gt; "", VLOOKUP(IFERROR(VLOOKUP('GBG Filtered'!U76, FormFixes, 2, false), 'GBG Filtered'!U76), PokemonIcons, 2, False), "")</f>
        <v/>
      </c>
      <c r="W82" s="63" t="str">
        <f>IF('GBG Filtered'!V76 &lt;&gt; "", VLOOKUP(IFERROR(VLOOKUP('GBG Filtered'!V76, FormFixes, 2, false), 'GBG Filtered'!V76), PokemonIcons, 2, False), "")</f>
        <v/>
      </c>
      <c r="Z82" s="63" t="str">
        <f>IF('GBG Filtered'!Y76 &lt;&gt; "", VLOOKUP(IFERROR(VLOOKUP('GBG Filtered'!Y76, FormFixes, 2, false), 'GBG Filtered'!Y76), PokemonIcons, 2, False), "")</f>
        <v/>
      </c>
      <c r="AA82" s="63" t="str">
        <f>IF('GBG Filtered'!Z76 &lt;&gt; "", VLOOKUP('GBG Filtered'!Z76, TypeIcons, 2, False), "")</f>
        <v/>
      </c>
      <c r="AB82" s="63" t="str">
        <f>IF('GBG Filtered'!AA76 &lt;&gt; "", VLOOKUP(IFERROR(VLOOKUP('GBG Filtered'!AA76, FormFixes, 2, false), 'GBG Filtered'!AA76), PokemonIcons, 2, False), "")</f>
        <v/>
      </c>
      <c r="AC82" s="63" t="str">
        <f>IF('GBG Filtered'!AB76 &lt;&gt; "", VLOOKUP('GBG Filtered'!AB76, TypeIcons, 2, False), "")</f>
        <v/>
      </c>
      <c r="AD82" s="103" t="str">
        <f>'GBG Filtered'!AC76</f>
        <v/>
      </c>
      <c r="AE82" s="103" t="str">
        <f>'GBG Filtered'!AD76</f>
        <v/>
      </c>
      <c r="AF82" s="104" t="str">
        <f>'GBG Filtered'!AE76</f>
        <v/>
      </c>
    </row>
    <row r="83" ht="24.0" customHeight="1">
      <c r="B83" s="101" t="str">
        <f>'GBG Filtered'!A77</f>
        <v/>
      </c>
      <c r="C83" s="102" t="str">
        <f>'GBG Filtered'!B77</f>
        <v/>
      </c>
      <c r="D83" s="102" t="str">
        <f>'GBG Filtered'!C77</f>
        <v/>
      </c>
      <c r="E83" s="102" t="str">
        <f>'GBG Filtered'!D77</f>
        <v/>
      </c>
      <c r="F83" s="63" t="str">
        <f>IF('GBG Filtered'!E77 &lt;&gt; "", VLOOKUP(IFERROR(VLOOKUP('GBG Filtered'!E77, FormFixes, 2, false), 'GBG Filtered'!E77), PokemonIcons, 2, False), "")</f>
        <v/>
      </c>
      <c r="G83" s="63" t="str">
        <f>IF('GBG Filtered'!F77 &lt;&gt; "", VLOOKUP(IFERROR(VLOOKUP('GBG Filtered'!F77, FormFixes, 2, false), 'GBG Filtered'!F77), PokemonIcons, 2, False), "")</f>
        <v/>
      </c>
      <c r="H83" s="63" t="str">
        <f>IF('GBG Filtered'!G77 &lt;&gt; "", VLOOKUP(IFERROR(VLOOKUP('GBG Filtered'!G77, FormFixes, 2, false), 'GBG Filtered'!G77), PokemonIcons, 2, False), "")</f>
        <v/>
      </c>
      <c r="I83" s="63" t="str">
        <f>IF('GBG Filtered'!H77 &lt;&gt; "", VLOOKUP(IFERROR(VLOOKUP('GBG Filtered'!H77, FormFixes, 2, false), 'GBG Filtered'!H77), PokemonIcons, 2, False), "")</f>
        <v/>
      </c>
      <c r="J83" s="63" t="str">
        <f>IF('GBG Filtered'!I77 &lt;&gt; "", VLOOKUP(IFERROR(VLOOKUP('GBG Filtered'!I77, FormFixes, 2, false), 'GBG Filtered'!I77), PokemonIcons, 2, False), "")</f>
        <v/>
      </c>
      <c r="K83" s="63" t="str">
        <f>IF('GBG Filtered'!J77 &lt;&gt; "", VLOOKUP(IFERROR(VLOOKUP('GBG Filtered'!J77, FormFixes, 2, false), 'GBG Filtered'!J77), PokemonIcons, 2, False), "")</f>
        <v/>
      </c>
      <c r="O83" s="63" t="str">
        <f>IF('GBG Filtered'!N77 &lt;&gt; "", VLOOKUP(IFERROR(VLOOKUP('GBG Filtered'!N77, FormFixes, 2, false), 'GBG Filtered'!N77), PokemonIcons, 2, False), "")</f>
        <v/>
      </c>
      <c r="P83" s="63" t="str">
        <f>IF('GBG Filtered'!O77 &lt;&gt; "", VLOOKUP(IFERROR(VLOOKUP('GBG Filtered'!O77, FormFixes, 2, false), 'GBG Filtered'!O77), PokemonIcons, 2, False), "")</f>
        <v/>
      </c>
      <c r="Q83" s="63" t="str">
        <f>IF('GBG Filtered'!P77 &lt;&gt; "", VLOOKUP(IFERROR(VLOOKUP('GBG Filtered'!P77, FormFixes, 2, false), 'GBG Filtered'!P77), PokemonIcons, 2, False), "")</f>
        <v/>
      </c>
      <c r="R83" s="63" t="str">
        <f>IF('GBG Filtered'!Q77 &lt;&gt; "", VLOOKUP(IFERROR(VLOOKUP('GBG Filtered'!Q77, FormFixes, 2, false), 'GBG Filtered'!Q77), PokemonIcons, 2, False), "")</f>
        <v/>
      </c>
      <c r="T83" s="63" t="str">
        <f>IF('GBG Filtered'!S77 &lt;&gt; "", VLOOKUP(IFERROR(VLOOKUP('GBG Filtered'!S77, FormFixes, 2, false), 'GBG Filtered'!S77), PokemonIcons, 2, False), "")</f>
        <v/>
      </c>
      <c r="U83" s="63" t="str">
        <f>IF('GBG Filtered'!T77 &lt;&gt; "", VLOOKUP(IFERROR(VLOOKUP('GBG Filtered'!T77, FormFixes, 2, false), 'GBG Filtered'!T77), PokemonIcons, 2, False), "")</f>
        <v/>
      </c>
      <c r="V83" s="63" t="str">
        <f>IF('GBG Filtered'!U77 &lt;&gt; "", VLOOKUP(IFERROR(VLOOKUP('GBG Filtered'!U77, FormFixes, 2, false), 'GBG Filtered'!U77), PokemonIcons, 2, False), "")</f>
        <v/>
      </c>
      <c r="W83" s="63" t="str">
        <f>IF('GBG Filtered'!V77 &lt;&gt; "", VLOOKUP(IFERROR(VLOOKUP('GBG Filtered'!V77, FormFixes, 2, false), 'GBG Filtered'!V77), PokemonIcons, 2, False), "")</f>
        <v/>
      </c>
      <c r="Z83" s="63" t="str">
        <f>IF('GBG Filtered'!Y77 &lt;&gt; "", VLOOKUP(IFERROR(VLOOKUP('GBG Filtered'!Y77, FormFixes, 2, false), 'GBG Filtered'!Y77), PokemonIcons, 2, False), "")</f>
        <v/>
      </c>
      <c r="AA83" s="63" t="str">
        <f>IF('GBG Filtered'!Z77 &lt;&gt; "", VLOOKUP('GBG Filtered'!Z77, TypeIcons, 2, False), "")</f>
        <v/>
      </c>
      <c r="AB83" s="63" t="str">
        <f>IF('GBG Filtered'!AA77 &lt;&gt; "", VLOOKUP(IFERROR(VLOOKUP('GBG Filtered'!AA77, FormFixes, 2, false), 'GBG Filtered'!AA77), PokemonIcons, 2, False), "")</f>
        <v/>
      </c>
      <c r="AC83" s="63" t="str">
        <f>IF('GBG Filtered'!AB77 &lt;&gt; "", VLOOKUP('GBG Filtered'!AB77, TypeIcons, 2, False), "")</f>
        <v/>
      </c>
      <c r="AD83" s="103" t="str">
        <f>'GBG Filtered'!AC77</f>
        <v/>
      </c>
      <c r="AE83" s="103" t="str">
        <f>'GBG Filtered'!AD77</f>
        <v/>
      </c>
      <c r="AF83" s="104" t="str">
        <f>'GBG Filtered'!AE77</f>
        <v/>
      </c>
    </row>
    <row r="84" ht="24.0" customHeight="1">
      <c r="B84" s="101" t="str">
        <f>'GBG Filtered'!A78</f>
        <v/>
      </c>
      <c r="C84" s="102" t="str">
        <f>'GBG Filtered'!B78</f>
        <v/>
      </c>
      <c r="D84" s="102" t="str">
        <f>'GBG Filtered'!C78</f>
        <v/>
      </c>
      <c r="E84" s="102" t="str">
        <f>'GBG Filtered'!D78</f>
        <v/>
      </c>
      <c r="F84" s="63" t="str">
        <f>IF('GBG Filtered'!E78 &lt;&gt; "", VLOOKUP(IFERROR(VLOOKUP('GBG Filtered'!E78, FormFixes, 2, false), 'GBG Filtered'!E78), PokemonIcons, 2, False), "")</f>
        <v/>
      </c>
      <c r="G84" s="63" t="str">
        <f>IF('GBG Filtered'!F78 &lt;&gt; "", VLOOKUP(IFERROR(VLOOKUP('GBG Filtered'!F78, FormFixes, 2, false), 'GBG Filtered'!F78), PokemonIcons, 2, False), "")</f>
        <v/>
      </c>
      <c r="H84" s="63" t="str">
        <f>IF('GBG Filtered'!G78 &lt;&gt; "", VLOOKUP(IFERROR(VLOOKUP('GBG Filtered'!G78, FormFixes, 2, false), 'GBG Filtered'!G78), PokemonIcons, 2, False), "")</f>
        <v/>
      </c>
      <c r="I84" s="63" t="str">
        <f>IF('GBG Filtered'!H78 &lt;&gt; "", VLOOKUP(IFERROR(VLOOKUP('GBG Filtered'!H78, FormFixes, 2, false), 'GBG Filtered'!H78), PokemonIcons, 2, False), "")</f>
        <v/>
      </c>
      <c r="J84" s="63" t="str">
        <f>IF('GBG Filtered'!I78 &lt;&gt; "", VLOOKUP(IFERROR(VLOOKUP('GBG Filtered'!I78, FormFixes, 2, false), 'GBG Filtered'!I78), PokemonIcons, 2, False), "")</f>
        <v/>
      </c>
      <c r="K84" s="63" t="str">
        <f>IF('GBG Filtered'!J78 &lt;&gt; "", VLOOKUP(IFERROR(VLOOKUP('GBG Filtered'!J78, FormFixes, 2, false), 'GBG Filtered'!J78), PokemonIcons, 2, False), "")</f>
        <v/>
      </c>
      <c r="O84" s="63" t="str">
        <f>IF('GBG Filtered'!N78 &lt;&gt; "", VLOOKUP(IFERROR(VLOOKUP('GBG Filtered'!N78, FormFixes, 2, false), 'GBG Filtered'!N78), PokemonIcons, 2, False), "")</f>
        <v/>
      </c>
      <c r="P84" s="63" t="str">
        <f>IF('GBG Filtered'!O78 &lt;&gt; "", VLOOKUP(IFERROR(VLOOKUP('GBG Filtered'!O78, FormFixes, 2, false), 'GBG Filtered'!O78), PokemonIcons, 2, False), "")</f>
        <v/>
      </c>
      <c r="Q84" s="63" t="str">
        <f>IF('GBG Filtered'!P78 &lt;&gt; "", VLOOKUP(IFERROR(VLOOKUP('GBG Filtered'!P78, FormFixes, 2, false), 'GBG Filtered'!P78), PokemonIcons, 2, False), "")</f>
        <v/>
      </c>
      <c r="R84" s="63" t="str">
        <f>IF('GBG Filtered'!Q78 &lt;&gt; "", VLOOKUP(IFERROR(VLOOKUP('GBG Filtered'!Q78, FormFixes, 2, false), 'GBG Filtered'!Q78), PokemonIcons, 2, False), "")</f>
        <v/>
      </c>
      <c r="T84" s="63" t="str">
        <f>IF('GBG Filtered'!S78 &lt;&gt; "", VLOOKUP(IFERROR(VLOOKUP('GBG Filtered'!S78, FormFixes, 2, false), 'GBG Filtered'!S78), PokemonIcons, 2, False), "")</f>
        <v/>
      </c>
      <c r="U84" s="63" t="str">
        <f>IF('GBG Filtered'!T78 &lt;&gt; "", VLOOKUP(IFERROR(VLOOKUP('GBG Filtered'!T78, FormFixes, 2, false), 'GBG Filtered'!T78), PokemonIcons, 2, False), "")</f>
        <v/>
      </c>
      <c r="V84" s="63" t="str">
        <f>IF('GBG Filtered'!U78 &lt;&gt; "", VLOOKUP(IFERROR(VLOOKUP('GBG Filtered'!U78, FormFixes, 2, false), 'GBG Filtered'!U78), PokemonIcons, 2, False), "")</f>
        <v/>
      </c>
      <c r="W84" s="63" t="str">
        <f>IF('GBG Filtered'!V78 &lt;&gt; "", VLOOKUP(IFERROR(VLOOKUP('GBG Filtered'!V78, FormFixes, 2, false), 'GBG Filtered'!V78), PokemonIcons, 2, False), "")</f>
        <v/>
      </c>
      <c r="Z84" s="63" t="str">
        <f>IF('GBG Filtered'!Y78 &lt;&gt; "", VLOOKUP(IFERROR(VLOOKUP('GBG Filtered'!Y78, FormFixes, 2, false), 'GBG Filtered'!Y78), PokemonIcons, 2, False), "")</f>
        <v/>
      </c>
      <c r="AA84" s="63" t="str">
        <f>IF('GBG Filtered'!Z78 &lt;&gt; "", VLOOKUP('GBG Filtered'!Z78, TypeIcons, 2, False), "")</f>
        <v/>
      </c>
      <c r="AB84" s="63" t="str">
        <f>IF('GBG Filtered'!AA78 &lt;&gt; "", VLOOKUP(IFERROR(VLOOKUP('GBG Filtered'!AA78, FormFixes, 2, false), 'GBG Filtered'!AA78), PokemonIcons, 2, False), "")</f>
        <v/>
      </c>
      <c r="AC84" s="63" t="str">
        <f>IF('GBG Filtered'!AB78 &lt;&gt; "", VLOOKUP('GBG Filtered'!AB78, TypeIcons, 2, False), "")</f>
        <v/>
      </c>
      <c r="AD84" s="103" t="str">
        <f>'GBG Filtered'!AC78</f>
        <v/>
      </c>
      <c r="AE84" s="103" t="str">
        <f>'GBG Filtered'!AD78</f>
        <v/>
      </c>
      <c r="AF84" s="104" t="str">
        <f>'GBG Filtered'!AE78</f>
        <v/>
      </c>
    </row>
    <row r="85" ht="24.0" customHeight="1">
      <c r="B85" s="101" t="str">
        <f>'GBG Filtered'!A79</f>
        <v/>
      </c>
      <c r="C85" s="102" t="str">
        <f>'GBG Filtered'!B79</f>
        <v/>
      </c>
      <c r="D85" s="102" t="str">
        <f>'GBG Filtered'!C79</f>
        <v/>
      </c>
      <c r="E85" s="102" t="str">
        <f>'GBG Filtered'!D79</f>
        <v/>
      </c>
      <c r="F85" s="63" t="str">
        <f>IF('GBG Filtered'!E79 &lt;&gt; "", VLOOKUP(IFERROR(VLOOKUP('GBG Filtered'!E79, FormFixes, 2, false), 'GBG Filtered'!E79), PokemonIcons, 2, False), "")</f>
        <v/>
      </c>
      <c r="G85" s="63" t="str">
        <f>IF('GBG Filtered'!F79 &lt;&gt; "", VLOOKUP(IFERROR(VLOOKUP('GBG Filtered'!F79, FormFixes, 2, false), 'GBG Filtered'!F79), PokemonIcons, 2, False), "")</f>
        <v/>
      </c>
      <c r="H85" s="63" t="str">
        <f>IF('GBG Filtered'!G79 &lt;&gt; "", VLOOKUP(IFERROR(VLOOKUP('GBG Filtered'!G79, FormFixes, 2, false), 'GBG Filtered'!G79), PokemonIcons, 2, False), "")</f>
        <v/>
      </c>
      <c r="I85" s="63" t="str">
        <f>IF('GBG Filtered'!H79 &lt;&gt; "", VLOOKUP(IFERROR(VLOOKUP('GBG Filtered'!H79, FormFixes, 2, false), 'GBG Filtered'!H79), PokemonIcons, 2, False), "")</f>
        <v/>
      </c>
      <c r="J85" s="63" t="str">
        <f>IF('GBG Filtered'!I79 &lt;&gt; "", VLOOKUP(IFERROR(VLOOKUP('GBG Filtered'!I79, FormFixes, 2, false), 'GBG Filtered'!I79), PokemonIcons, 2, False), "")</f>
        <v/>
      </c>
      <c r="K85" s="63" t="str">
        <f>IF('GBG Filtered'!J79 &lt;&gt; "", VLOOKUP(IFERROR(VLOOKUP('GBG Filtered'!J79, FormFixes, 2, false), 'GBG Filtered'!J79), PokemonIcons, 2, False), "")</f>
        <v/>
      </c>
      <c r="O85" s="63" t="str">
        <f>IF('GBG Filtered'!N79 &lt;&gt; "", VLOOKUP(IFERROR(VLOOKUP('GBG Filtered'!N79, FormFixes, 2, false), 'GBG Filtered'!N79), PokemonIcons, 2, False), "")</f>
        <v/>
      </c>
      <c r="P85" s="63" t="str">
        <f>IF('GBG Filtered'!O79 &lt;&gt; "", VLOOKUP(IFERROR(VLOOKUP('GBG Filtered'!O79, FormFixes, 2, false), 'GBG Filtered'!O79), PokemonIcons, 2, False), "")</f>
        <v/>
      </c>
      <c r="Q85" s="63" t="str">
        <f>IF('GBG Filtered'!P79 &lt;&gt; "", VLOOKUP(IFERROR(VLOOKUP('GBG Filtered'!P79, FormFixes, 2, false), 'GBG Filtered'!P79), PokemonIcons, 2, False), "")</f>
        <v/>
      </c>
      <c r="R85" s="63" t="str">
        <f>IF('GBG Filtered'!Q79 &lt;&gt; "", VLOOKUP(IFERROR(VLOOKUP('GBG Filtered'!Q79, FormFixes, 2, false), 'GBG Filtered'!Q79), PokemonIcons, 2, False), "")</f>
        <v/>
      </c>
      <c r="T85" s="63" t="str">
        <f>IF('GBG Filtered'!S79 &lt;&gt; "", VLOOKUP(IFERROR(VLOOKUP('GBG Filtered'!S79, FormFixes, 2, false), 'GBG Filtered'!S79), PokemonIcons, 2, False), "")</f>
        <v/>
      </c>
      <c r="U85" s="63" t="str">
        <f>IF('GBG Filtered'!T79 &lt;&gt; "", VLOOKUP(IFERROR(VLOOKUP('GBG Filtered'!T79, FormFixes, 2, false), 'GBG Filtered'!T79), PokemonIcons, 2, False), "")</f>
        <v/>
      </c>
      <c r="V85" s="63" t="str">
        <f>IF('GBG Filtered'!U79 &lt;&gt; "", VLOOKUP(IFERROR(VLOOKUP('GBG Filtered'!U79, FormFixes, 2, false), 'GBG Filtered'!U79), PokemonIcons, 2, False), "")</f>
        <v/>
      </c>
      <c r="W85" s="63" t="str">
        <f>IF('GBG Filtered'!V79 &lt;&gt; "", VLOOKUP(IFERROR(VLOOKUP('GBG Filtered'!V79, FormFixes, 2, false), 'GBG Filtered'!V79), PokemonIcons, 2, False), "")</f>
        <v/>
      </c>
      <c r="Z85" s="63" t="str">
        <f>IF('GBG Filtered'!Y79 &lt;&gt; "", VLOOKUP(IFERROR(VLOOKUP('GBG Filtered'!Y79, FormFixes, 2, false), 'GBG Filtered'!Y79), PokemonIcons, 2, False), "")</f>
        <v/>
      </c>
      <c r="AA85" s="63" t="str">
        <f>IF('GBG Filtered'!Z79 &lt;&gt; "", VLOOKUP('GBG Filtered'!Z79, TypeIcons, 2, False), "")</f>
        <v/>
      </c>
      <c r="AB85" s="63" t="str">
        <f>IF('GBG Filtered'!AA79 &lt;&gt; "", VLOOKUP(IFERROR(VLOOKUP('GBG Filtered'!AA79, FormFixes, 2, false), 'GBG Filtered'!AA79), PokemonIcons, 2, False), "")</f>
        <v/>
      </c>
      <c r="AC85" s="63" t="str">
        <f>IF('GBG Filtered'!AB79 &lt;&gt; "", VLOOKUP('GBG Filtered'!AB79, TypeIcons, 2, False), "")</f>
        <v/>
      </c>
      <c r="AD85" s="103" t="str">
        <f>'GBG Filtered'!AC79</f>
        <v/>
      </c>
      <c r="AE85" s="103" t="str">
        <f>'GBG Filtered'!AD79</f>
        <v/>
      </c>
      <c r="AF85" s="104" t="str">
        <f>'GBG Filtered'!AE79</f>
        <v/>
      </c>
    </row>
    <row r="86" ht="24.0" customHeight="1">
      <c r="B86" s="101" t="str">
        <f>'GBG Filtered'!A80</f>
        <v/>
      </c>
      <c r="C86" s="102" t="str">
        <f>'GBG Filtered'!B80</f>
        <v/>
      </c>
      <c r="D86" s="102" t="str">
        <f>'GBG Filtered'!C80</f>
        <v/>
      </c>
      <c r="E86" s="102" t="str">
        <f>'GBG Filtered'!D80</f>
        <v/>
      </c>
      <c r="F86" s="63" t="str">
        <f>IF('GBG Filtered'!E80 &lt;&gt; "", VLOOKUP(IFERROR(VLOOKUP('GBG Filtered'!E80, FormFixes, 2, false), 'GBG Filtered'!E80), PokemonIcons, 2, False), "")</f>
        <v/>
      </c>
      <c r="G86" s="63" t="str">
        <f>IF('GBG Filtered'!F80 &lt;&gt; "", VLOOKUP(IFERROR(VLOOKUP('GBG Filtered'!F80, FormFixes, 2, false), 'GBG Filtered'!F80), PokemonIcons, 2, False), "")</f>
        <v/>
      </c>
      <c r="H86" s="63" t="str">
        <f>IF('GBG Filtered'!G80 &lt;&gt; "", VLOOKUP(IFERROR(VLOOKUP('GBG Filtered'!G80, FormFixes, 2, false), 'GBG Filtered'!G80), PokemonIcons, 2, False), "")</f>
        <v/>
      </c>
      <c r="I86" s="63" t="str">
        <f>IF('GBG Filtered'!H80 &lt;&gt; "", VLOOKUP(IFERROR(VLOOKUP('GBG Filtered'!H80, FormFixes, 2, false), 'GBG Filtered'!H80), PokemonIcons, 2, False), "")</f>
        <v/>
      </c>
      <c r="J86" s="63" t="str">
        <f>IF('GBG Filtered'!I80 &lt;&gt; "", VLOOKUP(IFERROR(VLOOKUP('GBG Filtered'!I80, FormFixes, 2, false), 'GBG Filtered'!I80), PokemonIcons, 2, False), "")</f>
        <v/>
      </c>
      <c r="K86" s="63" t="str">
        <f>IF('GBG Filtered'!J80 &lt;&gt; "", VLOOKUP(IFERROR(VLOOKUP('GBG Filtered'!J80, FormFixes, 2, false), 'GBG Filtered'!J80), PokemonIcons, 2, False), "")</f>
        <v/>
      </c>
      <c r="O86" s="63" t="str">
        <f>IF('GBG Filtered'!N80 &lt;&gt; "", VLOOKUP(IFERROR(VLOOKUP('GBG Filtered'!N80, FormFixes, 2, false), 'GBG Filtered'!N80), PokemonIcons, 2, False), "")</f>
        <v/>
      </c>
      <c r="P86" s="63" t="str">
        <f>IF('GBG Filtered'!O80 &lt;&gt; "", VLOOKUP(IFERROR(VLOOKUP('GBG Filtered'!O80, FormFixes, 2, false), 'GBG Filtered'!O80), PokemonIcons, 2, False), "")</f>
        <v/>
      </c>
      <c r="Q86" s="63" t="str">
        <f>IF('GBG Filtered'!P80 &lt;&gt; "", VLOOKUP(IFERROR(VLOOKUP('GBG Filtered'!P80, FormFixes, 2, false), 'GBG Filtered'!P80), PokemonIcons, 2, False), "")</f>
        <v/>
      </c>
      <c r="R86" s="63" t="str">
        <f>IF('GBG Filtered'!Q80 &lt;&gt; "", VLOOKUP(IFERROR(VLOOKUP('GBG Filtered'!Q80, FormFixes, 2, false), 'GBG Filtered'!Q80), PokemonIcons, 2, False), "")</f>
        <v/>
      </c>
      <c r="T86" s="63" t="str">
        <f>IF('GBG Filtered'!S80 &lt;&gt; "", VLOOKUP(IFERROR(VLOOKUP('GBG Filtered'!S80, FormFixes, 2, false), 'GBG Filtered'!S80), PokemonIcons, 2, False), "")</f>
        <v/>
      </c>
      <c r="U86" s="63" t="str">
        <f>IF('GBG Filtered'!T80 &lt;&gt; "", VLOOKUP(IFERROR(VLOOKUP('GBG Filtered'!T80, FormFixes, 2, false), 'GBG Filtered'!T80), PokemonIcons, 2, False), "")</f>
        <v/>
      </c>
      <c r="V86" s="63" t="str">
        <f>IF('GBG Filtered'!U80 &lt;&gt; "", VLOOKUP(IFERROR(VLOOKUP('GBG Filtered'!U80, FormFixes, 2, false), 'GBG Filtered'!U80), PokemonIcons, 2, False), "")</f>
        <v/>
      </c>
      <c r="W86" s="63" t="str">
        <f>IF('GBG Filtered'!V80 &lt;&gt; "", VLOOKUP(IFERROR(VLOOKUP('GBG Filtered'!V80, FormFixes, 2, false), 'GBG Filtered'!V80), PokemonIcons, 2, False), "")</f>
        <v/>
      </c>
      <c r="Z86" s="63" t="str">
        <f>IF('GBG Filtered'!Y80 &lt;&gt; "", VLOOKUP(IFERROR(VLOOKUP('GBG Filtered'!Y80, FormFixes, 2, false), 'GBG Filtered'!Y80), PokemonIcons, 2, False), "")</f>
        <v/>
      </c>
      <c r="AA86" s="63" t="str">
        <f>IF('GBG Filtered'!Z80 &lt;&gt; "", VLOOKUP('GBG Filtered'!Z80, TypeIcons, 2, False), "")</f>
        <v/>
      </c>
      <c r="AB86" s="63" t="str">
        <f>IF('GBG Filtered'!AA80 &lt;&gt; "", VLOOKUP(IFERROR(VLOOKUP('GBG Filtered'!AA80, FormFixes, 2, false), 'GBG Filtered'!AA80), PokemonIcons, 2, False), "")</f>
        <v/>
      </c>
      <c r="AC86" s="63" t="str">
        <f>IF('GBG Filtered'!AB80 &lt;&gt; "", VLOOKUP('GBG Filtered'!AB80, TypeIcons, 2, False), "")</f>
        <v/>
      </c>
      <c r="AD86" s="103" t="str">
        <f>'GBG Filtered'!AC80</f>
        <v/>
      </c>
      <c r="AE86" s="103" t="str">
        <f>'GBG Filtered'!AD80</f>
        <v/>
      </c>
      <c r="AF86" s="104" t="str">
        <f>'GBG Filtered'!AE80</f>
        <v/>
      </c>
    </row>
    <row r="87" ht="24.0" customHeight="1">
      <c r="B87" s="101" t="str">
        <f>'GBG Filtered'!A81</f>
        <v/>
      </c>
      <c r="C87" s="102" t="str">
        <f>'GBG Filtered'!B81</f>
        <v/>
      </c>
      <c r="D87" s="102" t="str">
        <f>'GBG Filtered'!C81</f>
        <v/>
      </c>
      <c r="E87" s="102" t="str">
        <f>'GBG Filtered'!D81</f>
        <v/>
      </c>
      <c r="F87" s="63" t="str">
        <f>IF('GBG Filtered'!E81 &lt;&gt; "", VLOOKUP(IFERROR(VLOOKUP('GBG Filtered'!E81, FormFixes, 2, false), 'GBG Filtered'!E81), PokemonIcons, 2, False), "")</f>
        <v/>
      </c>
      <c r="G87" s="63" t="str">
        <f>IF('GBG Filtered'!F81 &lt;&gt; "", VLOOKUP(IFERROR(VLOOKUP('GBG Filtered'!F81, FormFixes, 2, false), 'GBG Filtered'!F81), PokemonIcons, 2, False), "")</f>
        <v/>
      </c>
      <c r="H87" s="63" t="str">
        <f>IF('GBG Filtered'!G81 &lt;&gt; "", VLOOKUP(IFERROR(VLOOKUP('GBG Filtered'!G81, FormFixes, 2, false), 'GBG Filtered'!G81), PokemonIcons, 2, False), "")</f>
        <v/>
      </c>
      <c r="I87" s="63" t="str">
        <f>IF('GBG Filtered'!H81 &lt;&gt; "", VLOOKUP(IFERROR(VLOOKUP('GBG Filtered'!H81, FormFixes, 2, false), 'GBG Filtered'!H81), PokemonIcons, 2, False), "")</f>
        <v/>
      </c>
      <c r="J87" s="63" t="str">
        <f>IF('GBG Filtered'!I81 &lt;&gt; "", VLOOKUP(IFERROR(VLOOKUP('GBG Filtered'!I81, FormFixes, 2, false), 'GBG Filtered'!I81), PokemonIcons, 2, False), "")</f>
        <v/>
      </c>
      <c r="K87" s="63" t="str">
        <f>IF('GBG Filtered'!J81 &lt;&gt; "", VLOOKUP(IFERROR(VLOOKUP('GBG Filtered'!J81, FormFixes, 2, false), 'GBG Filtered'!J81), PokemonIcons, 2, False), "")</f>
        <v/>
      </c>
      <c r="O87" s="63" t="str">
        <f>IF('GBG Filtered'!N81 &lt;&gt; "", VLOOKUP(IFERROR(VLOOKUP('GBG Filtered'!N81, FormFixes, 2, false), 'GBG Filtered'!N81), PokemonIcons, 2, False), "")</f>
        <v/>
      </c>
      <c r="P87" s="63" t="str">
        <f>IF('GBG Filtered'!O81 &lt;&gt; "", VLOOKUP(IFERROR(VLOOKUP('GBG Filtered'!O81, FormFixes, 2, false), 'GBG Filtered'!O81), PokemonIcons, 2, False), "")</f>
        <v/>
      </c>
      <c r="Q87" s="63" t="str">
        <f>IF('GBG Filtered'!P81 &lt;&gt; "", VLOOKUP(IFERROR(VLOOKUP('GBG Filtered'!P81, FormFixes, 2, false), 'GBG Filtered'!P81), PokemonIcons, 2, False), "")</f>
        <v/>
      </c>
      <c r="R87" s="63" t="str">
        <f>IF('GBG Filtered'!Q81 &lt;&gt; "", VLOOKUP(IFERROR(VLOOKUP('GBG Filtered'!Q81, FormFixes, 2, false), 'GBG Filtered'!Q81), PokemonIcons, 2, False), "")</f>
        <v/>
      </c>
      <c r="T87" s="63" t="str">
        <f>IF('GBG Filtered'!S81 &lt;&gt; "", VLOOKUP(IFERROR(VLOOKUP('GBG Filtered'!S81, FormFixes, 2, false), 'GBG Filtered'!S81), PokemonIcons, 2, False), "")</f>
        <v/>
      </c>
      <c r="U87" s="63" t="str">
        <f>IF('GBG Filtered'!T81 &lt;&gt; "", VLOOKUP(IFERROR(VLOOKUP('GBG Filtered'!T81, FormFixes, 2, false), 'GBG Filtered'!T81), PokemonIcons, 2, False), "")</f>
        <v/>
      </c>
      <c r="V87" s="63" t="str">
        <f>IF('GBG Filtered'!U81 &lt;&gt; "", VLOOKUP(IFERROR(VLOOKUP('GBG Filtered'!U81, FormFixes, 2, false), 'GBG Filtered'!U81), PokemonIcons, 2, False), "")</f>
        <v/>
      </c>
      <c r="W87" s="63" t="str">
        <f>IF('GBG Filtered'!V81 &lt;&gt; "", VLOOKUP(IFERROR(VLOOKUP('GBG Filtered'!V81, FormFixes, 2, false), 'GBG Filtered'!V81), PokemonIcons, 2, False), "")</f>
        <v/>
      </c>
      <c r="Z87" s="63" t="str">
        <f>IF('GBG Filtered'!Y81 &lt;&gt; "", VLOOKUP(IFERROR(VLOOKUP('GBG Filtered'!Y81, FormFixes, 2, false), 'GBG Filtered'!Y81), PokemonIcons, 2, False), "")</f>
        <v/>
      </c>
      <c r="AA87" s="63" t="str">
        <f>IF('GBG Filtered'!Z81 &lt;&gt; "", VLOOKUP('GBG Filtered'!Z81, TypeIcons, 2, False), "")</f>
        <v/>
      </c>
      <c r="AB87" s="63" t="str">
        <f>IF('GBG Filtered'!AA81 &lt;&gt; "", VLOOKUP(IFERROR(VLOOKUP('GBG Filtered'!AA81, FormFixes, 2, false), 'GBG Filtered'!AA81), PokemonIcons, 2, False), "")</f>
        <v/>
      </c>
      <c r="AC87" s="63" t="str">
        <f>IF('GBG Filtered'!AB81 &lt;&gt; "", VLOOKUP('GBG Filtered'!AB81, TypeIcons, 2, False), "")</f>
        <v/>
      </c>
      <c r="AD87" s="103" t="str">
        <f>'GBG Filtered'!AC81</f>
        <v/>
      </c>
      <c r="AE87" s="103" t="str">
        <f>'GBG Filtered'!AD81</f>
        <v/>
      </c>
      <c r="AF87" s="104" t="str">
        <f>'GBG Filtered'!AE81</f>
        <v/>
      </c>
    </row>
    <row r="88" ht="24.0" customHeight="1">
      <c r="B88" s="101" t="str">
        <f>'GBG Filtered'!A82</f>
        <v/>
      </c>
      <c r="C88" s="102" t="str">
        <f>'GBG Filtered'!B82</f>
        <v/>
      </c>
      <c r="D88" s="102" t="str">
        <f>'GBG Filtered'!C82</f>
        <v/>
      </c>
      <c r="E88" s="102" t="str">
        <f>'GBG Filtered'!D82</f>
        <v/>
      </c>
      <c r="F88" s="63" t="str">
        <f>IF('GBG Filtered'!E82 &lt;&gt; "", VLOOKUP(IFERROR(VLOOKUP('GBG Filtered'!E82, FormFixes, 2, false), 'GBG Filtered'!E82), PokemonIcons, 2, False), "")</f>
        <v/>
      </c>
      <c r="G88" s="63" t="str">
        <f>IF('GBG Filtered'!F82 &lt;&gt; "", VLOOKUP(IFERROR(VLOOKUP('GBG Filtered'!F82, FormFixes, 2, false), 'GBG Filtered'!F82), PokemonIcons, 2, False), "")</f>
        <v/>
      </c>
      <c r="H88" s="63" t="str">
        <f>IF('GBG Filtered'!G82 &lt;&gt; "", VLOOKUP(IFERROR(VLOOKUP('GBG Filtered'!G82, FormFixes, 2, false), 'GBG Filtered'!G82), PokemonIcons, 2, False), "")</f>
        <v/>
      </c>
      <c r="I88" s="63" t="str">
        <f>IF('GBG Filtered'!H82 &lt;&gt; "", VLOOKUP(IFERROR(VLOOKUP('GBG Filtered'!H82, FormFixes, 2, false), 'GBG Filtered'!H82), PokemonIcons, 2, False), "")</f>
        <v/>
      </c>
      <c r="J88" s="63" t="str">
        <f>IF('GBG Filtered'!I82 &lt;&gt; "", VLOOKUP(IFERROR(VLOOKUP('GBG Filtered'!I82, FormFixes, 2, false), 'GBG Filtered'!I82), PokemonIcons, 2, False), "")</f>
        <v/>
      </c>
      <c r="K88" s="63" t="str">
        <f>IF('GBG Filtered'!J82 &lt;&gt; "", VLOOKUP(IFERROR(VLOOKUP('GBG Filtered'!J82, FormFixes, 2, false), 'GBG Filtered'!J82), PokemonIcons, 2, False), "")</f>
        <v/>
      </c>
      <c r="O88" s="63" t="str">
        <f>IF('GBG Filtered'!N82 &lt;&gt; "", VLOOKUP(IFERROR(VLOOKUP('GBG Filtered'!N82, FormFixes, 2, false), 'GBG Filtered'!N82), PokemonIcons, 2, False), "")</f>
        <v/>
      </c>
      <c r="P88" s="63" t="str">
        <f>IF('GBG Filtered'!O82 &lt;&gt; "", VLOOKUP(IFERROR(VLOOKUP('GBG Filtered'!O82, FormFixes, 2, false), 'GBG Filtered'!O82), PokemonIcons, 2, False), "")</f>
        <v/>
      </c>
      <c r="Q88" s="63" t="str">
        <f>IF('GBG Filtered'!P82 &lt;&gt; "", VLOOKUP(IFERROR(VLOOKUP('GBG Filtered'!P82, FormFixes, 2, false), 'GBG Filtered'!P82), PokemonIcons, 2, False), "")</f>
        <v/>
      </c>
      <c r="R88" s="63" t="str">
        <f>IF('GBG Filtered'!Q82 &lt;&gt; "", VLOOKUP(IFERROR(VLOOKUP('GBG Filtered'!Q82, FormFixes, 2, false), 'GBG Filtered'!Q82), PokemonIcons, 2, False), "")</f>
        <v/>
      </c>
      <c r="T88" s="63" t="str">
        <f>IF('GBG Filtered'!S82 &lt;&gt; "", VLOOKUP(IFERROR(VLOOKUP('GBG Filtered'!S82, FormFixes, 2, false), 'GBG Filtered'!S82), PokemonIcons, 2, False), "")</f>
        <v/>
      </c>
      <c r="U88" s="63" t="str">
        <f>IF('GBG Filtered'!T82 &lt;&gt; "", VLOOKUP(IFERROR(VLOOKUP('GBG Filtered'!T82, FormFixes, 2, false), 'GBG Filtered'!T82), PokemonIcons, 2, False), "")</f>
        <v/>
      </c>
      <c r="V88" s="63" t="str">
        <f>IF('GBG Filtered'!U82 &lt;&gt; "", VLOOKUP(IFERROR(VLOOKUP('GBG Filtered'!U82, FormFixes, 2, false), 'GBG Filtered'!U82), PokemonIcons, 2, False), "")</f>
        <v/>
      </c>
      <c r="W88" s="63" t="str">
        <f>IF('GBG Filtered'!V82 &lt;&gt; "", VLOOKUP(IFERROR(VLOOKUP('GBG Filtered'!V82, FormFixes, 2, false), 'GBG Filtered'!V82), PokemonIcons, 2, False), "")</f>
        <v/>
      </c>
      <c r="Z88" s="63" t="str">
        <f>IF('GBG Filtered'!Y82 &lt;&gt; "", VLOOKUP(IFERROR(VLOOKUP('GBG Filtered'!Y82, FormFixes, 2, false), 'GBG Filtered'!Y82), PokemonIcons, 2, False), "")</f>
        <v/>
      </c>
      <c r="AA88" s="63" t="str">
        <f>IF('GBG Filtered'!Z82 &lt;&gt; "", VLOOKUP('GBG Filtered'!Z82, TypeIcons, 2, False), "")</f>
        <v/>
      </c>
      <c r="AB88" s="63" t="str">
        <f>IF('GBG Filtered'!AA82 &lt;&gt; "", VLOOKUP(IFERROR(VLOOKUP('GBG Filtered'!AA82, FormFixes, 2, false), 'GBG Filtered'!AA82), PokemonIcons, 2, False), "")</f>
        <v/>
      </c>
      <c r="AC88" s="63" t="str">
        <f>IF('GBG Filtered'!AB82 &lt;&gt; "", VLOOKUP('GBG Filtered'!AB82, TypeIcons, 2, False), "")</f>
        <v/>
      </c>
      <c r="AD88" s="103" t="str">
        <f>'GBG Filtered'!AC82</f>
        <v/>
      </c>
      <c r="AE88" s="103" t="str">
        <f>'GBG Filtered'!AD82</f>
        <v/>
      </c>
      <c r="AF88" s="104" t="str">
        <f>'GBG Filtered'!AE82</f>
        <v/>
      </c>
    </row>
    <row r="89" ht="24.0" customHeight="1">
      <c r="B89" s="101" t="str">
        <f>'GBG Filtered'!A83</f>
        <v/>
      </c>
      <c r="C89" s="102" t="str">
        <f>'GBG Filtered'!B83</f>
        <v/>
      </c>
      <c r="D89" s="102" t="str">
        <f>'GBG Filtered'!C83</f>
        <v/>
      </c>
      <c r="E89" s="102" t="str">
        <f>'GBG Filtered'!D83</f>
        <v/>
      </c>
      <c r="F89" s="63" t="str">
        <f>IF('GBG Filtered'!E83 &lt;&gt; "", VLOOKUP(IFERROR(VLOOKUP('GBG Filtered'!E83, FormFixes, 2, false), 'GBG Filtered'!E83), PokemonIcons, 2, False), "")</f>
        <v/>
      </c>
      <c r="G89" s="63" t="str">
        <f>IF('GBG Filtered'!F83 &lt;&gt; "", VLOOKUP(IFERROR(VLOOKUP('GBG Filtered'!F83, FormFixes, 2, false), 'GBG Filtered'!F83), PokemonIcons, 2, False), "")</f>
        <v/>
      </c>
      <c r="H89" s="63" t="str">
        <f>IF('GBG Filtered'!G83 &lt;&gt; "", VLOOKUP(IFERROR(VLOOKUP('GBG Filtered'!G83, FormFixes, 2, false), 'GBG Filtered'!G83), PokemonIcons, 2, False), "")</f>
        <v/>
      </c>
      <c r="I89" s="63" t="str">
        <f>IF('GBG Filtered'!H83 &lt;&gt; "", VLOOKUP(IFERROR(VLOOKUP('GBG Filtered'!H83, FormFixes, 2, false), 'GBG Filtered'!H83), PokemonIcons, 2, False), "")</f>
        <v/>
      </c>
      <c r="J89" s="63" t="str">
        <f>IF('GBG Filtered'!I83 &lt;&gt; "", VLOOKUP(IFERROR(VLOOKUP('GBG Filtered'!I83, FormFixes, 2, false), 'GBG Filtered'!I83), PokemonIcons, 2, False), "")</f>
        <v/>
      </c>
      <c r="K89" s="63" t="str">
        <f>IF('GBG Filtered'!J83 &lt;&gt; "", VLOOKUP(IFERROR(VLOOKUP('GBG Filtered'!J83, FormFixes, 2, false), 'GBG Filtered'!J83), PokemonIcons, 2, False), "")</f>
        <v/>
      </c>
      <c r="O89" s="63" t="str">
        <f>IF('GBG Filtered'!N83 &lt;&gt; "", VLOOKUP(IFERROR(VLOOKUP('GBG Filtered'!N83, FormFixes, 2, false), 'GBG Filtered'!N83), PokemonIcons, 2, False), "")</f>
        <v/>
      </c>
      <c r="P89" s="63" t="str">
        <f>IF('GBG Filtered'!O83 &lt;&gt; "", VLOOKUP(IFERROR(VLOOKUP('GBG Filtered'!O83, FormFixes, 2, false), 'GBG Filtered'!O83), PokemonIcons, 2, False), "")</f>
        <v/>
      </c>
      <c r="Q89" s="63" t="str">
        <f>IF('GBG Filtered'!P83 &lt;&gt; "", VLOOKUP(IFERROR(VLOOKUP('GBG Filtered'!P83, FormFixes, 2, false), 'GBG Filtered'!P83), PokemonIcons, 2, False), "")</f>
        <v/>
      </c>
      <c r="R89" s="63" t="str">
        <f>IF('GBG Filtered'!Q83 &lt;&gt; "", VLOOKUP(IFERROR(VLOOKUP('GBG Filtered'!Q83, FormFixes, 2, false), 'GBG Filtered'!Q83), PokemonIcons, 2, False), "")</f>
        <v/>
      </c>
      <c r="T89" s="63" t="str">
        <f>IF('GBG Filtered'!S83 &lt;&gt; "", VLOOKUP(IFERROR(VLOOKUP('GBG Filtered'!S83, FormFixes, 2, false), 'GBG Filtered'!S83), PokemonIcons, 2, False), "")</f>
        <v/>
      </c>
      <c r="U89" s="63" t="str">
        <f>IF('GBG Filtered'!T83 &lt;&gt; "", VLOOKUP(IFERROR(VLOOKUP('GBG Filtered'!T83, FormFixes, 2, false), 'GBG Filtered'!T83), PokemonIcons, 2, False), "")</f>
        <v/>
      </c>
      <c r="V89" s="63" t="str">
        <f>IF('GBG Filtered'!U83 &lt;&gt; "", VLOOKUP(IFERROR(VLOOKUP('GBG Filtered'!U83, FormFixes, 2, false), 'GBG Filtered'!U83), PokemonIcons, 2, False), "")</f>
        <v/>
      </c>
      <c r="W89" s="63" t="str">
        <f>IF('GBG Filtered'!V83 &lt;&gt; "", VLOOKUP(IFERROR(VLOOKUP('GBG Filtered'!V83, FormFixes, 2, false), 'GBG Filtered'!V83), PokemonIcons, 2, False), "")</f>
        <v/>
      </c>
      <c r="Z89" s="63" t="str">
        <f>IF('GBG Filtered'!Y83 &lt;&gt; "", VLOOKUP(IFERROR(VLOOKUP('GBG Filtered'!Y83, FormFixes, 2, false), 'GBG Filtered'!Y83), PokemonIcons, 2, False), "")</f>
        <v/>
      </c>
      <c r="AA89" s="63" t="str">
        <f>IF('GBG Filtered'!Z83 &lt;&gt; "", VLOOKUP('GBG Filtered'!Z83, TypeIcons, 2, False), "")</f>
        <v/>
      </c>
      <c r="AB89" s="63" t="str">
        <f>IF('GBG Filtered'!AA83 &lt;&gt; "", VLOOKUP(IFERROR(VLOOKUP('GBG Filtered'!AA83, FormFixes, 2, false), 'GBG Filtered'!AA83), PokemonIcons, 2, False), "")</f>
        <v/>
      </c>
      <c r="AC89" s="63" t="str">
        <f>IF('GBG Filtered'!AB83 &lt;&gt; "", VLOOKUP('GBG Filtered'!AB83, TypeIcons, 2, False), "")</f>
        <v/>
      </c>
      <c r="AD89" s="103" t="str">
        <f>'GBG Filtered'!AC83</f>
        <v/>
      </c>
      <c r="AE89" s="103" t="str">
        <f>'GBG Filtered'!AD83</f>
        <v/>
      </c>
      <c r="AF89" s="104" t="str">
        <f>'GBG Filtered'!AE83</f>
        <v/>
      </c>
    </row>
    <row r="90" ht="24.0" customHeight="1">
      <c r="B90" s="101" t="str">
        <f>'GBG Filtered'!A84</f>
        <v/>
      </c>
      <c r="C90" s="102" t="str">
        <f>'GBG Filtered'!B84</f>
        <v/>
      </c>
      <c r="D90" s="102" t="str">
        <f>'GBG Filtered'!C84</f>
        <v/>
      </c>
      <c r="E90" s="102" t="str">
        <f>'GBG Filtered'!D84</f>
        <v/>
      </c>
      <c r="F90" s="63" t="str">
        <f>IF('GBG Filtered'!E84 &lt;&gt; "", VLOOKUP(IFERROR(VLOOKUP('GBG Filtered'!E84, FormFixes, 2, false), 'GBG Filtered'!E84), PokemonIcons, 2, False), "")</f>
        <v/>
      </c>
      <c r="G90" s="63" t="str">
        <f>IF('GBG Filtered'!F84 &lt;&gt; "", VLOOKUP(IFERROR(VLOOKUP('GBG Filtered'!F84, FormFixes, 2, false), 'GBG Filtered'!F84), PokemonIcons, 2, False), "")</f>
        <v/>
      </c>
      <c r="H90" s="63" t="str">
        <f>IF('GBG Filtered'!G84 &lt;&gt; "", VLOOKUP(IFERROR(VLOOKUP('GBG Filtered'!G84, FormFixes, 2, false), 'GBG Filtered'!G84), PokemonIcons, 2, False), "")</f>
        <v/>
      </c>
      <c r="I90" s="63" t="str">
        <f>IF('GBG Filtered'!H84 &lt;&gt; "", VLOOKUP(IFERROR(VLOOKUP('GBG Filtered'!H84, FormFixes, 2, false), 'GBG Filtered'!H84), PokemonIcons, 2, False), "")</f>
        <v/>
      </c>
      <c r="J90" s="63" t="str">
        <f>IF('GBG Filtered'!I84 &lt;&gt; "", VLOOKUP(IFERROR(VLOOKUP('GBG Filtered'!I84, FormFixes, 2, false), 'GBG Filtered'!I84), PokemonIcons, 2, False), "")</f>
        <v/>
      </c>
      <c r="K90" s="63" t="str">
        <f>IF('GBG Filtered'!J84 &lt;&gt; "", VLOOKUP(IFERROR(VLOOKUP('GBG Filtered'!J84, FormFixes, 2, false), 'GBG Filtered'!J84), PokemonIcons, 2, False), "")</f>
        <v/>
      </c>
      <c r="O90" s="63" t="str">
        <f>IF('GBG Filtered'!N84 &lt;&gt; "", VLOOKUP(IFERROR(VLOOKUP('GBG Filtered'!N84, FormFixes, 2, false), 'GBG Filtered'!N84), PokemonIcons, 2, False), "")</f>
        <v/>
      </c>
      <c r="P90" s="63" t="str">
        <f>IF('GBG Filtered'!O84 &lt;&gt; "", VLOOKUP(IFERROR(VLOOKUP('GBG Filtered'!O84, FormFixes, 2, false), 'GBG Filtered'!O84), PokemonIcons, 2, False), "")</f>
        <v/>
      </c>
      <c r="Q90" s="63" t="str">
        <f>IF('GBG Filtered'!P84 &lt;&gt; "", VLOOKUP(IFERROR(VLOOKUP('GBG Filtered'!P84, FormFixes, 2, false), 'GBG Filtered'!P84), PokemonIcons, 2, False), "")</f>
        <v/>
      </c>
      <c r="R90" s="63" t="str">
        <f>IF('GBG Filtered'!Q84 &lt;&gt; "", VLOOKUP(IFERROR(VLOOKUP('GBG Filtered'!Q84, FormFixes, 2, false), 'GBG Filtered'!Q84), PokemonIcons, 2, False), "")</f>
        <v/>
      </c>
      <c r="T90" s="63" t="str">
        <f>IF('GBG Filtered'!S84 &lt;&gt; "", VLOOKUP(IFERROR(VLOOKUP('GBG Filtered'!S84, FormFixes, 2, false), 'GBG Filtered'!S84), PokemonIcons, 2, False), "")</f>
        <v/>
      </c>
      <c r="U90" s="63" t="str">
        <f>IF('GBG Filtered'!T84 &lt;&gt; "", VLOOKUP(IFERROR(VLOOKUP('GBG Filtered'!T84, FormFixes, 2, false), 'GBG Filtered'!T84), PokemonIcons, 2, False), "")</f>
        <v/>
      </c>
      <c r="V90" s="63" t="str">
        <f>IF('GBG Filtered'!U84 &lt;&gt; "", VLOOKUP(IFERROR(VLOOKUP('GBG Filtered'!U84, FormFixes, 2, false), 'GBG Filtered'!U84), PokemonIcons, 2, False), "")</f>
        <v/>
      </c>
      <c r="W90" s="63" t="str">
        <f>IF('GBG Filtered'!V84 &lt;&gt; "", VLOOKUP(IFERROR(VLOOKUP('GBG Filtered'!V84, FormFixes, 2, false), 'GBG Filtered'!V84), PokemonIcons, 2, False), "")</f>
        <v/>
      </c>
      <c r="Z90" s="63" t="str">
        <f>IF('GBG Filtered'!Y84 &lt;&gt; "", VLOOKUP(IFERROR(VLOOKUP('GBG Filtered'!Y84, FormFixes, 2, false), 'GBG Filtered'!Y84), PokemonIcons, 2, False), "")</f>
        <v/>
      </c>
      <c r="AA90" s="63" t="str">
        <f>IF('GBG Filtered'!Z84 &lt;&gt; "", VLOOKUP('GBG Filtered'!Z84, TypeIcons, 2, False), "")</f>
        <v/>
      </c>
      <c r="AB90" s="63" t="str">
        <f>IF('GBG Filtered'!AA84 &lt;&gt; "", VLOOKUP(IFERROR(VLOOKUP('GBG Filtered'!AA84, FormFixes, 2, false), 'GBG Filtered'!AA84), PokemonIcons, 2, False), "")</f>
        <v/>
      </c>
      <c r="AC90" s="63" t="str">
        <f>IF('GBG Filtered'!AB84 &lt;&gt; "", VLOOKUP('GBG Filtered'!AB84, TypeIcons, 2, False), "")</f>
        <v/>
      </c>
      <c r="AD90" s="103" t="str">
        <f>'GBG Filtered'!AC84</f>
        <v/>
      </c>
      <c r="AE90" s="103" t="str">
        <f>'GBG Filtered'!AD84</f>
        <v/>
      </c>
      <c r="AF90" s="104" t="str">
        <f>'GBG Filtered'!AE84</f>
        <v/>
      </c>
    </row>
    <row r="91" ht="24.0" customHeight="1">
      <c r="B91" s="101" t="str">
        <f>'GBG Filtered'!A85</f>
        <v/>
      </c>
      <c r="C91" s="102" t="str">
        <f>'GBG Filtered'!B85</f>
        <v/>
      </c>
      <c r="D91" s="102" t="str">
        <f>'GBG Filtered'!C85</f>
        <v/>
      </c>
      <c r="E91" s="102" t="str">
        <f>'GBG Filtered'!D85</f>
        <v/>
      </c>
      <c r="F91" s="63" t="str">
        <f>IF('GBG Filtered'!E85 &lt;&gt; "", VLOOKUP(IFERROR(VLOOKUP('GBG Filtered'!E85, FormFixes, 2, false), 'GBG Filtered'!E85), PokemonIcons, 2, False), "")</f>
        <v/>
      </c>
      <c r="G91" s="63" t="str">
        <f>IF('GBG Filtered'!F85 &lt;&gt; "", VLOOKUP(IFERROR(VLOOKUP('GBG Filtered'!F85, FormFixes, 2, false), 'GBG Filtered'!F85), PokemonIcons, 2, False), "")</f>
        <v/>
      </c>
      <c r="H91" s="63" t="str">
        <f>IF('GBG Filtered'!G85 &lt;&gt; "", VLOOKUP(IFERROR(VLOOKUP('GBG Filtered'!G85, FormFixes, 2, false), 'GBG Filtered'!G85), PokemonIcons, 2, False), "")</f>
        <v/>
      </c>
      <c r="I91" s="63" t="str">
        <f>IF('GBG Filtered'!H85 &lt;&gt; "", VLOOKUP(IFERROR(VLOOKUP('GBG Filtered'!H85, FormFixes, 2, false), 'GBG Filtered'!H85), PokemonIcons, 2, False), "")</f>
        <v/>
      </c>
      <c r="J91" s="63" t="str">
        <f>IF('GBG Filtered'!I85 &lt;&gt; "", VLOOKUP(IFERROR(VLOOKUP('GBG Filtered'!I85, FormFixes, 2, false), 'GBG Filtered'!I85), PokemonIcons, 2, False), "")</f>
        <v/>
      </c>
      <c r="K91" s="63" t="str">
        <f>IF('GBG Filtered'!J85 &lt;&gt; "", VLOOKUP(IFERROR(VLOOKUP('GBG Filtered'!J85, FormFixes, 2, false), 'GBG Filtered'!J85), PokemonIcons, 2, False), "")</f>
        <v/>
      </c>
      <c r="O91" s="63" t="str">
        <f>IF('GBG Filtered'!N85 &lt;&gt; "", VLOOKUP(IFERROR(VLOOKUP('GBG Filtered'!N85, FormFixes, 2, false), 'GBG Filtered'!N85), PokemonIcons, 2, False), "")</f>
        <v/>
      </c>
      <c r="P91" s="63" t="str">
        <f>IF('GBG Filtered'!O85 &lt;&gt; "", VLOOKUP(IFERROR(VLOOKUP('GBG Filtered'!O85, FormFixes, 2, false), 'GBG Filtered'!O85), PokemonIcons, 2, False), "")</f>
        <v/>
      </c>
      <c r="Q91" s="63" t="str">
        <f>IF('GBG Filtered'!P85 &lt;&gt; "", VLOOKUP(IFERROR(VLOOKUP('GBG Filtered'!P85, FormFixes, 2, false), 'GBG Filtered'!P85), PokemonIcons, 2, False), "")</f>
        <v/>
      </c>
      <c r="R91" s="63" t="str">
        <f>IF('GBG Filtered'!Q85 &lt;&gt; "", VLOOKUP(IFERROR(VLOOKUP('GBG Filtered'!Q85, FormFixes, 2, false), 'GBG Filtered'!Q85), PokemonIcons, 2, False), "")</f>
        <v/>
      </c>
      <c r="T91" s="63" t="str">
        <f>IF('GBG Filtered'!S85 &lt;&gt; "", VLOOKUP(IFERROR(VLOOKUP('GBG Filtered'!S85, FormFixes, 2, false), 'GBG Filtered'!S85), PokemonIcons, 2, False), "")</f>
        <v/>
      </c>
      <c r="U91" s="63" t="str">
        <f>IF('GBG Filtered'!T85 &lt;&gt; "", VLOOKUP(IFERROR(VLOOKUP('GBG Filtered'!T85, FormFixes, 2, false), 'GBG Filtered'!T85), PokemonIcons, 2, False), "")</f>
        <v/>
      </c>
      <c r="V91" s="63" t="str">
        <f>IF('GBG Filtered'!U85 &lt;&gt; "", VLOOKUP(IFERROR(VLOOKUP('GBG Filtered'!U85, FormFixes, 2, false), 'GBG Filtered'!U85), PokemonIcons, 2, False), "")</f>
        <v/>
      </c>
      <c r="W91" s="63" t="str">
        <f>IF('GBG Filtered'!V85 &lt;&gt; "", VLOOKUP(IFERROR(VLOOKUP('GBG Filtered'!V85, FormFixes, 2, false), 'GBG Filtered'!V85), PokemonIcons, 2, False), "")</f>
        <v/>
      </c>
      <c r="Z91" s="63" t="str">
        <f>IF('GBG Filtered'!Y85 &lt;&gt; "", VLOOKUP(IFERROR(VLOOKUP('GBG Filtered'!Y85, FormFixes, 2, false), 'GBG Filtered'!Y85), PokemonIcons, 2, False), "")</f>
        <v/>
      </c>
      <c r="AA91" s="63" t="str">
        <f>IF('GBG Filtered'!Z85 &lt;&gt; "", VLOOKUP('GBG Filtered'!Z85, TypeIcons, 2, False), "")</f>
        <v/>
      </c>
      <c r="AB91" s="63" t="str">
        <f>IF('GBG Filtered'!AA85 &lt;&gt; "", VLOOKUP(IFERROR(VLOOKUP('GBG Filtered'!AA85, FormFixes, 2, false), 'GBG Filtered'!AA85), PokemonIcons, 2, False), "")</f>
        <v/>
      </c>
      <c r="AC91" s="63" t="str">
        <f>IF('GBG Filtered'!AB85 &lt;&gt; "", VLOOKUP('GBG Filtered'!AB85, TypeIcons, 2, False), "")</f>
        <v/>
      </c>
      <c r="AD91" s="103" t="str">
        <f>'GBG Filtered'!AC85</f>
        <v/>
      </c>
      <c r="AE91" s="103" t="str">
        <f>'GBG Filtered'!AD85</f>
        <v/>
      </c>
      <c r="AF91" s="104" t="str">
        <f>'GBG Filtered'!AE85</f>
        <v/>
      </c>
    </row>
    <row r="92" ht="24.0" customHeight="1">
      <c r="B92" s="101" t="str">
        <f>'GBG Filtered'!A86</f>
        <v/>
      </c>
      <c r="C92" s="102" t="str">
        <f>'GBG Filtered'!B86</f>
        <v/>
      </c>
      <c r="D92" s="102" t="str">
        <f>'GBG Filtered'!C86</f>
        <v/>
      </c>
      <c r="E92" s="102" t="str">
        <f>'GBG Filtered'!D86</f>
        <v/>
      </c>
      <c r="F92" s="63" t="str">
        <f>IF('GBG Filtered'!E86 &lt;&gt; "", VLOOKUP(IFERROR(VLOOKUP('GBG Filtered'!E86, FormFixes, 2, false), 'GBG Filtered'!E86), PokemonIcons, 2, False), "")</f>
        <v/>
      </c>
      <c r="G92" s="63" t="str">
        <f>IF('GBG Filtered'!F86 &lt;&gt; "", VLOOKUP(IFERROR(VLOOKUP('GBG Filtered'!F86, FormFixes, 2, false), 'GBG Filtered'!F86), PokemonIcons, 2, False), "")</f>
        <v/>
      </c>
      <c r="H92" s="63" t="str">
        <f>IF('GBG Filtered'!G86 &lt;&gt; "", VLOOKUP(IFERROR(VLOOKUP('GBG Filtered'!G86, FormFixes, 2, false), 'GBG Filtered'!G86), PokemonIcons, 2, False), "")</f>
        <v/>
      </c>
      <c r="I92" s="63" t="str">
        <f>IF('GBG Filtered'!H86 &lt;&gt; "", VLOOKUP(IFERROR(VLOOKUP('GBG Filtered'!H86, FormFixes, 2, false), 'GBG Filtered'!H86), PokemonIcons, 2, False), "")</f>
        <v/>
      </c>
      <c r="J92" s="63" t="str">
        <f>IF('GBG Filtered'!I86 &lt;&gt; "", VLOOKUP(IFERROR(VLOOKUP('GBG Filtered'!I86, FormFixes, 2, false), 'GBG Filtered'!I86), PokemonIcons, 2, False), "")</f>
        <v/>
      </c>
      <c r="K92" s="63" t="str">
        <f>IF('GBG Filtered'!J86 &lt;&gt; "", VLOOKUP(IFERROR(VLOOKUP('GBG Filtered'!J86, FormFixes, 2, false), 'GBG Filtered'!J86), PokemonIcons, 2, False), "")</f>
        <v/>
      </c>
      <c r="O92" s="63" t="str">
        <f>IF('GBG Filtered'!N86 &lt;&gt; "", VLOOKUP(IFERROR(VLOOKUP('GBG Filtered'!N86, FormFixes, 2, false), 'GBG Filtered'!N86), PokemonIcons, 2, False), "")</f>
        <v/>
      </c>
      <c r="P92" s="63" t="str">
        <f>IF('GBG Filtered'!O86 &lt;&gt; "", VLOOKUP(IFERROR(VLOOKUP('GBG Filtered'!O86, FormFixes, 2, false), 'GBG Filtered'!O86), PokemonIcons, 2, False), "")</f>
        <v/>
      </c>
      <c r="Q92" s="63" t="str">
        <f>IF('GBG Filtered'!P86 &lt;&gt; "", VLOOKUP(IFERROR(VLOOKUP('GBG Filtered'!P86, FormFixes, 2, false), 'GBG Filtered'!P86), PokemonIcons, 2, False), "")</f>
        <v/>
      </c>
      <c r="R92" s="63" t="str">
        <f>IF('GBG Filtered'!Q86 &lt;&gt; "", VLOOKUP(IFERROR(VLOOKUP('GBG Filtered'!Q86, FormFixes, 2, false), 'GBG Filtered'!Q86), PokemonIcons, 2, False), "")</f>
        <v/>
      </c>
      <c r="T92" s="63" t="str">
        <f>IF('GBG Filtered'!S86 &lt;&gt; "", VLOOKUP(IFERROR(VLOOKUP('GBG Filtered'!S86, FormFixes, 2, false), 'GBG Filtered'!S86), PokemonIcons, 2, False), "")</f>
        <v/>
      </c>
      <c r="U92" s="63" t="str">
        <f>IF('GBG Filtered'!T86 &lt;&gt; "", VLOOKUP(IFERROR(VLOOKUP('GBG Filtered'!T86, FormFixes, 2, false), 'GBG Filtered'!T86), PokemonIcons, 2, False), "")</f>
        <v/>
      </c>
      <c r="V92" s="63" t="str">
        <f>IF('GBG Filtered'!U86 &lt;&gt; "", VLOOKUP(IFERROR(VLOOKUP('GBG Filtered'!U86, FormFixes, 2, false), 'GBG Filtered'!U86), PokemonIcons, 2, False), "")</f>
        <v/>
      </c>
      <c r="W92" s="63" t="str">
        <f>IF('GBG Filtered'!V86 &lt;&gt; "", VLOOKUP(IFERROR(VLOOKUP('GBG Filtered'!V86, FormFixes, 2, false), 'GBG Filtered'!V86), PokemonIcons, 2, False), "")</f>
        <v/>
      </c>
      <c r="Z92" s="63" t="str">
        <f>IF('GBG Filtered'!Y86 &lt;&gt; "", VLOOKUP(IFERROR(VLOOKUP('GBG Filtered'!Y86, FormFixes, 2, false), 'GBG Filtered'!Y86), PokemonIcons, 2, False), "")</f>
        <v/>
      </c>
      <c r="AA92" s="63" t="str">
        <f>IF('GBG Filtered'!Z86 &lt;&gt; "", VLOOKUP('GBG Filtered'!Z86, TypeIcons, 2, False), "")</f>
        <v/>
      </c>
      <c r="AB92" s="63" t="str">
        <f>IF('GBG Filtered'!AA86 &lt;&gt; "", VLOOKUP(IFERROR(VLOOKUP('GBG Filtered'!AA86, FormFixes, 2, false), 'GBG Filtered'!AA86), PokemonIcons, 2, False), "")</f>
        <v/>
      </c>
      <c r="AC92" s="63" t="str">
        <f>IF('GBG Filtered'!AB86 &lt;&gt; "", VLOOKUP('GBG Filtered'!AB86, TypeIcons, 2, False), "")</f>
        <v/>
      </c>
      <c r="AD92" s="103" t="str">
        <f>'GBG Filtered'!AC86</f>
        <v/>
      </c>
      <c r="AE92" s="103" t="str">
        <f>'GBG Filtered'!AD86</f>
        <v/>
      </c>
      <c r="AF92" s="104" t="str">
        <f>'GBG Filtered'!AE86</f>
        <v/>
      </c>
    </row>
    <row r="93" ht="24.0" customHeight="1">
      <c r="B93" s="101" t="str">
        <f>'GBG Filtered'!A87</f>
        <v/>
      </c>
      <c r="C93" s="102" t="str">
        <f>'GBG Filtered'!B87</f>
        <v/>
      </c>
      <c r="D93" s="102" t="str">
        <f>'GBG Filtered'!C87</f>
        <v/>
      </c>
      <c r="E93" s="102" t="str">
        <f>'GBG Filtered'!D87</f>
        <v/>
      </c>
      <c r="F93" s="63" t="str">
        <f>IF('GBG Filtered'!E87 &lt;&gt; "", VLOOKUP(IFERROR(VLOOKUP('GBG Filtered'!E87, FormFixes, 2, false), 'GBG Filtered'!E87), PokemonIcons, 2, False), "")</f>
        <v/>
      </c>
      <c r="G93" s="63" t="str">
        <f>IF('GBG Filtered'!F87 &lt;&gt; "", VLOOKUP(IFERROR(VLOOKUP('GBG Filtered'!F87, FormFixes, 2, false), 'GBG Filtered'!F87), PokemonIcons, 2, False), "")</f>
        <v/>
      </c>
      <c r="H93" s="63" t="str">
        <f>IF('GBG Filtered'!G87 &lt;&gt; "", VLOOKUP(IFERROR(VLOOKUP('GBG Filtered'!G87, FormFixes, 2, false), 'GBG Filtered'!G87), PokemonIcons, 2, False), "")</f>
        <v/>
      </c>
      <c r="I93" s="63" t="str">
        <f>IF('GBG Filtered'!H87 &lt;&gt; "", VLOOKUP(IFERROR(VLOOKUP('GBG Filtered'!H87, FormFixes, 2, false), 'GBG Filtered'!H87), PokemonIcons, 2, False), "")</f>
        <v/>
      </c>
      <c r="J93" s="63" t="str">
        <f>IF('GBG Filtered'!I87 &lt;&gt; "", VLOOKUP(IFERROR(VLOOKUP('GBG Filtered'!I87, FormFixes, 2, false), 'GBG Filtered'!I87), PokemonIcons, 2, False), "")</f>
        <v/>
      </c>
      <c r="K93" s="63" t="str">
        <f>IF('GBG Filtered'!J87 &lt;&gt; "", VLOOKUP(IFERROR(VLOOKUP('GBG Filtered'!J87, FormFixes, 2, false), 'GBG Filtered'!J87), PokemonIcons, 2, False), "")</f>
        <v/>
      </c>
      <c r="O93" s="63" t="str">
        <f>IF('GBG Filtered'!N87 &lt;&gt; "", VLOOKUP(IFERROR(VLOOKUP('GBG Filtered'!N87, FormFixes, 2, false), 'GBG Filtered'!N87), PokemonIcons, 2, False), "")</f>
        <v/>
      </c>
      <c r="P93" s="63" t="str">
        <f>IF('GBG Filtered'!O87 &lt;&gt; "", VLOOKUP(IFERROR(VLOOKUP('GBG Filtered'!O87, FormFixes, 2, false), 'GBG Filtered'!O87), PokemonIcons, 2, False), "")</f>
        <v/>
      </c>
      <c r="Q93" s="63" t="str">
        <f>IF('GBG Filtered'!P87 &lt;&gt; "", VLOOKUP(IFERROR(VLOOKUP('GBG Filtered'!P87, FormFixes, 2, false), 'GBG Filtered'!P87), PokemonIcons, 2, False), "")</f>
        <v/>
      </c>
      <c r="R93" s="63" t="str">
        <f>IF('GBG Filtered'!Q87 &lt;&gt; "", VLOOKUP(IFERROR(VLOOKUP('GBG Filtered'!Q87, FormFixes, 2, false), 'GBG Filtered'!Q87), PokemonIcons, 2, False), "")</f>
        <v/>
      </c>
      <c r="T93" s="63" t="str">
        <f>IF('GBG Filtered'!S87 &lt;&gt; "", VLOOKUP(IFERROR(VLOOKUP('GBG Filtered'!S87, FormFixes, 2, false), 'GBG Filtered'!S87), PokemonIcons, 2, False), "")</f>
        <v/>
      </c>
      <c r="U93" s="63" t="str">
        <f>IF('GBG Filtered'!T87 &lt;&gt; "", VLOOKUP(IFERROR(VLOOKUP('GBG Filtered'!T87, FormFixes, 2, false), 'GBG Filtered'!T87), PokemonIcons, 2, False), "")</f>
        <v/>
      </c>
      <c r="V93" s="63" t="str">
        <f>IF('GBG Filtered'!U87 &lt;&gt; "", VLOOKUP(IFERROR(VLOOKUP('GBG Filtered'!U87, FormFixes, 2, false), 'GBG Filtered'!U87), PokemonIcons, 2, False), "")</f>
        <v/>
      </c>
      <c r="W93" s="63" t="str">
        <f>IF('GBG Filtered'!V87 &lt;&gt; "", VLOOKUP(IFERROR(VLOOKUP('GBG Filtered'!V87, FormFixes, 2, false), 'GBG Filtered'!V87), PokemonIcons, 2, False), "")</f>
        <v/>
      </c>
      <c r="Z93" s="63" t="str">
        <f>IF('GBG Filtered'!Y87 &lt;&gt; "", VLOOKUP(IFERROR(VLOOKUP('GBG Filtered'!Y87, FormFixes, 2, false), 'GBG Filtered'!Y87), PokemonIcons, 2, False), "")</f>
        <v/>
      </c>
      <c r="AA93" s="63" t="str">
        <f>IF('GBG Filtered'!Z87 &lt;&gt; "", VLOOKUP('GBG Filtered'!Z87, TypeIcons, 2, False), "")</f>
        <v/>
      </c>
      <c r="AB93" s="63" t="str">
        <f>IF('GBG Filtered'!AA87 &lt;&gt; "", VLOOKUP(IFERROR(VLOOKUP('GBG Filtered'!AA87, FormFixes, 2, false), 'GBG Filtered'!AA87), PokemonIcons, 2, False), "")</f>
        <v/>
      </c>
      <c r="AC93" s="63" t="str">
        <f>IF('GBG Filtered'!AB87 &lt;&gt; "", VLOOKUP('GBG Filtered'!AB87, TypeIcons, 2, False), "")</f>
        <v/>
      </c>
      <c r="AD93" s="103" t="str">
        <f>'GBG Filtered'!AC87</f>
        <v/>
      </c>
      <c r="AE93" s="103" t="str">
        <f>'GBG Filtered'!AD87</f>
        <v/>
      </c>
      <c r="AF93" s="104" t="str">
        <f>'GBG Filtered'!AE87</f>
        <v/>
      </c>
    </row>
    <row r="94" ht="24.0" customHeight="1">
      <c r="B94" s="101" t="str">
        <f>'GBG Filtered'!A88</f>
        <v/>
      </c>
      <c r="C94" s="102" t="str">
        <f>'GBG Filtered'!B88</f>
        <v/>
      </c>
      <c r="D94" s="102" t="str">
        <f>'GBG Filtered'!C88</f>
        <v/>
      </c>
      <c r="E94" s="102" t="str">
        <f>'GBG Filtered'!D88</f>
        <v/>
      </c>
      <c r="F94" s="63" t="str">
        <f>IF('GBG Filtered'!E88 &lt;&gt; "", VLOOKUP(IFERROR(VLOOKUP('GBG Filtered'!E88, FormFixes, 2, false), 'GBG Filtered'!E88), PokemonIcons, 2, False), "")</f>
        <v/>
      </c>
      <c r="G94" s="63" t="str">
        <f>IF('GBG Filtered'!F88 &lt;&gt; "", VLOOKUP(IFERROR(VLOOKUP('GBG Filtered'!F88, FormFixes, 2, false), 'GBG Filtered'!F88), PokemonIcons, 2, False), "")</f>
        <v/>
      </c>
      <c r="H94" s="63" t="str">
        <f>IF('GBG Filtered'!G88 &lt;&gt; "", VLOOKUP(IFERROR(VLOOKUP('GBG Filtered'!G88, FormFixes, 2, false), 'GBG Filtered'!G88), PokemonIcons, 2, False), "")</f>
        <v/>
      </c>
      <c r="I94" s="63" t="str">
        <f>IF('GBG Filtered'!H88 &lt;&gt; "", VLOOKUP(IFERROR(VLOOKUP('GBG Filtered'!H88, FormFixes, 2, false), 'GBG Filtered'!H88), PokemonIcons, 2, False), "")</f>
        <v/>
      </c>
      <c r="J94" s="63" t="str">
        <f>IF('GBG Filtered'!I88 &lt;&gt; "", VLOOKUP(IFERROR(VLOOKUP('GBG Filtered'!I88, FormFixes, 2, false), 'GBG Filtered'!I88), PokemonIcons, 2, False), "")</f>
        <v/>
      </c>
      <c r="K94" s="63" t="str">
        <f>IF('GBG Filtered'!J88 &lt;&gt; "", VLOOKUP(IFERROR(VLOOKUP('GBG Filtered'!J88, FormFixes, 2, false), 'GBG Filtered'!J88), PokemonIcons, 2, False), "")</f>
        <v/>
      </c>
      <c r="O94" s="63" t="str">
        <f>IF('GBG Filtered'!N88 &lt;&gt; "", VLOOKUP(IFERROR(VLOOKUP('GBG Filtered'!N88, FormFixes, 2, false), 'GBG Filtered'!N88), PokemonIcons, 2, False), "")</f>
        <v/>
      </c>
      <c r="P94" s="63" t="str">
        <f>IF('GBG Filtered'!O88 &lt;&gt; "", VLOOKUP(IFERROR(VLOOKUP('GBG Filtered'!O88, FormFixes, 2, false), 'GBG Filtered'!O88), PokemonIcons, 2, False), "")</f>
        <v/>
      </c>
      <c r="Q94" s="63" t="str">
        <f>IF('GBG Filtered'!P88 &lt;&gt; "", VLOOKUP(IFERROR(VLOOKUP('GBG Filtered'!P88, FormFixes, 2, false), 'GBG Filtered'!P88), PokemonIcons, 2, False), "")</f>
        <v/>
      </c>
      <c r="R94" s="63" t="str">
        <f>IF('GBG Filtered'!Q88 &lt;&gt; "", VLOOKUP(IFERROR(VLOOKUP('GBG Filtered'!Q88, FormFixes, 2, false), 'GBG Filtered'!Q88), PokemonIcons, 2, False), "")</f>
        <v/>
      </c>
      <c r="T94" s="63" t="str">
        <f>IF('GBG Filtered'!S88 &lt;&gt; "", VLOOKUP(IFERROR(VLOOKUP('GBG Filtered'!S88, FormFixes, 2, false), 'GBG Filtered'!S88), PokemonIcons, 2, False), "")</f>
        <v/>
      </c>
      <c r="U94" s="63" t="str">
        <f>IF('GBG Filtered'!T88 &lt;&gt; "", VLOOKUP(IFERROR(VLOOKUP('GBG Filtered'!T88, FormFixes, 2, false), 'GBG Filtered'!T88), PokemonIcons, 2, False), "")</f>
        <v/>
      </c>
      <c r="V94" s="63" t="str">
        <f>IF('GBG Filtered'!U88 &lt;&gt; "", VLOOKUP(IFERROR(VLOOKUP('GBG Filtered'!U88, FormFixes, 2, false), 'GBG Filtered'!U88), PokemonIcons, 2, False), "")</f>
        <v/>
      </c>
      <c r="W94" s="63" t="str">
        <f>IF('GBG Filtered'!V88 &lt;&gt; "", VLOOKUP(IFERROR(VLOOKUP('GBG Filtered'!V88, FormFixes, 2, false), 'GBG Filtered'!V88), PokemonIcons, 2, False), "")</f>
        <v/>
      </c>
      <c r="Z94" s="63" t="str">
        <f>IF('GBG Filtered'!Y88 &lt;&gt; "", VLOOKUP(IFERROR(VLOOKUP('GBG Filtered'!Y88, FormFixes, 2, false), 'GBG Filtered'!Y88), PokemonIcons, 2, False), "")</f>
        <v/>
      </c>
      <c r="AA94" s="63" t="str">
        <f>IF('GBG Filtered'!Z88 &lt;&gt; "", VLOOKUP('GBG Filtered'!Z88, TypeIcons, 2, False), "")</f>
        <v/>
      </c>
      <c r="AB94" s="63" t="str">
        <f>IF('GBG Filtered'!AA88 &lt;&gt; "", VLOOKUP(IFERROR(VLOOKUP('GBG Filtered'!AA88, FormFixes, 2, false), 'GBG Filtered'!AA88), PokemonIcons, 2, False), "")</f>
        <v/>
      </c>
      <c r="AC94" s="63" t="str">
        <f>IF('GBG Filtered'!AB88 &lt;&gt; "", VLOOKUP('GBG Filtered'!AB88, TypeIcons, 2, False), "")</f>
        <v/>
      </c>
      <c r="AD94" s="103" t="str">
        <f>'GBG Filtered'!AC88</f>
        <v/>
      </c>
      <c r="AE94" s="103" t="str">
        <f>'GBG Filtered'!AD88</f>
        <v/>
      </c>
      <c r="AF94" s="104" t="str">
        <f>'GBG Filtered'!AE88</f>
        <v/>
      </c>
    </row>
    <row r="95" ht="24.0" customHeight="1">
      <c r="B95" s="101" t="str">
        <f>'GBG Filtered'!A89</f>
        <v/>
      </c>
      <c r="C95" s="102" t="str">
        <f>'GBG Filtered'!B89</f>
        <v/>
      </c>
      <c r="D95" s="102" t="str">
        <f>'GBG Filtered'!C89</f>
        <v/>
      </c>
      <c r="E95" s="102" t="str">
        <f>'GBG Filtered'!D89</f>
        <v/>
      </c>
      <c r="F95" s="63" t="str">
        <f>IF('GBG Filtered'!E89 &lt;&gt; "", VLOOKUP(IFERROR(VLOOKUP('GBG Filtered'!E89, FormFixes, 2, false), 'GBG Filtered'!E89), PokemonIcons, 2, False), "")</f>
        <v/>
      </c>
      <c r="G95" s="63" t="str">
        <f>IF('GBG Filtered'!F89 &lt;&gt; "", VLOOKUP(IFERROR(VLOOKUP('GBG Filtered'!F89, FormFixes, 2, false), 'GBG Filtered'!F89), PokemonIcons, 2, False), "")</f>
        <v/>
      </c>
      <c r="H95" s="63" t="str">
        <f>IF('GBG Filtered'!G89 &lt;&gt; "", VLOOKUP(IFERROR(VLOOKUP('GBG Filtered'!G89, FormFixes, 2, false), 'GBG Filtered'!G89), PokemonIcons, 2, False), "")</f>
        <v/>
      </c>
      <c r="I95" s="63" t="str">
        <f>IF('GBG Filtered'!H89 &lt;&gt; "", VLOOKUP(IFERROR(VLOOKUP('GBG Filtered'!H89, FormFixes, 2, false), 'GBG Filtered'!H89), PokemonIcons, 2, False), "")</f>
        <v/>
      </c>
      <c r="J95" s="63" t="str">
        <f>IF('GBG Filtered'!I89 &lt;&gt; "", VLOOKUP(IFERROR(VLOOKUP('GBG Filtered'!I89, FormFixes, 2, false), 'GBG Filtered'!I89), PokemonIcons, 2, False), "")</f>
        <v/>
      </c>
      <c r="K95" s="63" t="str">
        <f>IF('GBG Filtered'!J89 &lt;&gt; "", VLOOKUP(IFERROR(VLOOKUP('GBG Filtered'!J89, FormFixes, 2, false), 'GBG Filtered'!J89), PokemonIcons, 2, False), "")</f>
        <v/>
      </c>
      <c r="O95" s="63" t="str">
        <f>IF('GBG Filtered'!N89 &lt;&gt; "", VLOOKUP(IFERROR(VLOOKUP('GBG Filtered'!N89, FormFixes, 2, false), 'GBG Filtered'!N89), PokemonIcons, 2, False), "")</f>
        <v/>
      </c>
      <c r="P95" s="63" t="str">
        <f>IF('GBG Filtered'!O89 &lt;&gt; "", VLOOKUP(IFERROR(VLOOKUP('GBG Filtered'!O89, FormFixes, 2, false), 'GBG Filtered'!O89), PokemonIcons, 2, False), "")</f>
        <v/>
      </c>
      <c r="Q95" s="63" t="str">
        <f>IF('GBG Filtered'!P89 &lt;&gt; "", VLOOKUP(IFERROR(VLOOKUP('GBG Filtered'!P89, FormFixes, 2, false), 'GBG Filtered'!P89), PokemonIcons, 2, False), "")</f>
        <v/>
      </c>
      <c r="R95" s="63" t="str">
        <f>IF('GBG Filtered'!Q89 &lt;&gt; "", VLOOKUP(IFERROR(VLOOKUP('GBG Filtered'!Q89, FormFixes, 2, false), 'GBG Filtered'!Q89), PokemonIcons, 2, False), "")</f>
        <v/>
      </c>
      <c r="T95" s="63" t="str">
        <f>IF('GBG Filtered'!S89 &lt;&gt; "", VLOOKUP(IFERROR(VLOOKUP('GBG Filtered'!S89, FormFixes, 2, false), 'GBG Filtered'!S89), PokemonIcons, 2, False), "")</f>
        <v/>
      </c>
      <c r="U95" s="63" t="str">
        <f>IF('GBG Filtered'!T89 &lt;&gt; "", VLOOKUP(IFERROR(VLOOKUP('GBG Filtered'!T89, FormFixes, 2, false), 'GBG Filtered'!T89), PokemonIcons, 2, False), "")</f>
        <v/>
      </c>
      <c r="V95" s="63" t="str">
        <f>IF('GBG Filtered'!U89 &lt;&gt; "", VLOOKUP(IFERROR(VLOOKUP('GBG Filtered'!U89, FormFixes, 2, false), 'GBG Filtered'!U89), PokemonIcons, 2, False), "")</f>
        <v/>
      </c>
      <c r="W95" s="63" t="str">
        <f>IF('GBG Filtered'!V89 &lt;&gt; "", VLOOKUP(IFERROR(VLOOKUP('GBG Filtered'!V89, FormFixes, 2, false), 'GBG Filtered'!V89), PokemonIcons, 2, False), "")</f>
        <v/>
      </c>
      <c r="Z95" s="63" t="str">
        <f>IF('GBG Filtered'!Y89 &lt;&gt; "", VLOOKUP(IFERROR(VLOOKUP('GBG Filtered'!Y89, FormFixes, 2, false), 'GBG Filtered'!Y89), PokemonIcons, 2, False), "")</f>
        <v/>
      </c>
      <c r="AA95" s="63" t="str">
        <f>IF('GBG Filtered'!Z89 &lt;&gt; "", VLOOKUP('GBG Filtered'!Z89, TypeIcons, 2, False), "")</f>
        <v/>
      </c>
      <c r="AB95" s="63" t="str">
        <f>IF('GBG Filtered'!AA89 &lt;&gt; "", VLOOKUP(IFERROR(VLOOKUP('GBG Filtered'!AA89, FormFixes, 2, false), 'GBG Filtered'!AA89), PokemonIcons, 2, False), "")</f>
        <v/>
      </c>
      <c r="AC95" s="63" t="str">
        <f>IF('GBG Filtered'!AB89 &lt;&gt; "", VLOOKUP('GBG Filtered'!AB89, TypeIcons, 2, False), "")</f>
        <v/>
      </c>
      <c r="AD95" s="103" t="str">
        <f>'GBG Filtered'!AC89</f>
        <v/>
      </c>
      <c r="AE95" s="103" t="str">
        <f>'GBG Filtered'!AD89</f>
        <v/>
      </c>
      <c r="AF95" s="104" t="str">
        <f>'GBG Filtered'!AE89</f>
        <v/>
      </c>
    </row>
    <row r="96" ht="24.0" customHeight="1">
      <c r="B96" s="101" t="str">
        <f>'GBG Filtered'!A90</f>
        <v/>
      </c>
      <c r="C96" s="102" t="str">
        <f>'GBG Filtered'!B90</f>
        <v/>
      </c>
      <c r="D96" s="102" t="str">
        <f>'GBG Filtered'!C90</f>
        <v/>
      </c>
      <c r="E96" s="102" t="str">
        <f>'GBG Filtered'!D90</f>
        <v/>
      </c>
      <c r="F96" s="63" t="str">
        <f>IF('GBG Filtered'!E90 &lt;&gt; "", VLOOKUP(IFERROR(VLOOKUP('GBG Filtered'!E90, FormFixes, 2, false), 'GBG Filtered'!E90), PokemonIcons, 2, False), "")</f>
        <v/>
      </c>
      <c r="G96" s="63" t="str">
        <f>IF('GBG Filtered'!F90 &lt;&gt; "", VLOOKUP(IFERROR(VLOOKUP('GBG Filtered'!F90, FormFixes, 2, false), 'GBG Filtered'!F90), PokemonIcons, 2, False), "")</f>
        <v/>
      </c>
      <c r="H96" s="63" t="str">
        <f>IF('GBG Filtered'!G90 &lt;&gt; "", VLOOKUP(IFERROR(VLOOKUP('GBG Filtered'!G90, FormFixes, 2, false), 'GBG Filtered'!G90), PokemonIcons, 2, False), "")</f>
        <v/>
      </c>
      <c r="I96" s="63" t="str">
        <f>IF('GBG Filtered'!H90 &lt;&gt; "", VLOOKUP(IFERROR(VLOOKUP('GBG Filtered'!H90, FormFixes, 2, false), 'GBG Filtered'!H90), PokemonIcons, 2, False), "")</f>
        <v/>
      </c>
      <c r="J96" s="63" t="str">
        <f>IF('GBG Filtered'!I90 &lt;&gt; "", VLOOKUP(IFERROR(VLOOKUP('GBG Filtered'!I90, FormFixes, 2, false), 'GBG Filtered'!I90), PokemonIcons, 2, False), "")</f>
        <v/>
      </c>
      <c r="K96" s="63" t="str">
        <f>IF('GBG Filtered'!J90 &lt;&gt; "", VLOOKUP(IFERROR(VLOOKUP('GBG Filtered'!J90, FormFixes, 2, false), 'GBG Filtered'!J90), PokemonIcons, 2, False), "")</f>
        <v/>
      </c>
      <c r="O96" s="63" t="str">
        <f>IF('GBG Filtered'!N90 &lt;&gt; "", VLOOKUP(IFERROR(VLOOKUP('GBG Filtered'!N90, FormFixes, 2, false), 'GBG Filtered'!N90), PokemonIcons, 2, False), "")</f>
        <v/>
      </c>
      <c r="P96" s="63" t="str">
        <f>IF('GBG Filtered'!O90 &lt;&gt; "", VLOOKUP(IFERROR(VLOOKUP('GBG Filtered'!O90, FormFixes, 2, false), 'GBG Filtered'!O90), PokemonIcons, 2, False), "")</f>
        <v/>
      </c>
      <c r="Q96" s="63" t="str">
        <f>IF('GBG Filtered'!P90 &lt;&gt; "", VLOOKUP(IFERROR(VLOOKUP('GBG Filtered'!P90, FormFixes, 2, false), 'GBG Filtered'!P90), PokemonIcons, 2, False), "")</f>
        <v/>
      </c>
      <c r="R96" s="63" t="str">
        <f>IF('GBG Filtered'!Q90 &lt;&gt; "", VLOOKUP(IFERROR(VLOOKUP('GBG Filtered'!Q90, FormFixes, 2, false), 'GBG Filtered'!Q90), PokemonIcons, 2, False), "")</f>
        <v/>
      </c>
      <c r="T96" s="63" t="str">
        <f>IF('GBG Filtered'!S90 &lt;&gt; "", VLOOKUP(IFERROR(VLOOKUP('GBG Filtered'!S90, FormFixes, 2, false), 'GBG Filtered'!S90), PokemonIcons, 2, False), "")</f>
        <v/>
      </c>
      <c r="U96" s="63" t="str">
        <f>IF('GBG Filtered'!T90 &lt;&gt; "", VLOOKUP(IFERROR(VLOOKUP('GBG Filtered'!T90, FormFixes, 2, false), 'GBG Filtered'!T90), PokemonIcons, 2, False), "")</f>
        <v/>
      </c>
      <c r="V96" s="63" t="str">
        <f>IF('GBG Filtered'!U90 &lt;&gt; "", VLOOKUP(IFERROR(VLOOKUP('GBG Filtered'!U90, FormFixes, 2, false), 'GBG Filtered'!U90), PokemonIcons, 2, False), "")</f>
        <v/>
      </c>
      <c r="W96" s="63" t="str">
        <f>IF('GBG Filtered'!V90 &lt;&gt; "", VLOOKUP(IFERROR(VLOOKUP('GBG Filtered'!V90, FormFixes, 2, false), 'GBG Filtered'!V90), PokemonIcons, 2, False), "")</f>
        <v/>
      </c>
      <c r="Z96" s="63" t="str">
        <f>IF('GBG Filtered'!Y90 &lt;&gt; "", VLOOKUP(IFERROR(VLOOKUP('GBG Filtered'!Y90, FormFixes, 2, false), 'GBG Filtered'!Y90), PokemonIcons, 2, False), "")</f>
        <v/>
      </c>
      <c r="AA96" s="63" t="str">
        <f>IF('GBG Filtered'!Z90 &lt;&gt; "", VLOOKUP('GBG Filtered'!Z90, TypeIcons, 2, False), "")</f>
        <v/>
      </c>
      <c r="AB96" s="63" t="str">
        <f>IF('GBG Filtered'!AA90 &lt;&gt; "", VLOOKUP(IFERROR(VLOOKUP('GBG Filtered'!AA90, FormFixes, 2, false), 'GBG Filtered'!AA90), PokemonIcons, 2, False), "")</f>
        <v/>
      </c>
      <c r="AC96" s="63" t="str">
        <f>IF('GBG Filtered'!AB90 &lt;&gt; "", VLOOKUP('GBG Filtered'!AB90, TypeIcons, 2, False), "")</f>
        <v/>
      </c>
      <c r="AD96" s="103" t="str">
        <f>'GBG Filtered'!AC90</f>
        <v/>
      </c>
      <c r="AE96" s="103" t="str">
        <f>'GBG Filtered'!AD90</f>
        <v/>
      </c>
      <c r="AF96" s="104" t="str">
        <f>'GBG Filtered'!AE90</f>
        <v/>
      </c>
    </row>
    <row r="97" ht="24.0" customHeight="1">
      <c r="B97" s="101" t="str">
        <f>'GBG Filtered'!A91</f>
        <v/>
      </c>
      <c r="C97" s="102" t="str">
        <f>'GBG Filtered'!B91</f>
        <v/>
      </c>
      <c r="D97" s="102" t="str">
        <f>'GBG Filtered'!C91</f>
        <v/>
      </c>
      <c r="E97" s="102" t="str">
        <f>'GBG Filtered'!D91</f>
        <v/>
      </c>
      <c r="F97" s="63" t="str">
        <f>IF('GBG Filtered'!E91 &lt;&gt; "", VLOOKUP(IFERROR(VLOOKUP('GBG Filtered'!E91, FormFixes, 2, false), 'GBG Filtered'!E91), PokemonIcons, 2, False), "")</f>
        <v/>
      </c>
      <c r="G97" s="63" t="str">
        <f>IF('GBG Filtered'!F91 &lt;&gt; "", VLOOKUP(IFERROR(VLOOKUP('GBG Filtered'!F91, FormFixes, 2, false), 'GBG Filtered'!F91), PokemonIcons, 2, False), "")</f>
        <v/>
      </c>
      <c r="H97" s="63" t="str">
        <f>IF('GBG Filtered'!G91 &lt;&gt; "", VLOOKUP(IFERROR(VLOOKUP('GBG Filtered'!G91, FormFixes, 2, false), 'GBG Filtered'!G91), PokemonIcons, 2, False), "")</f>
        <v/>
      </c>
      <c r="I97" s="63" t="str">
        <f>IF('GBG Filtered'!H91 &lt;&gt; "", VLOOKUP(IFERROR(VLOOKUP('GBG Filtered'!H91, FormFixes, 2, false), 'GBG Filtered'!H91), PokemonIcons, 2, False), "")</f>
        <v/>
      </c>
      <c r="J97" s="63" t="str">
        <f>IF('GBG Filtered'!I91 &lt;&gt; "", VLOOKUP(IFERROR(VLOOKUP('GBG Filtered'!I91, FormFixes, 2, false), 'GBG Filtered'!I91), PokemonIcons, 2, False), "")</f>
        <v/>
      </c>
      <c r="K97" s="63" t="str">
        <f>IF('GBG Filtered'!J91 &lt;&gt; "", VLOOKUP(IFERROR(VLOOKUP('GBG Filtered'!J91, FormFixes, 2, false), 'GBG Filtered'!J91), PokemonIcons, 2, False), "")</f>
        <v/>
      </c>
      <c r="O97" s="63" t="str">
        <f>IF('GBG Filtered'!N91 &lt;&gt; "", VLOOKUP(IFERROR(VLOOKUP('GBG Filtered'!N91, FormFixes, 2, false), 'GBG Filtered'!N91), PokemonIcons, 2, False), "")</f>
        <v/>
      </c>
      <c r="P97" s="63" t="str">
        <f>IF('GBG Filtered'!O91 &lt;&gt; "", VLOOKUP(IFERROR(VLOOKUP('GBG Filtered'!O91, FormFixes, 2, false), 'GBG Filtered'!O91), PokemonIcons, 2, False), "")</f>
        <v/>
      </c>
      <c r="Q97" s="63" t="str">
        <f>IF('GBG Filtered'!P91 &lt;&gt; "", VLOOKUP(IFERROR(VLOOKUP('GBG Filtered'!P91, FormFixes, 2, false), 'GBG Filtered'!P91), PokemonIcons, 2, False), "")</f>
        <v/>
      </c>
      <c r="R97" s="63" t="str">
        <f>IF('GBG Filtered'!Q91 &lt;&gt; "", VLOOKUP(IFERROR(VLOOKUP('GBG Filtered'!Q91, FormFixes, 2, false), 'GBG Filtered'!Q91), PokemonIcons, 2, False), "")</f>
        <v/>
      </c>
      <c r="T97" s="63" t="str">
        <f>IF('GBG Filtered'!S91 &lt;&gt; "", VLOOKUP(IFERROR(VLOOKUP('GBG Filtered'!S91, FormFixes, 2, false), 'GBG Filtered'!S91), PokemonIcons, 2, False), "")</f>
        <v/>
      </c>
      <c r="U97" s="63" t="str">
        <f>IF('GBG Filtered'!T91 &lt;&gt; "", VLOOKUP(IFERROR(VLOOKUP('GBG Filtered'!T91, FormFixes, 2, false), 'GBG Filtered'!T91), PokemonIcons, 2, False), "")</f>
        <v/>
      </c>
      <c r="V97" s="63" t="str">
        <f>IF('GBG Filtered'!U91 &lt;&gt; "", VLOOKUP(IFERROR(VLOOKUP('GBG Filtered'!U91, FormFixes, 2, false), 'GBG Filtered'!U91), PokemonIcons, 2, False), "")</f>
        <v/>
      </c>
      <c r="W97" s="63" t="str">
        <f>IF('GBG Filtered'!V91 &lt;&gt; "", VLOOKUP(IFERROR(VLOOKUP('GBG Filtered'!V91, FormFixes, 2, false), 'GBG Filtered'!V91), PokemonIcons, 2, False), "")</f>
        <v/>
      </c>
      <c r="Z97" s="63" t="str">
        <f>IF('GBG Filtered'!Y91 &lt;&gt; "", VLOOKUP(IFERROR(VLOOKUP('GBG Filtered'!Y91, FormFixes, 2, false), 'GBG Filtered'!Y91), PokemonIcons, 2, False), "")</f>
        <v/>
      </c>
      <c r="AA97" s="63" t="str">
        <f>IF('GBG Filtered'!Z91 &lt;&gt; "", VLOOKUP('GBG Filtered'!Z91, TypeIcons, 2, False), "")</f>
        <v/>
      </c>
      <c r="AB97" s="63" t="str">
        <f>IF('GBG Filtered'!AA91 &lt;&gt; "", VLOOKUP(IFERROR(VLOOKUP('GBG Filtered'!AA91, FormFixes, 2, false), 'GBG Filtered'!AA91), PokemonIcons, 2, False), "")</f>
        <v/>
      </c>
      <c r="AC97" s="63" t="str">
        <f>IF('GBG Filtered'!AB91 &lt;&gt; "", VLOOKUP('GBG Filtered'!AB91, TypeIcons, 2, False), "")</f>
        <v/>
      </c>
      <c r="AD97" s="103" t="str">
        <f>'GBG Filtered'!AC91</f>
        <v/>
      </c>
      <c r="AE97" s="103" t="str">
        <f>'GBG Filtered'!AD91</f>
        <v/>
      </c>
      <c r="AF97" s="104" t="str">
        <f>'GBG Filtered'!AE91</f>
        <v/>
      </c>
    </row>
    <row r="98" ht="24.0" customHeight="1">
      <c r="B98" s="101" t="str">
        <f>'GBG Filtered'!A92</f>
        <v/>
      </c>
      <c r="C98" s="102" t="str">
        <f>'GBG Filtered'!B92</f>
        <v/>
      </c>
      <c r="D98" s="102" t="str">
        <f>'GBG Filtered'!C92</f>
        <v/>
      </c>
      <c r="E98" s="102" t="str">
        <f>'GBG Filtered'!D92</f>
        <v/>
      </c>
      <c r="F98" s="63" t="str">
        <f>IF('GBG Filtered'!E92 &lt;&gt; "", VLOOKUP(IFERROR(VLOOKUP('GBG Filtered'!E92, FormFixes, 2, false), 'GBG Filtered'!E92), PokemonIcons, 2, False), "")</f>
        <v/>
      </c>
      <c r="G98" s="63" t="str">
        <f>IF('GBG Filtered'!F92 &lt;&gt; "", VLOOKUP(IFERROR(VLOOKUP('GBG Filtered'!F92, FormFixes, 2, false), 'GBG Filtered'!F92), PokemonIcons, 2, False), "")</f>
        <v/>
      </c>
      <c r="H98" s="63" t="str">
        <f>IF('GBG Filtered'!G92 &lt;&gt; "", VLOOKUP(IFERROR(VLOOKUP('GBG Filtered'!G92, FormFixes, 2, false), 'GBG Filtered'!G92), PokemonIcons, 2, False), "")</f>
        <v/>
      </c>
      <c r="I98" s="63" t="str">
        <f>IF('GBG Filtered'!H92 &lt;&gt; "", VLOOKUP(IFERROR(VLOOKUP('GBG Filtered'!H92, FormFixes, 2, false), 'GBG Filtered'!H92), PokemonIcons, 2, False), "")</f>
        <v/>
      </c>
      <c r="J98" s="63" t="str">
        <f>IF('GBG Filtered'!I92 &lt;&gt; "", VLOOKUP(IFERROR(VLOOKUP('GBG Filtered'!I92, FormFixes, 2, false), 'GBG Filtered'!I92), PokemonIcons, 2, False), "")</f>
        <v/>
      </c>
      <c r="K98" s="63" t="str">
        <f>IF('GBG Filtered'!J92 &lt;&gt; "", VLOOKUP(IFERROR(VLOOKUP('GBG Filtered'!J92, FormFixes, 2, false), 'GBG Filtered'!J92), PokemonIcons, 2, False), "")</f>
        <v/>
      </c>
      <c r="O98" s="63" t="str">
        <f>IF('GBG Filtered'!N92 &lt;&gt; "", VLOOKUP(IFERROR(VLOOKUP('GBG Filtered'!N92, FormFixes, 2, false), 'GBG Filtered'!N92), PokemonIcons, 2, False), "")</f>
        <v/>
      </c>
      <c r="P98" s="63" t="str">
        <f>IF('GBG Filtered'!O92 &lt;&gt; "", VLOOKUP(IFERROR(VLOOKUP('GBG Filtered'!O92, FormFixes, 2, false), 'GBG Filtered'!O92), PokemonIcons, 2, False), "")</f>
        <v/>
      </c>
      <c r="Q98" s="63" t="str">
        <f>IF('GBG Filtered'!P92 &lt;&gt; "", VLOOKUP(IFERROR(VLOOKUP('GBG Filtered'!P92, FormFixes, 2, false), 'GBG Filtered'!P92), PokemonIcons, 2, False), "")</f>
        <v/>
      </c>
      <c r="R98" s="63" t="str">
        <f>IF('GBG Filtered'!Q92 &lt;&gt; "", VLOOKUP(IFERROR(VLOOKUP('GBG Filtered'!Q92, FormFixes, 2, false), 'GBG Filtered'!Q92), PokemonIcons, 2, False), "")</f>
        <v/>
      </c>
      <c r="T98" s="63" t="str">
        <f>IF('GBG Filtered'!S92 &lt;&gt; "", VLOOKUP(IFERROR(VLOOKUP('GBG Filtered'!S92, FormFixes, 2, false), 'GBG Filtered'!S92), PokemonIcons, 2, False), "")</f>
        <v/>
      </c>
      <c r="U98" s="63" t="str">
        <f>IF('GBG Filtered'!T92 &lt;&gt; "", VLOOKUP(IFERROR(VLOOKUP('GBG Filtered'!T92, FormFixes, 2, false), 'GBG Filtered'!T92), PokemonIcons, 2, False), "")</f>
        <v/>
      </c>
      <c r="V98" s="63" t="str">
        <f>IF('GBG Filtered'!U92 &lt;&gt; "", VLOOKUP(IFERROR(VLOOKUP('GBG Filtered'!U92, FormFixes, 2, false), 'GBG Filtered'!U92), PokemonIcons, 2, False), "")</f>
        <v/>
      </c>
      <c r="W98" s="63" t="str">
        <f>IF('GBG Filtered'!V92 &lt;&gt; "", VLOOKUP(IFERROR(VLOOKUP('GBG Filtered'!V92, FormFixes, 2, false), 'GBG Filtered'!V92), PokemonIcons, 2, False), "")</f>
        <v/>
      </c>
      <c r="Z98" s="63" t="str">
        <f>IF('GBG Filtered'!Y92 &lt;&gt; "", VLOOKUP(IFERROR(VLOOKUP('GBG Filtered'!Y92, FormFixes, 2, false), 'GBG Filtered'!Y92), PokemonIcons, 2, False), "")</f>
        <v/>
      </c>
      <c r="AA98" s="63" t="str">
        <f>IF('GBG Filtered'!Z92 &lt;&gt; "", VLOOKUP('GBG Filtered'!Z92, TypeIcons, 2, False), "")</f>
        <v/>
      </c>
      <c r="AB98" s="63" t="str">
        <f>IF('GBG Filtered'!AA92 &lt;&gt; "", VLOOKUP(IFERROR(VLOOKUP('GBG Filtered'!AA92, FormFixes, 2, false), 'GBG Filtered'!AA92), PokemonIcons, 2, False), "")</f>
        <v/>
      </c>
      <c r="AC98" s="63" t="str">
        <f>IF('GBG Filtered'!AB92 &lt;&gt; "", VLOOKUP('GBG Filtered'!AB92, TypeIcons, 2, False), "")</f>
        <v/>
      </c>
      <c r="AD98" s="103" t="str">
        <f>'GBG Filtered'!AC92</f>
        <v/>
      </c>
      <c r="AE98" s="103" t="str">
        <f>'GBG Filtered'!AD92</f>
        <v/>
      </c>
      <c r="AF98" s="104" t="str">
        <f>'GBG Filtered'!AE92</f>
        <v/>
      </c>
    </row>
    <row r="99" ht="24.0" customHeight="1">
      <c r="B99" s="101" t="str">
        <f>'GBG Filtered'!A93</f>
        <v/>
      </c>
      <c r="C99" s="102" t="str">
        <f>'GBG Filtered'!B93</f>
        <v/>
      </c>
      <c r="D99" s="102" t="str">
        <f>'GBG Filtered'!C93</f>
        <v/>
      </c>
      <c r="E99" s="102" t="str">
        <f>'GBG Filtered'!D93</f>
        <v/>
      </c>
      <c r="F99" s="63" t="str">
        <f>IF('GBG Filtered'!E93 &lt;&gt; "", VLOOKUP(IFERROR(VLOOKUP('GBG Filtered'!E93, FormFixes, 2, false), 'GBG Filtered'!E93), PokemonIcons, 2, False), "")</f>
        <v/>
      </c>
      <c r="G99" s="63" t="str">
        <f>IF('GBG Filtered'!F93 &lt;&gt; "", VLOOKUP(IFERROR(VLOOKUP('GBG Filtered'!F93, FormFixes, 2, false), 'GBG Filtered'!F93), PokemonIcons, 2, False), "")</f>
        <v/>
      </c>
      <c r="H99" s="63" t="str">
        <f>IF('GBG Filtered'!G93 &lt;&gt; "", VLOOKUP(IFERROR(VLOOKUP('GBG Filtered'!G93, FormFixes, 2, false), 'GBG Filtered'!G93), PokemonIcons, 2, False), "")</f>
        <v/>
      </c>
      <c r="I99" s="63" t="str">
        <f>IF('GBG Filtered'!H93 &lt;&gt; "", VLOOKUP(IFERROR(VLOOKUP('GBG Filtered'!H93, FormFixes, 2, false), 'GBG Filtered'!H93), PokemonIcons, 2, False), "")</f>
        <v/>
      </c>
      <c r="J99" s="63" t="str">
        <f>IF('GBG Filtered'!I93 &lt;&gt; "", VLOOKUP(IFERROR(VLOOKUP('GBG Filtered'!I93, FormFixes, 2, false), 'GBG Filtered'!I93), PokemonIcons, 2, False), "")</f>
        <v/>
      </c>
      <c r="K99" s="63" t="str">
        <f>IF('GBG Filtered'!J93 &lt;&gt; "", VLOOKUP(IFERROR(VLOOKUP('GBG Filtered'!J93, FormFixes, 2, false), 'GBG Filtered'!J93), PokemonIcons, 2, False), "")</f>
        <v/>
      </c>
      <c r="O99" s="63" t="str">
        <f>IF('GBG Filtered'!N93 &lt;&gt; "", VLOOKUP(IFERROR(VLOOKUP('GBG Filtered'!N93, FormFixes, 2, false), 'GBG Filtered'!N93), PokemonIcons, 2, False), "")</f>
        <v/>
      </c>
      <c r="P99" s="63" t="str">
        <f>IF('GBG Filtered'!O93 &lt;&gt; "", VLOOKUP(IFERROR(VLOOKUP('GBG Filtered'!O93, FormFixes, 2, false), 'GBG Filtered'!O93), PokemonIcons, 2, False), "")</f>
        <v/>
      </c>
      <c r="Q99" s="63" t="str">
        <f>IF('GBG Filtered'!P93 &lt;&gt; "", VLOOKUP(IFERROR(VLOOKUP('GBG Filtered'!P93, FormFixes, 2, false), 'GBG Filtered'!P93), PokemonIcons, 2, False), "")</f>
        <v/>
      </c>
      <c r="R99" s="63" t="str">
        <f>IF('GBG Filtered'!Q93 &lt;&gt; "", VLOOKUP(IFERROR(VLOOKUP('GBG Filtered'!Q93, FormFixes, 2, false), 'GBG Filtered'!Q93), PokemonIcons, 2, False), "")</f>
        <v/>
      </c>
      <c r="T99" s="63" t="str">
        <f>IF('GBG Filtered'!S93 &lt;&gt; "", VLOOKUP(IFERROR(VLOOKUP('GBG Filtered'!S93, FormFixes, 2, false), 'GBG Filtered'!S93), PokemonIcons, 2, False), "")</f>
        <v/>
      </c>
      <c r="U99" s="63" t="str">
        <f>IF('GBG Filtered'!T93 &lt;&gt; "", VLOOKUP(IFERROR(VLOOKUP('GBG Filtered'!T93, FormFixes, 2, false), 'GBG Filtered'!T93), PokemonIcons, 2, False), "")</f>
        <v/>
      </c>
      <c r="V99" s="63" t="str">
        <f>IF('GBG Filtered'!U93 &lt;&gt; "", VLOOKUP(IFERROR(VLOOKUP('GBG Filtered'!U93, FormFixes, 2, false), 'GBG Filtered'!U93), PokemonIcons, 2, False), "")</f>
        <v/>
      </c>
      <c r="W99" s="63" t="str">
        <f>IF('GBG Filtered'!V93 &lt;&gt; "", VLOOKUP(IFERROR(VLOOKUP('GBG Filtered'!V93, FormFixes, 2, false), 'GBG Filtered'!V93), PokemonIcons, 2, False), "")</f>
        <v/>
      </c>
      <c r="Z99" s="63" t="str">
        <f>IF('GBG Filtered'!Y93 &lt;&gt; "", VLOOKUP(IFERROR(VLOOKUP('GBG Filtered'!Y93, FormFixes, 2, false), 'GBG Filtered'!Y93), PokemonIcons, 2, False), "")</f>
        <v/>
      </c>
      <c r="AA99" s="63" t="str">
        <f>IF('GBG Filtered'!Z93 &lt;&gt; "", VLOOKUP('GBG Filtered'!Z93, TypeIcons, 2, False), "")</f>
        <v/>
      </c>
      <c r="AB99" s="63" t="str">
        <f>IF('GBG Filtered'!AA93 &lt;&gt; "", VLOOKUP(IFERROR(VLOOKUP('GBG Filtered'!AA93, FormFixes, 2, false), 'GBG Filtered'!AA93), PokemonIcons, 2, False), "")</f>
        <v/>
      </c>
      <c r="AC99" s="63" t="str">
        <f>IF('GBG Filtered'!AB93 &lt;&gt; "", VLOOKUP('GBG Filtered'!AB93, TypeIcons, 2, False), "")</f>
        <v/>
      </c>
      <c r="AD99" s="103" t="str">
        <f>'GBG Filtered'!AC93</f>
        <v/>
      </c>
      <c r="AE99" s="103" t="str">
        <f>'GBG Filtered'!AD93</f>
        <v/>
      </c>
      <c r="AF99" s="104" t="str">
        <f>'GBG Filtered'!AE93</f>
        <v/>
      </c>
    </row>
    <row r="100" ht="24.0" customHeight="1">
      <c r="B100" s="101" t="str">
        <f>'GBG Filtered'!A94</f>
        <v/>
      </c>
      <c r="C100" s="102" t="str">
        <f>'GBG Filtered'!B94</f>
        <v/>
      </c>
      <c r="D100" s="102" t="str">
        <f>'GBG Filtered'!C94</f>
        <v/>
      </c>
      <c r="E100" s="102" t="str">
        <f>'GBG Filtered'!D94</f>
        <v/>
      </c>
      <c r="F100" s="63" t="str">
        <f>IF('GBG Filtered'!E94 &lt;&gt; "", VLOOKUP(IFERROR(VLOOKUP('GBG Filtered'!E94, FormFixes, 2, false), 'GBG Filtered'!E94), PokemonIcons, 2, False), "")</f>
        <v/>
      </c>
      <c r="G100" s="63" t="str">
        <f>IF('GBG Filtered'!F94 &lt;&gt; "", VLOOKUP(IFERROR(VLOOKUP('GBG Filtered'!F94, FormFixes, 2, false), 'GBG Filtered'!F94), PokemonIcons, 2, False), "")</f>
        <v/>
      </c>
      <c r="H100" s="63" t="str">
        <f>IF('GBG Filtered'!G94 &lt;&gt; "", VLOOKUP(IFERROR(VLOOKUP('GBG Filtered'!G94, FormFixes, 2, false), 'GBG Filtered'!G94), PokemonIcons, 2, False), "")</f>
        <v/>
      </c>
      <c r="I100" s="63" t="str">
        <f>IF('GBG Filtered'!H94 &lt;&gt; "", VLOOKUP(IFERROR(VLOOKUP('GBG Filtered'!H94, FormFixes, 2, false), 'GBG Filtered'!H94), PokemonIcons, 2, False), "")</f>
        <v/>
      </c>
      <c r="J100" s="63" t="str">
        <f>IF('GBG Filtered'!I94 &lt;&gt; "", VLOOKUP(IFERROR(VLOOKUP('GBG Filtered'!I94, FormFixes, 2, false), 'GBG Filtered'!I94), PokemonIcons, 2, False), "")</f>
        <v/>
      </c>
      <c r="K100" s="63" t="str">
        <f>IF('GBG Filtered'!J94 &lt;&gt; "", VLOOKUP(IFERROR(VLOOKUP('GBG Filtered'!J94, FormFixes, 2, false), 'GBG Filtered'!J94), PokemonIcons, 2, False), "")</f>
        <v/>
      </c>
      <c r="O100" s="63" t="str">
        <f>IF('GBG Filtered'!N94 &lt;&gt; "", VLOOKUP(IFERROR(VLOOKUP('GBG Filtered'!N94, FormFixes, 2, false), 'GBG Filtered'!N94), PokemonIcons, 2, False), "")</f>
        <v/>
      </c>
      <c r="P100" s="63" t="str">
        <f>IF('GBG Filtered'!O94 &lt;&gt; "", VLOOKUP(IFERROR(VLOOKUP('GBG Filtered'!O94, FormFixes, 2, false), 'GBG Filtered'!O94), PokemonIcons, 2, False), "")</f>
        <v/>
      </c>
      <c r="Q100" s="63" t="str">
        <f>IF('GBG Filtered'!P94 &lt;&gt; "", VLOOKUP(IFERROR(VLOOKUP('GBG Filtered'!P94, FormFixes, 2, false), 'GBG Filtered'!P94), PokemonIcons, 2, False), "")</f>
        <v/>
      </c>
      <c r="R100" s="63" t="str">
        <f>IF('GBG Filtered'!Q94 &lt;&gt; "", VLOOKUP(IFERROR(VLOOKUP('GBG Filtered'!Q94, FormFixes, 2, false), 'GBG Filtered'!Q94), PokemonIcons, 2, False), "")</f>
        <v/>
      </c>
      <c r="T100" s="63" t="str">
        <f>IF('GBG Filtered'!S94 &lt;&gt; "", VLOOKUP(IFERROR(VLOOKUP('GBG Filtered'!S94, FormFixes, 2, false), 'GBG Filtered'!S94), PokemonIcons, 2, False), "")</f>
        <v/>
      </c>
      <c r="U100" s="63" t="str">
        <f>IF('GBG Filtered'!T94 &lt;&gt; "", VLOOKUP(IFERROR(VLOOKUP('GBG Filtered'!T94, FormFixes, 2, false), 'GBG Filtered'!T94), PokemonIcons, 2, False), "")</f>
        <v/>
      </c>
      <c r="V100" s="63" t="str">
        <f>IF('GBG Filtered'!U94 &lt;&gt; "", VLOOKUP(IFERROR(VLOOKUP('GBG Filtered'!U94, FormFixes, 2, false), 'GBG Filtered'!U94), PokemonIcons, 2, False), "")</f>
        <v/>
      </c>
      <c r="W100" s="63" t="str">
        <f>IF('GBG Filtered'!V94 &lt;&gt; "", VLOOKUP(IFERROR(VLOOKUP('GBG Filtered'!V94, FormFixes, 2, false), 'GBG Filtered'!V94), PokemonIcons, 2, False), "")</f>
        <v/>
      </c>
      <c r="Z100" s="63" t="str">
        <f>IF('GBG Filtered'!Y94 &lt;&gt; "", VLOOKUP(IFERROR(VLOOKUP('GBG Filtered'!Y94, FormFixes, 2, false), 'GBG Filtered'!Y94), PokemonIcons, 2, False), "")</f>
        <v/>
      </c>
      <c r="AA100" s="63" t="str">
        <f>IF('GBG Filtered'!Z94 &lt;&gt; "", VLOOKUP('GBG Filtered'!Z94, TypeIcons, 2, False), "")</f>
        <v/>
      </c>
      <c r="AB100" s="63" t="str">
        <f>IF('GBG Filtered'!AA94 &lt;&gt; "", VLOOKUP(IFERROR(VLOOKUP('GBG Filtered'!AA94, FormFixes, 2, false), 'GBG Filtered'!AA94), PokemonIcons, 2, False), "")</f>
        <v/>
      </c>
      <c r="AC100" s="63" t="str">
        <f>IF('GBG Filtered'!AB94 &lt;&gt; "", VLOOKUP('GBG Filtered'!AB94, TypeIcons, 2, False), "")</f>
        <v/>
      </c>
      <c r="AD100" s="103" t="str">
        <f>'GBG Filtered'!AC94</f>
        <v/>
      </c>
      <c r="AE100" s="103" t="str">
        <f>'GBG Filtered'!AD94</f>
        <v/>
      </c>
      <c r="AF100" s="104" t="str">
        <f>'GBG Filtered'!AE94</f>
        <v/>
      </c>
    </row>
    <row r="101" ht="24.0" customHeight="1">
      <c r="B101" s="101" t="str">
        <f>'GBG Filtered'!A95</f>
        <v/>
      </c>
      <c r="C101" s="102" t="str">
        <f>'GBG Filtered'!B95</f>
        <v/>
      </c>
      <c r="D101" s="102" t="str">
        <f>'GBG Filtered'!C95</f>
        <v/>
      </c>
      <c r="E101" s="102" t="str">
        <f>'GBG Filtered'!D95</f>
        <v/>
      </c>
      <c r="F101" s="63" t="str">
        <f>IF('GBG Filtered'!E95 &lt;&gt; "", VLOOKUP(IFERROR(VLOOKUP('GBG Filtered'!E95, FormFixes, 2, false), 'GBG Filtered'!E95), PokemonIcons, 2, False), "")</f>
        <v/>
      </c>
      <c r="G101" s="63" t="str">
        <f>IF('GBG Filtered'!F95 &lt;&gt; "", VLOOKUP(IFERROR(VLOOKUP('GBG Filtered'!F95, FormFixes, 2, false), 'GBG Filtered'!F95), PokemonIcons, 2, False), "")</f>
        <v/>
      </c>
      <c r="H101" s="63" t="str">
        <f>IF('GBG Filtered'!G95 &lt;&gt; "", VLOOKUP(IFERROR(VLOOKUP('GBG Filtered'!G95, FormFixes, 2, false), 'GBG Filtered'!G95), PokemonIcons, 2, False), "")</f>
        <v/>
      </c>
      <c r="I101" s="63" t="str">
        <f>IF('GBG Filtered'!H95 &lt;&gt; "", VLOOKUP(IFERROR(VLOOKUP('GBG Filtered'!H95, FormFixes, 2, false), 'GBG Filtered'!H95), PokemonIcons, 2, False), "")</f>
        <v/>
      </c>
      <c r="J101" s="63" t="str">
        <f>IF('GBG Filtered'!I95 &lt;&gt; "", VLOOKUP(IFERROR(VLOOKUP('GBG Filtered'!I95, FormFixes, 2, false), 'GBG Filtered'!I95), PokemonIcons, 2, False), "")</f>
        <v/>
      </c>
      <c r="K101" s="63" t="str">
        <f>IF('GBG Filtered'!J95 &lt;&gt; "", VLOOKUP(IFERROR(VLOOKUP('GBG Filtered'!J95, FormFixes, 2, false), 'GBG Filtered'!J95), PokemonIcons, 2, False), "")</f>
        <v/>
      </c>
      <c r="O101" s="63" t="str">
        <f>IF('GBG Filtered'!N95 &lt;&gt; "", VLOOKUP(IFERROR(VLOOKUP('GBG Filtered'!N95, FormFixes, 2, false), 'GBG Filtered'!N95), PokemonIcons, 2, False), "")</f>
        <v/>
      </c>
      <c r="P101" s="63" t="str">
        <f>IF('GBG Filtered'!O95 &lt;&gt; "", VLOOKUP(IFERROR(VLOOKUP('GBG Filtered'!O95, FormFixes, 2, false), 'GBG Filtered'!O95), PokemonIcons, 2, False), "")</f>
        <v/>
      </c>
      <c r="Q101" s="63" t="str">
        <f>IF('GBG Filtered'!P95 &lt;&gt; "", VLOOKUP(IFERROR(VLOOKUP('GBG Filtered'!P95, FormFixes, 2, false), 'GBG Filtered'!P95), PokemonIcons, 2, False), "")</f>
        <v/>
      </c>
      <c r="R101" s="63" t="str">
        <f>IF('GBG Filtered'!Q95 &lt;&gt; "", VLOOKUP(IFERROR(VLOOKUP('GBG Filtered'!Q95, FormFixes, 2, false), 'GBG Filtered'!Q95), PokemonIcons, 2, False), "")</f>
        <v/>
      </c>
      <c r="T101" s="63" t="str">
        <f>IF('GBG Filtered'!S95 &lt;&gt; "", VLOOKUP(IFERROR(VLOOKUP('GBG Filtered'!S95, FormFixes, 2, false), 'GBG Filtered'!S95), PokemonIcons, 2, False), "")</f>
        <v/>
      </c>
      <c r="U101" s="63" t="str">
        <f>IF('GBG Filtered'!T95 &lt;&gt; "", VLOOKUP(IFERROR(VLOOKUP('GBG Filtered'!T95, FormFixes, 2, false), 'GBG Filtered'!T95), PokemonIcons, 2, False), "")</f>
        <v/>
      </c>
      <c r="V101" s="63" t="str">
        <f>IF('GBG Filtered'!U95 &lt;&gt; "", VLOOKUP(IFERROR(VLOOKUP('GBG Filtered'!U95, FormFixes, 2, false), 'GBG Filtered'!U95), PokemonIcons, 2, False), "")</f>
        <v/>
      </c>
      <c r="W101" s="63" t="str">
        <f>IF('GBG Filtered'!V95 &lt;&gt; "", VLOOKUP(IFERROR(VLOOKUP('GBG Filtered'!V95, FormFixes, 2, false), 'GBG Filtered'!V95), PokemonIcons, 2, False), "")</f>
        <v/>
      </c>
      <c r="Z101" s="63" t="str">
        <f>IF('GBG Filtered'!Y95 &lt;&gt; "", VLOOKUP(IFERROR(VLOOKUP('GBG Filtered'!Y95, FormFixes, 2, false), 'GBG Filtered'!Y95), PokemonIcons, 2, False), "")</f>
        <v/>
      </c>
      <c r="AA101" s="63" t="str">
        <f>IF('GBG Filtered'!Z95 &lt;&gt; "", VLOOKUP('GBG Filtered'!Z95, TypeIcons, 2, False), "")</f>
        <v/>
      </c>
      <c r="AB101" s="63" t="str">
        <f>IF('GBG Filtered'!AA95 &lt;&gt; "", VLOOKUP(IFERROR(VLOOKUP('GBG Filtered'!AA95, FormFixes, 2, false), 'GBG Filtered'!AA95), PokemonIcons, 2, False), "")</f>
        <v/>
      </c>
      <c r="AC101" s="63" t="str">
        <f>IF('GBG Filtered'!AB95 &lt;&gt; "", VLOOKUP('GBG Filtered'!AB95, TypeIcons, 2, False), "")</f>
        <v/>
      </c>
      <c r="AD101" s="103" t="str">
        <f>'GBG Filtered'!AC95</f>
        <v/>
      </c>
      <c r="AE101" s="103" t="str">
        <f>'GBG Filtered'!AD95</f>
        <v/>
      </c>
      <c r="AF101" s="104" t="str">
        <f>'GBG Filtered'!AE95</f>
        <v/>
      </c>
    </row>
    <row r="102" ht="24.0" customHeight="1">
      <c r="B102" s="101" t="str">
        <f>'GBG Filtered'!A96</f>
        <v/>
      </c>
      <c r="C102" s="102" t="str">
        <f>'GBG Filtered'!B96</f>
        <v/>
      </c>
      <c r="D102" s="102" t="str">
        <f>'GBG Filtered'!C96</f>
        <v/>
      </c>
      <c r="E102" s="102" t="str">
        <f>'GBG Filtered'!D96</f>
        <v/>
      </c>
      <c r="F102" s="63" t="str">
        <f>IF('GBG Filtered'!E96 &lt;&gt; "", VLOOKUP(IFERROR(VLOOKUP('GBG Filtered'!E96, FormFixes, 2, false), 'GBG Filtered'!E96), PokemonIcons, 2, False), "")</f>
        <v/>
      </c>
      <c r="G102" s="63" t="str">
        <f>IF('GBG Filtered'!F96 &lt;&gt; "", VLOOKUP(IFERROR(VLOOKUP('GBG Filtered'!F96, FormFixes, 2, false), 'GBG Filtered'!F96), PokemonIcons, 2, False), "")</f>
        <v/>
      </c>
      <c r="H102" s="63" t="str">
        <f>IF('GBG Filtered'!G96 &lt;&gt; "", VLOOKUP(IFERROR(VLOOKUP('GBG Filtered'!G96, FormFixes, 2, false), 'GBG Filtered'!G96), PokemonIcons, 2, False), "")</f>
        <v/>
      </c>
      <c r="I102" s="63" t="str">
        <f>IF('GBG Filtered'!H96 &lt;&gt; "", VLOOKUP(IFERROR(VLOOKUP('GBG Filtered'!H96, FormFixes, 2, false), 'GBG Filtered'!H96), PokemonIcons, 2, False), "")</f>
        <v/>
      </c>
      <c r="J102" s="63" t="str">
        <f>IF('GBG Filtered'!I96 &lt;&gt; "", VLOOKUP(IFERROR(VLOOKUP('GBG Filtered'!I96, FormFixes, 2, false), 'GBG Filtered'!I96), PokemonIcons, 2, False), "")</f>
        <v/>
      </c>
      <c r="K102" s="63" t="str">
        <f>IF('GBG Filtered'!J96 &lt;&gt; "", VLOOKUP(IFERROR(VLOOKUP('GBG Filtered'!J96, FormFixes, 2, false), 'GBG Filtered'!J96), PokemonIcons, 2, False), "")</f>
        <v/>
      </c>
      <c r="O102" s="63" t="str">
        <f>IF('GBG Filtered'!N96 &lt;&gt; "", VLOOKUP(IFERROR(VLOOKUP('GBG Filtered'!N96, FormFixes, 2, false), 'GBG Filtered'!N96), PokemonIcons, 2, False), "")</f>
        <v/>
      </c>
      <c r="P102" s="63" t="str">
        <f>IF('GBG Filtered'!O96 &lt;&gt; "", VLOOKUP(IFERROR(VLOOKUP('GBG Filtered'!O96, FormFixes, 2, false), 'GBG Filtered'!O96), PokemonIcons, 2, False), "")</f>
        <v/>
      </c>
      <c r="Q102" s="63" t="str">
        <f>IF('GBG Filtered'!P96 &lt;&gt; "", VLOOKUP(IFERROR(VLOOKUP('GBG Filtered'!P96, FormFixes, 2, false), 'GBG Filtered'!P96), PokemonIcons, 2, False), "")</f>
        <v/>
      </c>
      <c r="R102" s="63" t="str">
        <f>IF('GBG Filtered'!Q96 &lt;&gt; "", VLOOKUP(IFERROR(VLOOKUP('GBG Filtered'!Q96, FormFixes, 2, false), 'GBG Filtered'!Q96), PokemonIcons, 2, False), "")</f>
        <v/>
      </c>
      <c r="T102" s="63" t="str">
        <f>IF('GBG Filtered'!S96 &lt;&gt; "", VLOOKUP(IFERROR(VLOOKUP('GBG Filtered'!S96, FormFixes, 2, false), 'GBG Filtered'!S96), PokemonIcons, 2, False), "")</f>
        <v/>
      </c>
      <c r="U102" s="63" t="str">
        <f>IF('GBG Filtered'!T96 &lt;&gt; "", VLOOKUP(IFERROR(VLOOKUP('GBG Filtered'!T96, FormFixes, 2, false), 'GBG Filtered'!T96), PokemonIcons, 2, False), "")</f>
        <v/>
      </c>
      <c r="V102" s="63" t="str">
        <f>IF('GBG Filtered'!U96 &lt;&gt; "", VLOOKUP(IFERROR(VLOOKUP('GBG Filtered'!U96, FormFixes, 2, false), 'GBG Filtered'!U96), PokemonIcons, 2, False), "")</f>
        <v/>
      </c>
      <c r="W102" s="63" t="str">
        <f>IF('GBG Filtered'!V96 &lt;&gt; "", VLOOKUP(IFERROR(VLOOKUP('GBG Filtered'!V96, FormFixes, 2, false), 'GBG Filtered'!V96), PokemonIcons, 2, False), "")</f>
        <v/>
      </c>
      <c r="Z102" s="63" t="str">
        <f>IF('GBG Filtered'!Y96 &lt;&gt; "", VLOOKUP(IFERROR(VLOOKUP('GBG Filtered'!Y96, FormFixes, 2, false), 'GBG Filtered'!Y96), PokemonIcons, 2, False), "")</f>
        <v/>
      </c>
      <c r="AA102" s="63" t="str">
        <f>IF('GBG Filtered'!Z96 &lt;&gt; "", VLOOKUP('GBG Filtered'!Z96, TypeIcons, 2, False), "")</f>
        <v/>
      </c>
      <c r="AB102" s="63" t="str">
        <f>IF('GBG Filtered'!AA96 &lt;&gt; "", VLOOKUP(IFERROR(VLOOKUP('GBG Filtered'!AA96, FormFixes, 2, false), 'GBG Filtered'!AA96), PokemonIcons, 2, False), "")</f>
        <v/>
      </c>
      <c r="AC102" s="63" t="str">
        <f>IF('GBG Filtered'!AB96 &lt;&gt; "", VLOOKUP('GBG Filtered'!AB96, TypeIcons, 2, False), "")</f>
        <v/>
      </c>
      <c r="AD102" s="103" t="str">
        <f>'GBG Filtered'!AC96</f>
        <v/>
      </c>
      <c r="AE102" s="103" t="str">
        <f>'GBG Filtered'!AD96</f>
        <v/>
      </c>
      <c r="AF102" s="104" t="str">
        <f>'GBG Filtered'!AE96</f>
        <v/>
      </c>
    </row>
    <row r="103" ht="24.0" customHeight="1">
      <c r="B103" s="101" t="str">
        <f>'GBG Filtered'!A97</f>
        <v/>
      </c>
      <c r="C103" s="102" t="str">
        <f>'GBG Filtered'!B97</f>
        <v/>
      </c>
      <c r="D103" s="102" t="str">
        <f>'GBG Filtered'!C97</f>
        <v/>
      </c>
      <c r="E103" s="102" t="str">
        <f>'GBG Filtered'!D97</f>
        <v/>
      </c>
      <c r="F103" s="63" t="str">
        <f>IF('GBG Filtered'!E97 &lt;&gt; "", VLOOKUP(IFERROR(VLOOKUP('GBG Filtered'!E97, FormFixes, 2, false), 'GBG Filtered'!E97), PokemonIcons, 2, False), "")</f>
        <v/>
      </c>
      <c r="G103" s="63" t="str">
        <f>IF('GBG Filtered'!F97 &lt;&gt; "", VLOOKUP(IFERROR(VLOOKUP('GBG Filtered'!F97, FormFixes, 2, false), 'GBG Filtered'!F97), PokemonIcons, 2, False), "")</f>
        <v/>
      </c>
      <c r="H103" s="63" t="str">
        <f>IF('GBG Filtered'!G97 &lt;&gt; "", VLOOKUP(IFERROR(VLOOKUP('GBG Filtered'!G97, FormFixes, 2, false), 'GBG Filtered'!G97), PokemonIcons, 2, False), "")</f>
        <v/>
      </c>
      <c r="I103" s="63" t="str">
        <f>IF('GBG Filtered'!H97 &lt;&gt; "", VLOOKUP(IFERROR(VLOOKUP('GBG Filtered'!H97, FormFixes, 2, false), 'GBG Filtered'!H97), PokemonIcons, 2, False), "")</f>
        <v/>
      </c>
      <c r="J103" s="63" t="str">
        <f>IF('GBG Filtered'!I97 &lt;&gt; "", VLOOKUP(IFERROR(VLOOKUP('GBG Filtered'!I97, FormFixes, 2, false), 'GBG Filtered'!I97), PokemonIcons, 2, False), "")</f>
        <v/>
      </c>
      <c r="K103" s="63" t="str">
        <f>IF('GBG Filtered'!J97 &lt;&gt; "", VLOOKUP(IFERROR(VLOOKUP('GBG Filtered'!J97, FormFixes, 2, false), 'GBG Filtered'!J97), PokemonIcons, 2, False), "")</f>
        <v/>
      </c>
      <c r="O103" s="63" t="str">
        <f>IF('GBG Filtered'!N97 &lt;&gt; "", VLOOKUP(IFERROR(VLOOKUP('GBG Filtered'!N97, FormFixes, 2, false), 'GBG Filtered'!N97), PokemonIcons, 2, False), "")</f>
        <v/>
      </c>
      <c r="P103" s="63" t="str">
        <f>IF('GBG Filtered'!O97 &lt;&gt; "", VLOOKUP(IFERROR(VLOOKUP('GBG Filtered'!O97, FormFixes, 2, false), 'GBG Filtered'!O97), PokemonIcons, 2, False), "")</f>
        <v/>
      </c>
      <c r="Q103" s="63" t="str">
        <f>IF('GBG Filtered'!P97 &lt;&gt; "", VLOOKUP(IFERROR(VLOOKUP('GBG Filtered'!P97, FormFixes, 2, false), 'GBG Filtered'!P97), PokemonIcons, 2, False), "")</f>
        <v/>
      </c>
      <c r="R103" s="63" t="str">
        <f>IF('GBG Filtered'!Q97 &lt;&gt; "", VLOOKUP(IFERROR(VLOOKUP('GBG Filtered'!Q97, FormFixes, 2, false), 'GBG Filtered'!Q97), PokemonIcons, 2, False), "")</f>
        <v/>
      </c>
      <c r="T103" s="63" t="str">
        <f>IF('GBG Filtered'!S97 &lt;&gt; "", VLOOKUP(IFERROR(VLOOKUP('GBG Filtered'!S97, FormFixes, 2, false), 'GBG Filtered'!S97), PokemonIcons, 2, False), "")</f>
        <v/>
      </c>
      <c r="U103" s="63" t="str">
        <f>IF('GBG Filtered'!T97 &lt;&gt; "", VLOOKUP(IFERROR(VLOOKUP('GBG Filtered'!T97, FormFixes, 2, false), 'GBG Filtered'!T97), PokemonIcons, 2, False), "")</f>
        <v/>
      </c>
      <c r="V103" s="63" t="str">
        <f>IF('GBG Filtered'!U97 &lt;&gt; "", VLOOKUP(IFERROR(VLOOKUP('GBG Filtered'!U97, FormFixes, 2, false), 'GBG Filtered'!U97), PokemonIcons, 2, False), "")</f>
        <v/>
      </c>
      <c r="W103" s="63" t="str">
        <f>IF('GBG Filtered'!V97 &lt;&gt; "", VLOOKUP(IFERROR(VLOOKUP('GBG Filtered'!V97, FormFixes, 2, false), 'GBG Filtered'!V97), PokemonIcons, 2, False), "")</f>
        <v/>
      </c>
      <c r="Z103" s="63" t="str">
        <f>IF('GBG Filtered'!Y97 &lt;&gt; "", VLOOKUP(IFERROR(VLOOKUP('GBG Filtered'!Y97, FormFixes, 2, false), 'GBG Filtered'!Y97), PokemonIcons, 2, False), "")</f>
        <v/>
      </c>
      <c r="AA103" s="63" t="str">
        <f>IF('GBG Filtered'!Z97 &lt;&gt; "", VLOOKUP('GBG Filtered'!Z97, TypeIcons, 2, False), "")</f>
        <v/>
      </c>
      <c r="AB103" s="63" t="str">
        <f>IF('GBG Filtered'!AA97 &lt;&gt; "", VLOOKUP(IFERROR(VLOOKUP('GBG Filtered'!AA97, FormFixes, 2, false), 'GBG Filtered'!AA97), PokemonIcons, 2, False), "")</f>
        <v/>
      </c>
      <c r="AC103" s="63" t="str">
        <f>IF('GBG Filtered'!AB97 &lt;&gt; "", VLOOKUP('GBG Filtered'!AB97, TypeIcons, 2, False), "")</f>
        <v/>
      </c>
      <c r="AD103" s="103" t="str">
        <f>'GBG Filtered'!AC97</f>
        <v/>
      </c>
      <c r="AE103" s="103" t="str">
        <f>'GBG Filtered'!AD97</f>
        <v/>
      </c>
      <c r="AF103" s="104" t="str">
        <f>'GBG Filtered'!AE97</f>
        <v/>
      </c>
    </row>
    <row r="104" ht="24.0" customHeight="1">
      <c r="B104" s="101" t="str">
        <f>'GBG Filtered'!A98</f>
        <v/>
      </c>
      <c r="C104" s="102" t="str">
        <f>'GBG Filtered'!B98</f>
        <v/>
      </c>
      <c r="D104" s="102" t="str">
        <f>'GBG Filtered'!C98</f>
        <v/>
      </c>
      <c r="E104" s="102" t="str">
        <f>'GBG Filtered'!D98</f>
        <v/>
      </c>
      <c r="F104" s="63" t="str">
        <f>IF('GBG Filtered'!E98 &lt;&gt; "", VLOOKUP(IFERROR(VLOOKUP('GBG Filtered'!E98, FormFixes, 2, false), 'GBG Filtered'!E98), PokemonIcons, 2, False), "")</f>
        <v/>
      </c>
      <c r="G104" s="63" t="str">
        <f>IF('GBG Filtered'!F98 &lt;&gt; "", VLOOKUP(IFERROR(VLOOKUP('GBG Filtered'!F98, FormFixes, 2, false), 'GBG Filtered'!F98), PokemonIcons, 2, False), "")</f>
        <v/>
      </c>
      <c r="H104" s="63" t="str">
        <f>IF('GBG Filtered'!G98 &lt;&gt; "", VLOOKUP(IFERROR(VLOOKUP('GBG Filtered'!G98, FormFixes, 2, false), 'GBG Filtered'!G98), PokemonIcons, 2, False), "")</f>
        <v/>
      </c>
      <c r="I104" s="63" t="str">
        <f>IF('GBG Filtered'!H98 &lt;&gt; "", VLOOKUP(IFERROR(VLOOKUP('GBG Filtered'!H98, FormFixes, 2, false), 'GBG Filtered'!H98), PokemonIcons, 2, False), "")</f>
        <v/>
      </c>
      <c r="J104" s="63" t="str">
        <f>IF('GBG Filtered'!I98 &lt;&gt; "", VLOOKUP(IFERROR(VLOOKUP('GBG Filtered'!I98, FormFixes, 2, false), 'GBG Filtered'!I98), PokemonIcons, 2, False), "")</f>
        <v/>
      </c>
      <c r="K104" s="63" t="str">
        <f>IF('GBG Filtered'!J98 &lt;&gt; "", VLOOKUP(IFERROR(VLOOKUP('GBG Filtered'!J98, FormFixes, 2, false), 'GBG Filtered'!J98), PokemonIcons, 2, False), "")</f>
        <v/>
      </c>
      <c r="O104" s="63" t="str">
        <f>IF('GBG Filtered'!N98 &lt;&gt; "", VLOOKUP(IFERROR(VLOOKUP('GBG Filtered'!N98, FormFixes, 2, false), 'GBG Filtered'!N98), PokemonIcons, 2, False), "")</f>
        <v/>
      </c>
      <c r="P104" s="63" t="str">
        <f>IF('GBG Filtered'!O98 &lt;&gt; "", VLOOKUP(IFERROR(VLOOKUP('GBG Filtered'!O98, FormFixes, 2, false), 'GBG Filtered'!O98), PokemonIcons, 2, False), "")</f>
        <v/>
      </c>
      <c r="Q104" s="63" t="str">
        <f>IF('GBG Filtered'!P98 &lt;&gt; "", VLOOKUP(IFERROR(VLOOKUP('GBG Filtered'!P98, FormFixes, 2, false), 'GBG Filtered'!P98), PokemonIcons, 2, False), "")</f>
        <v/>
      </c>
      <c r="R104" s="63" t="str">
        <f>IF('GBG Filtered'!Q98 &lt;&gt; "", VLOOKUP(IFERROR(VLOOKUP('GBG Filtered'!Q98, FormFixes, 2, false), 'GBG Filtered'!Q98), PokemonIcons, 2, False), "")</f>
        <v/>
      </c>
      <c r="T104" s="63" t="str">
        <f>IF('GBG Filtered'!S98 &lt;&gt; "", VLOOKUP(IFERROR(VLOOKUP('GBG Filtered'!S98, FormFixes, 2, false), 'GBG Filtered'!S98), PokemonIcons, 2, False), "")</f>
        <v/>
      </c>
      <c r="U104" s="63" t="str">
        <f>IF('GBG Filtered'!T98 &lt;&gt; "", VLOOKUP(IFERROR(VLOOKUP('GBG Filtered'!T98, FormFixes, 2, false), 'GBG Filtered'!T98), PokemonIcons, 2, False), "")</f>
        <v/>
      </c>
      <c r="V104" s="63" t="str">
        <f>IF('GBG Filtered'!U98 &lt;&gt; "", VLOOKUP(IFERROR(VLOOKUP('GBG Filtered'!U98, FormFixes, 2, false), 'GBG Filtered'!U98), PokemonIcons, 2, False), "")</f>
        <v/>
      </c>
      <c r="W104" s="63" t="str">
        <f>IF('GBG Filtered'!V98 &lt;&gt; "", VLOOKUP(IFERROR(VLOOKUP('GBG Filtered'!V98, FormFixes, 2, false), 'GBG Filtered'!V98), PokemonIcons, 2, False), "")</f>
        <v/>
      </c>
      <c r="Z104" s="63" t="str">
        <f>IF('GBG Filtered'!Y98 &lt;&gt; "", VLOOKUP(IFERROR(VLOOKUP('GBG Filtered'!Y98, FormFixes, 2, false), 'GBG Filtered'!Y98), PokemonIcons, 2, False), "")</f>
        <v/>
      </c>
      <c r="AA104" s="63" t="str">
        <f>IF('GBG Filtered'!Z98 &lt;&gt; "", VLOOKUP('GBG Filtered'!Z98, TypeIcons, 2, False), "")</f>
        <v/>
      </c>
      <c r="AB104" s="63" t="str">
        <f>IF('GBG Filtered'!AA98 &lt;&gt; "", VLOOKUP(IFERROR(VLOOKUP('GBG Filtered'!AA98, FormFixes, 2, false), 'GBG Filtered'!AA98), PokemonIcons, 2, False), "")</f>
        <v/>
      </c>
      <c r="AC104" s="63" t="str">
        <f>IF('GBG Filtered'!AB98 &lt;&gt; "", VLOOKUP('GBG Filtered'!AB98, TypeIcons, 2, False), "")</f>
        <v/>
      </c>
      <c r="AD104" s="103" t="str">
        <f>'GBG Filtered'!AC98</f>
        <v/>
      </c>
      <c r="AE104" s="103" t="str">
        <f>'GBG Filtered'!AD98</f>
        <v/>
      </c>
      <c r="AF104" s="104" t="str">
        <f>'GBG Filtered'!AE98</f>
        <v/>
      </c>
    </row>
    <row r="105" ht="24.0" customHeight="1">
      <c r="B105" s="101" t="str">
        <f>'GBG Filtered'!A99</f>
        <v/>
      </c>
      <c r="C105" s="102" t="str">
        <f>'GBG Filtered'!B99</f>
        <v/>
      </c>
      <c r="D105" s="102" t="str">
        <f>'GBG Filtered'!C99</f>
        <v/>
      </c>
      <c r="E105" s="102" t="str">
        <f>'GBG Filtered'!D99</f>
        <v/>
      </c>
      <c r="F105" s="63" t="str">
        <f>IF('GBG Filtered'!E99 &lt;&gt; "", VLOOKUP(IFERROR(VLOOKUP('GBG Filtered'!E99, FormFixes, 2, false), 'GBG Filtered'!E99), PokemonIcons, 2, False), "")</f>
        <v/>
      </c>
      <c r="G105" s="63" t="str">
        <f>IF('GBG Filtered'!F99 &lt;&gt; "", VLOOKUP(IFERROR(VLOOKUP('GBG Filtered'!F99, FormFixes, 2, false), 'GBG Filtered'!F99), PokemonIcons, 2, False), "")</f>
        <v/>
      </c>
      <c r="H105" s="63" t="str">
        <f>IF('GBG Filtered'!G99 &lt;&gt; "", VLOOKUP(IFERROR(VLOOKUP('GBG Filtered'!G99, FormFixes, 2, false), 'GBG Filtered'!G99), PokemonIcons, 2, False), "")</f>
        <v/>
      </c>
      <c r="I105" s="63" t="str">
        <f>IF('GBG Filtered'!H99 &lt;&gt; "", VLOOKUP(IFERROR(VLOOKUP('GBG Filtered'!H99, FormFixes, 2, false), 'GBG Filtered'!H99), PokemonIcons, 2, False), "")</f>
        <v/>
      </c>
      <c r="J105" s="63" t="str">
        <f>IF('GBG Filtered'!I99 &lt;&gt; "", VLOOKUP(IFERROR(VLOOKUP('GBG Filtered'!I99, FormFixes, 2, false), 'GBG Filtered'!I99), PokemonIcons, 2, False), "")</f>
        <v/>
      </c>
      <c r="K105" s="63" t="str">
        <f>IF('GBG Filtered'!J99 &lt;&gt; "", VLOOKUP(IFERROR(VLOOKUP('GBG Filtered'!J99, FormFixes, 2, false), 'GBG Filtered'!J99), PokemonIcons, 2, False), "")</f>
        <v/>
      </c>
      <c r="O105" s="63" t="str">
        <f>IF('GBG Filtered'!N99 &lt;&gt; "", VLOOKUP(IFERROR(VLOOKUP('GBG Filtered'!N99, FormFixes, 2, false), 'GBG Filtered'!N99), PokemonIcons, 2, False), "")</f>
        <v/>
      </c>
      <c r="P105" s="63" t="str">
        <f>IF('GBG Filtered'!O99 &lt;&gt; "", VLOOKUP(IFERROR(VLOOKUP('GBG Filtered'!O99, FormFixes, 2, false), 'GBG Filtered'!O99), PokemonIcons, 2, False), "")</f>
        <v/>
      </c>
      <c r="Q105" s="63" t="str">
        <f>IF('GBG Filtered'!P99 &lt;&gt; "", VLOOKUP(IFERROR(VLOOKUP('GBG Filtered'!P99, FormFixes, 2, false), 'GBG Filtered'!P99), PokemonIcons, 2, False), "")</f>
        <v/>
      </c>
      <c r="R105" s="63" t="str">
        <f>IF('GBG Filtered'!Q99 &lt;&gt; "", VLOOKUP(IFERROR(VLOOKUP('GBG Filtered'!Q99, FormFixes, 2, false), 'GBG Filtered'!Q99), PokemonIcons, 2, False), "")</f>
        <v/>
      </c>
      <c r="T105" s="63" t="str">
        <f>IF('GBG Filtered'!S99 &lt;&gt; "", VLOOKUP(IFERROR(VLOOKUP('GBG Filtered'!S99, FormFixes, 2, false), 'GBG Filtered'!S99), PokemonIcons, 2, False), "")</f>
        <v/>
      </c>
      <c r="U105" s="63" t="str">
        <f>IF('GBG Filtered'!T99 &lt;&gt; "", VLOOKUP(IFERROR(VLOOKUP('GBG Filtered'!T99, FormFixes, 2, false), 'GBG Filtered'!T99), PokemonIcons, 2, False), "")</f>
        <v/>
      </c>
      <c r="V105" s="63" t="str">
        <f>IF('GBG Filtered'!U99 &lt;&gt; "", VLOOKUP(IFERROR(VLOOKUP('GBG Filtered'!U99, FormFixes, 2, false), 'GBG Filtered'!U99), PokemonIcons, 2, False), "")</f>
        <v/>
      </c>
      <c r="W105" s="63" t="str">
        <f>IF('GBG Filtered'!V99 &lt;&gt; "", VLOOKUP(IFERROR(VLOOKUP('GBG Filtered'!V99, FormFixes, 2, false), 'GBG Filtered'!V99), PokemonIcons, 2, False), "")</f>
        <v/>
      </c>
      <c r="Z105" s="63" t="str">
        <f>IF('GBG Filtered'!Y99 &lt;&gt; "", VLOOKUP(IFERROR(VLOOKUP('GBG Filtered'!Y99, FormFixes, 2, false), 'GBG Filtered'!Y99), PokemonIcons, 2, False), "")</f>
        <v/>
      </c>
      <c r="AA105" s="63" t="str">
        <f>IF('GBG Filtered'!Z99 &lt;&gt; "", VLOOKUP('GBG Filtered'!Z99, TypeIcons, 2, False), "")</f>
        <v/>
      </c>
      <c r="AB105" s="63" t="str">
        <f>IF('GBG Filtered'!AA99 &lt;&gt; "", VLOOKUP(IFERROR(VLOOKUP('GBG Filtered'!AA99, FormFixes, 2, false), 'GBG Filtered'!AA99), PokemonIcons, 2, False), "")</f>
        <v/>
      </c>
      <c r="AC105" s="63" t="str">
        <f>IF('GBG Filtered'!AB99 &lt;&gt; "", VLOOKUP('GBG Filtered'!AB99, TypeIcons, 2, False), "")</f>
        <v/>
      </c>
      <c r="AD105" s="103" t="str">
        <f>'GBG Filtered'!AC99</f>
        <v/>
      </c>
      <c r="AE105" s="103" t="str">
        <f>'GBG Filtered'!AD99</f>
        <v/>
      </c>
      <c r="AF105" s="104" t="str">
        <f>'GBG Filtered'!AE99</f>
        <v/>
      </c>
    </row>
    <row r="106" ht="24.0" customHeight="1">
      <c r="B106" s="101" t="str">
        <f>'GBG Filtered'!A100</f>
        <v/>
      </c>
      <c r="C106" s="102" t="str">
        <f>'GBG Filtered'!B100</f>
        <v/>
      </c>
      <c r="D106" s="102" t="str">
        <f>'GBG Filtered'!C100</f>
        <v/>
      </c>
      <c r="E106" s="102" t="str">
        <f>'GBG Filtered'!D100</f>
        <v/>
      </c>
      <c r="F106" s="63" t="str">
        <f>IF('GBG Filtered'!E100 &lt;&gt; "", VLOOKUP(IFERROR(VLOOKUP('GBG Filtered'!E100, FormFixes, 2, false), 'GBG Filtered'!E100), PokemonIcons, 2, False), "")</f>
        <v/>
      </c>
      <c r="G106" s="63" t="str">
        <f>IF('GBG Filtered'!F100 &lt;&gt; "", VLOOKUP(IFERROR(VLOOKUP('GBG Filtered'!F100, FormFixes, 2, false), 'GBG Filtered'!F100), PokemonIcons, 2, False), "")</f>
        <v/>
      </c>
      <c r="H106" s="63" t="str">
        <f>IF('GBG Filtered'!G100 &lt;&gt; "", VLOOKUP(IFERROR(VLOOKUP('GBG Filtered'!G100, FormFixes, 2, false), 'GBG Filtered'!G100), PokemonIcons, 2, False), "")</f>
        <v/>
      </c>
      <c r="I106" s="63" t="str">
        <f>IF('GBG Filtered'!H100 &lt;&gt; "", VLOOKUP(IFERROR(VLOOKUP('GBG Filtered'!H100, FormFixes, 2, false), 'GBG Filtered'!H100), PokemonIcons, 2, False), "")</f>
        <v/>
      </c>
      <c r="J106" s="63" t="str">
        <f>IF('GBG Filtered'!I100 &lt;&gt; "", VLOOKUP(IFERROR(VLOOKUP('GBG Filtered'!I100, FormFixes, 2, false), 'GBG Filtered'!I100), PokemonIcons, 2, False), "")</f>
        <v/>
      </c>
      <c r="K106" s="63" t="str">
        <f>IF('GBG Filtered'!J100 &lt;&gt; "", VLOOKUP(IFERROR(VLOOKUP('GBG Filtered'!J100, FormFixes, 2, false), 'GBG Filtered'!J100), PokemonIcons, 2, False), "")</f>
        <v/>
      </c>
      <c r="O106" s="63" t="str">
        <f>IF('GBG Filtered'!N100 &lt;&gt; "", VLOOKUP(IFERROR(VLOOKUP('GBG Filtered'!N100, FormFixes, 2, false), 'GBG Filtered'!N100), PokemonIcons, 2, False), "")</f>
        <v/>
      </c>
      <c r="P106" s="63" t="str">
        <f>IF('GBG Filtered'!O100 &lt;&gt; "", VLOOKUP(IFERROR(VLOOKUP('GBG Filtered'!O100, FormFixes, 2, false), 'GBG Filtered'!O100), PokemonIcons, 2, False), "")</f>
        <v/>
      </c>
      <c r="Q106" s="63" t="str">
        <f>IF('GBG Filtered'!P100 &lt;&gt; "", VLOOKUP(IFERROR(VLOOKUP('GBG Filtered'!P100, FormFixes, 2, false), 'GBG Filtered'!P100), PokemonIcons, 2, False), "")</f>
        <v/>
      </c>
      <c r="R106" s="63" t="str">
        <f>IF('GBG Filtered'!Q100 &lt;&gt; "", VLOOKUP(IFERROR(VLOOKUP('GBG Filtered'!Q100, FormFixes, 2, false), 'GBG Filtered'!Q100), PokemonIcons, 2, False), "")</f>
        <v/>
      </c>
      <c r="T106" s="63" t="str">
        <f>IF('GBG Filtered'!S100 &lt;&gt; "", VLOOKUP(IFERROR(VLOOKUP('GBG Filtered'!S100, FormFixes, 2, false), 'GBG Filtered'!S100), PokemonIcons, 2, False), "")</f>
        <v/>
      </c>
      <c r="U106" s="63" t="str">
        <f>IF('GBG Filtered'!T100 &lt;&gt; "", VLOOKUP(IFERROR(VLOOKUP('GBG Filtered'!T100, FormFixes, 2, false), 'GBG Filtered'!T100), PokemonIcons, 2, False), "")</f>
        <v/>
      </c>
      <c r="V106" s="63" t="str">
        <f>IF('GBG Filtered'!U100 &lt;&gt; "", VLOOKUP(IFERROR(VLOOKUP('GBG Filtered'!U100, FormFixes, 2, false), 'GBG Filtered'!U100), PokemonIcons, 2, False), "")</f>
        <v/>
      </c>
      <c r="W106" s="63" t="str">
        <f>IF('GBG Filtered'!V100 &lt;&gt; "", VLOOKUP(IFERROR(VLOOKUP('GBG Filtered'!V100, FormFixes, 2, false), 'GBG Filtered'!V100), PokemonIcons, 2, False), "")</f>
        <v/>
      </c>
      <c r="Z106" s="63" t="str">
        <f>IF('GBG Filtered'!Y100 &lt;&gt; "", VLOOKUP(IFERROR(VLOOKUP('GBG Filtered'!Y100, FormFixes, 2, false), 'GBG Filtered'!Y100), PokemonIcons, 2, False), "")</f>
        <v/>
      </c>
      <c r="AA106" s="63" t="str">
        <f>IF('GBG Filtered'!Z100 &lt;&gt; "", VLOOKUP('GBG Filtered'!Z100, TypeIcons, 2, False), "")</f>
        <v/>
      </c>
      <c r="AB106" s="63" t="str">
        <f>IF('GBG Filtered'!AA100 &lt;&gt; "", VLOOKUP(IFERROR(VLOOKUP('GBG Filtered'!AA100, FormFixes, 2, false), 'GBG Filtered'!AA100), PokemonIcons, 2, False), "")</f>
        <v/>
      </c>
      <c r="AC106" s="63" t="str">
        <f>IF('GBG Filtered'!AB100 &lt;&gt; "", VLOOKUP('GBG Filtered'!AB100, TypeIcons, 2, False), "")</f>
        <v/>
      </c>
      <c r="AD106" s="103" t="str">
        <f>'GBG Filtered'!AC100</f>
        <v/>
      </c>
      <c r="AE106" s="103" t="str">
        <f>'GBG Filtered'!AD100</f>
        <v/>
      </c>
      <c r="AF106" s="104" t="str">
        <f>'GBG Filtered'!AE100</f>
        <v/>
      </c>
    </row>
    <row r="107" ht="24.0" customHeight="1">
      <c r="B107" s="101" t="str">
        <f>'GBG Filtered'!A101</f>
        <v/>
      </c>
      <c r="C107" s="102" t="str">
        <f>'GBG Filtered'!B101</f>
        <v/>
      </c>
      <c r="D107" s="102" t="str">
        <f>'GBG Filtered'!C101</f>
        <v/>
      </c>
      <c r="E107" s="102" t="str">
        <f>'GBG Filtered'!D101</f>
        <v/>
      </c>
      <c r="F107" s="63" t="str">
        <f>IF('GBG Filtered'!E101 &lt;&gt; "", VLOOKUP(IFERROR(VLOOKUP('GBG Filtered'!E101, FormFixes, 2, false), 'GBG Filtered'!E101), PokemonIcons, 2, False), "")</f>
        <v/>
      </c>
      <c r="G107" s="63" t="str">
        <f>IF('GBG Filtered'!F101 &lt;&gt; "", VLOOKUP(IFERROR(VLOOKUP('GBG Filtered'!F101, FormFixes, 2, false), 'GBG Filtered'!F101), PokemonIcons, 2, False), "")</f>
        <v/>
      </c>
      <c r="H107" s="63" t="str">
        <f>IF('GBG Filtered'!G101 &lt;&gt; "", VLOOKUP(IFERROR(VLOOKUP('GBG Filtered'!G101, FormFixes, 2, false), 'GBG Filtered'!G101), PokemonIcons, 2, False), "")</f>
        <v/>
      </c>
      <c r="I107" s="63" t="str">
        <f>IF('GBG Filtered'!H101 &lt;&gt; "", VLOOKUP(IFERROR(VLOOKUP('GBG Filtered'!H101, FormFixes, 2, false), 'GBG Filtered'!H101), PokemonIcons, 2, False), "")</f>
        <v/>
      </c>
      <c r="J107" s="63" t="str">
        <f>IF('GBG Filtered'!I101 &lt;&gt; "", VLOOKUP(IFERROR(VLOOKUP('GBG Filtered'!I101, FormFixes, 2, false), 'GBG Filtered'!I101), PokemonIcons, 2, False), "")</f>
        <v/>
      </c>
      <c r="K107" s="63" t="str">
        <f>IF('GBG Filtered'!J101 &lt;&gt; "", VLOOKUP(IFERROR(VLOOKUP('GBG Filtered'!J101, FormFixes, 2, false), 'GBG Filtered'!J101), PokemonIcons, 2, False), "")</f>
        <v/>
      </c>
      <c r="O107" s="63" t="str">
        <f>IF('GBG Filtered'!N101 &lt;&gt; "", VLOOKUP(IFERROR(VLOOKUP('GBG Filtered'!N101, FormFixes, 2, false), 'GBG Filtered'!N101), PokemonIcons, 2, False), "")</f>
        <v/>
      </c>
      <c r="P107" s="63" t="str">
        <f>IF('GBG Filtered'!O101 &lt;&gt; "", VLOOKUP(IFERROR(VLOOKUP('GBG Filtered'!O101, FormFixes, 2, false), 'GBG Filtered'!O101), PokemonIcons, 2, False), "")</f>
        <v/>
      </c>
      <c r="Q107" s="63" t="str">
        <f>IF('GBG Filtered'!P101 &lt;&gt; "", VLOOKUP(IFERROR(VLOOKUP('GBG Filtered'!P101, FormFixes, 2, false), 'GBG Filtered'!P101), PokemonIcons, 2, False), "")</f>
        <v/>
      </c>
      <c r="R107" s="63" t="str">
        <f>IF('GBG Filtered'!Q101 &lt;&gt; "", VLOOKUP(IFERROR(VLOOKUP('GBG Filtered'!Q101, FormFixes, 2, false), 'GBG Filtered'!Q101), PokemonIcons, 2, False), "")</f>
        <v/>
      </c>
      <c r="T107" s="63" t="str">
        <f>IF('GBG Filtered'!S101 &lt;&gt; "", VLOOKUP(IFERROR(VLOOKUP('GBG Filtered'!S101, FormFixes, 2, false), 'GBG Filtered'!S101), PokemonIcons, 2, False), "")</f>
        <v/>
      </c>
      <c r="U107" s="63" t="str">
        <f>IF('GBG Filtered'!T101 &lt;&gt; "", VLOOKUP(IFERROR(VLOOKUP('GBG Filtered'!T101, FormFixes, 2, false), 'GBG Filtered'!T101), PokemonIcons, 2, False), "")</f>
        <v/>
      </c>
      <c r="V107" s="63" t="str">
        <f>IF('GBG Filtered'!U101 &lt;&gt; "", VLOOKUP(IFERROR(VLOOKUP('GBG Filtered'!U101, FormFixes, 2, false), 'GBG Filtered'!U101), PokemonIcons, 2, False), "")</f>
        <v/>
      </c>
      <c r="W107" s="63" t="str">
        <f>IF('GBG Filtered'!V101 &lt;&gt; "", VLOOKUP(IFERROR(VLOOKUP('GBG Filtered'!V101, FormFixes, 2, false), 'GBG Filtered'!V101), PokemonIcons, 2, False), "")</f>
        <v/>
      </c>
      <c r="Z107" s="63" t="str">
        <f>IF('GBG Filtered'!Y101 &lt;&gt; "", VLOOKUP(IFERROR(VLOOKUP('GBG Filtered'!Y101, FormFixes, 2, false), 'GBG Filtered'!Y101), PokemonIcons, 2, False), "")</f>
        <v/>
      </c>
      <c r="AA107" s="63" t="str">
        <f>IF('GBG Filtered'!Z101 &lt;&gt; "", VLOOKUP('GBG Filtered'!Z101, TypeIcons, 2, False), "")</f>
        <v/>
      </c>
      <c r="AB107" s="63" t="str">
        <f>IF('GBG Filtered'!AA101 &lt;&gt; "", VLOOKUP(IFERROR(VLOOKUP('GBG Filtered'!AA101, FormFixes, 2, false), 'GBG Filtered'!AA101), PokemonIcons, 2, False), "")</f>
        <v/>
      </c>
      <c r="AC107" s="63" t="str">
        <f>IF('GBG Filtered'!AB101 &lt;&gt; "", VLOOKUP('GBG Filtered'!AB101, TypeIcons, 2, False), "")</f>
        <v/>
      </c>
      <c r="AD107" s="103" t="str">
        <f>'GBG Filtered'!AC101</f>
        <v/>
      </c>
      <c r="AE107" s="103" t="str">
        <f>'GBG Filtered'!AD101</f>
        <v/>
      </c>
      <c r="AF107" s="104" t="str">
        <f>'GBG Filtered'!AE101</f>
        <v/>
      </c>
    </row>
    <row r="108" ht="7.5" customHeight="1">
      <c r="A108" s="106"/>
      <c r="B108" s="107"/>
      <c r="C108" s="106"/>
      <c r="D108" s="108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</row>
  </sheetData>
  <mergeCells count="24">
    <mergeCell ref="AD1:AF1"/>
    <mergeCell ref="F2:N2"/>
    <mergeCell ref="O2:R2"/>
    <mergeCell ref="T2:W2"/>
    <mergeCell ref="P3:R3"/>
    <mergeCell ref="U3:W3"/>
    <mergeCell ref="Z3:AC3"/>
    <mergeCell ref="Z4:AC4"/>
    <mergeCell ref="Z5:AC6"/>
    <mergeCell ref="AD5:AD6"/>
    <mergeCell ref="AE5:AF6"/>
    <mergeCell ref="C7:E7"/>
    <mergeCell ref="F7:K7"/>
    <mergeCell ref="O7:R7"/>
    <mergeCell ref="T7:W7"/>
    <mergeCell ref="Z7:AA7"/>
    <mergeCell ref="AB7:AC7"/>
    <mergeCell ref="B1:E1"/>
    <mergeCell ref="C4:D4"/>
    <mergeCell ref="F4:H4"/>
    <mergeCell ref="I4:N4"/>
    <mergeCell ref="P4:R4"/>
    <mergeCell ref="U4:W4"/>
    <mergeCell ref="C5:W6"/>
  </mergeCells>
  <conditionalFormatting sqref="F8:K107">
    <cfRule type="notContainsBlanks" dxfId="2" priority="1">
      <formula>LEN(TRIM(F8))&gt;0</formula>
    </cfRule>
  </conditionalFormatting>
  <conditionalFormatting sqref="N8:N57 O8:R107">
    <cfRule type="notContainsBlanks" dxfId="3" priority="2">
      <formula>LEN(TRIM(N8))&gt;0</formula>
    </cfRule>
  </conditionalFormatting>
  <conditionalFormatting sqref="Q8:R107">
    <cfRule type="notContainsBlanks" dxfId="4" priority="3">
      <formula>LEN(TRIM(Q8))&gt;0</formula>
    </cfRule>
  </conditionalFormatting>
  <conditionalFormatting sqref="T8:W107">
    <cfRule type="notContainsBlanks" dxfId="3" priority="4">
      <formula>LEN(TRIM(T8))&gt;0</formula>
    </cfRule>
  </conditionalFormatting>
  <conditionalFormatting sqref="V8:W107">
    <cfRule type="notContainsBlanks" dxfId="2" priority="5">
      <formula>LEN(TRIM(V8))&gt;0</formula>
    </cfRule>
  </conditionalFormatting>
  <conditionalFormatting sqref="C8:E107">
    <cfRule type="cellIs" dxfId="4" priority="6" operator="equal">
      <formula>"Win"</formula>
    </cfRule>
  </conditionalFormatting>
  <conditionalFormatting sqref="C8:E107">
    <cfRule type="cellIs" dxfId="5" priority="7" operator="equal">
      <formula>"Loss"</formula>
    </cfRule>
  </conditionalFormatting>
  <conditionalFormatting sqref="AE8:AE107">
    <cfRule type="expression" dxfId="4" priority="8">
      <formula>C8:C107="Win"</formula>
    </cfRule>
  </conditionalFormatting>
  <conditionalFormatting sqref="AE8:AE107">
    <cfRule type="expression" dxfId="5" priority="9">
      <formula>C8:C107="Loss"</formula>
    </cfRule>
  </conditionalFormatting>
  <dataValidations>
    <dataValidation type="list" allowBlank="1" showErrorMessage="1" sqref="I4 U3:U4">
      <formula1>OpponentData!$C$1:$C$202</formula1>
    </dataValidation>
    <dataValidation type="list" allowBlank="1" showErrorMessage="1" sqref="E4">
      <formula1>ResultsDropdown</formula1>
    </dataValidation>
    <dataValidation type="list" allowBlank="1" showErrorMessage="1" sqref="P3:P4 Z4">
      <formula1>PlayerMonsDropDown</formula1>
    </dataValidation>
    <dataValidation type="list" allowBlank="1" showErrorMessage="1" sqref="AD4">
      <formula1>OTSDropDown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1.13"/>
    <col customWidth="1" min="3" max="3" width="2.13"/>
    <col customWidth="1" min="4" max="4" width="14.75"/>
    <col customWidth="1" min="5" max="5" width="112.13"/>
  </cols>
  <sheetData>
    <row r="1">
      <c r="A1" s="17" t="s">
        <v>71</v>
      </c>
      <c r="B1" s="63" t="str">
        <f>'Game By Game'!E4</f>
        <v>-any-</v>
      </c>
      <c r="D1" s="17" t="s">
        <v>72</v>
      </c>
      <c r="E1" s="109" t="str">
        <f>IF(B1&lt;&gt;"-any-", "AND Col2 = '"&amp;B1&amp;"'", "")</f>
        <v/>
      </c>
    </row>
    <row r="2">
      <c r="A2" s="17" t="s">
        <v>73</v>
      </c>
      <c r="B2" s="17" t="str">
        <f>'Game By Game'!I4</f>
        <v>-any-</v>
      </c>
      <c r="D2" s="17" t="s">
        <v>74</v>
      </c>
      <c r="E2" s="109" t="str">
        <f>IF(B2 &lt;&gt; "-any-", " AND (Col5 = '"&amp;B2&amp;"' OR Col6 = '"&amp;B2&amp;"' OR Col7 = '"&amp;B2&amp;"' OR Col8 = '"&amp;B2&amp;"' OR Col9 = '"&amp;B2&amp;"' OR Col10 = '"&amp;B2&amp;"')", "")</f>
        <v/>
      </c>
    </row>
    <row r="3">
      <c r="A3" s="17" t="s">
        <v>75</v>
      </c>
      <c r="B3" s="110" t="str">
        <f>'Game By Game'!U3</f>
        <v>-any-</v>
      </c>
      <c r="D3" s="17" t="s">
        <v>76</v>
      </c>
      <c r="E3" s="111" t="str">
        <f>IF(B3 &lt;&gt; "-any-", " AND (Col19 = '"&amp;B3&amp;"' OR Col20 = '"&amp;B3&amp;"')", "")</f>
        <v/>
      </c>
    </row>
    <row r="4">
      <c r="A4" s="17" t="s">
        <v>77</v>
      </c>
      <c r="B4" s="110" t="str">
        <f>'Game By Game'!U4</f>
        <v>-any-</v>
      </c>
      <c r="D4" s="17" t="s">
        <v>78</v>
      </c>
      <c r="E4" s="111" t="str">
        <f>IF(B4 &lt;&gt; "-any-", " AND (Col21 = '"&amp;B4&amp;"' OR Col22 = '"&amp;B4&amp;"')", "")</f>
        <v/>
      </c>
    </row>
    <row r="5">
      <c r="A5" s="17" t="s">
        <v>79</v>
      </c>
      <c r="D5" s="17" t="s">
        <v>80</v>
      </c>
      <c r="E5" s="111" t="str">
        <f>IF(B5&lt;&gt;"", " AND (Col14 = '"&amp;B5&amp;"' OR Col15 = '"&amp;B5&amp;"' OR Col16 = '"&amp;B5&amp;"' OR Col17 = '"&amp;B5&amp;"')", "")</f>
        <v/>
      </c>
    </row>
    <row r="6">
      <c r="A6" s="17" t="s">
        <v>81</v>
      </c>
      <c r="B6" s="63" t="str">
        <f>'Game By Game'!P3</f>
        <v>-any-</v>
      </c>
      <c r="D6" s="17" t="s">
        <v>82</v>
      </c>
      <c r="E6" s="111" t="str">
        <f>IF(B6 &lt;&gt; "-any-", " AND (Col14 = '"&amp;B6&amp;"' OR Col15 = '"&amp;B6&amp;"')", "")</f>
        <v/>
      </c>
    </row>
    <row r="7">
      <c r="A7" s="17" t="s">
        <v>83</v>
      </c>
      <c r="B7" s="63" t="str">
        <f>'Game By Game'!P4</f>
        <v>-any-</v>
      </c>
      <c r="D7" s="17" t="s">
        <v>84</v>
      </c>
      <c r="E7" s="111" t="str">
        <f>IF(B7 &lt;&gt; "-any-", " AND (Col16 = '"&amp;B7&amp;"' OR Col17 = '"&amp;B7&amp;"')", "")</f>
        <v/>
      </c>
    </row>
    <row r="8">
      <c r="A8" s="17" t="s">
        <v>85</v>
      </c>
      <c r="B8" s="63" t="str">
        <f>'Game By Game'!Z4</f>
        <v>-any-</v>
      </c>
      <c r="D8" s="17" t="s">
        <v>86</v>
      </c>
      <c r="E8" s="111" t="str">
        <f>IF(B8&lt;&gt;"-any-", " AND Col25 = '"&amp;B8&amp;"'", "")</f>
        <v/>
      </c>
    </row>
    <row r="9">
      <c r="A9" s="17" t="s">
        <v>87</v>
      </c>
      <c r="B9" s="63" t="str">
        <f>'Game By Game'!AD4</f>
        <v>-any-</v>
      </c>
      <c r="D9" s="17" t="s">
        <v>88</v>
      </c>
      <c r="E9" s="111" t="str">
        <f>IF(B10&lt;&gt;"-any-", " AND Col29 = '"&amp;B10&amp;"'", "")</f>
        <v/>
      </c>
    </row>
    <row r="10">
      <c r="A10" s="17" t="s">
        <v>89</v>
      </c>
      <c r="B10" s="63" t="str">
        <f>IF(B9 = "OTS", "YES", IF(B9 = "CTS", "", "-any-"))</f>
        <v>-any-</v>
      </c>
    </row>
    <row r="11">
      <c r="A11" s="17" t="s">
        <v>30</v>
      </c>
    </row>
    <row r="12">
      <c r="A12" s="17" t="s">
        <v>90</v>
      </c>
    </row>
    <row r="13">
      <c r="A13" s="17" t="s">
        <v>91</v>
      </c>
    </row>
    <row r="15">
      <c r="A15" s="17" t="s">
        <v>30</v>
      </c>
    </row>
    <row r="16">
      <c r="A16" s="17" t="s">
        <v>92</v>
      </c>
    </row>
    <row r="17">
      <c r="A17" s="17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6.75"/>
    <col customWidth="1" min="4" max="4" width="3.25"/>
    <col customWidth="1" min="5" max="5" width="10.13"/>
    <col customWidth="1" min="6" max="6" width="14.25"/>
    <col customWidth="1" min="7" max="7" width="11.63"/>
    <col customWidth="1" min="8" max="8" width="10.38"/>
    <col customWidth="1" min="9" max="9" width="14.13"/>
    <col customWidth="1" min="10" max="10" width="10.88"/>
    <col customWidth="1" min="11" max="11" width="13.13"/>
    <col customWidth="1" min="12" max="12" width="1.13"/>
    <col customWidth="1" min="13" max="14" width="1.38"/>
    <col customWidth="1" min="15" max="15" width="10.38"/>
    <col customWidth="1" min="16" max="18" width="16.0"/>
    <col customWidth="1" min="19" max="19" width="1.88"/>
    <col customWidth="1" min="20" max="20" width="11.75"/>
    <col customWidth="1" min="21" max="21" width="11.88"/>
    <col customWidth="1" min="22" max="23" width="16.0"/>
    <col customWidth="1" min="24" max="24" width="1.13"/>
    <col customWidth="1" min="25" max="25" width="1.25"/>
    <col customWidth="1" min="26" max="26" width="16.0"/>
    <col customWidth="1" min="27" max="27" width="12.63"/>
    <col customWidth="1" min="28" max="28" width="16.0"/>
    <col customWidth="1" min="29" max="29" width="11.0"/>
    <col customWidth="1" min="30" max="30" width="5.75"/>
    <col customWidth="1" min="31" max="32" width="12.13"/>
  </cols>
  <sheetData>
    <row r="1">
      <c r="A1" s="112"/>
      <c r="B1" s="112" t="s">
        <v>94</v>
      </c>
      <c r="C1" s="112" t="s">
        <v>59</v>
      </c>
      <c r="D1" s="112" t="s">
        <v>95</v>
      </c>
      <c r="E1" s="113" t="s">
        <v>96</v>
      </c>
      <c r="F1" s="113" t="s">
        <v>97</v>
      </c>
      <c r="G1" s="113" t="s">
        <v>98</v>
      </c>
      <c r="H1" s="113" t="s">
        <v>99</v>
      </c>
      <c r="I1" s="113" t="s">
        <v>100</v>
      </c>
      <c r="J1" s="113" t="s">
        <v>101</v>
      </c>
      <c r="K1" s="113" t="s">
        <v>102</v>
      </c>
      <c r="L1" s="114"/>
      <c r="M1" s="114"/>
      <c r="N1" s="114"/>
      <c r="O1" s="113" t="s">
        <v>103</v>
      </c>
      <c r="P1" s="113" t="s">
        <v>104</v>
      </c>
      <c r="Q1" s="113" t="s">
        <v>105</v>
      </c>
      <c r="R1" s="113" t="s">
        <v>106</v>
      </c>
      <c r="S1" s="114"/>
      <c r="T1" s="113" t="s">
        <v>107</v>
      </c>
      <c r="U1" s="113" t="s">
        <v>108</v>
      </c>
      <c r="V1" s="113" t="s">
        <v>109</v>
      </c>
      <c r="W1" s="113" t="s">
        <v>110</v>
      </c>
      <c r="X1" s="114"/>
      <c r="Y1" s="114"/>
      <c r="Z1" s="113" t="s">
        <v>111</v>
      </c>
      <c r="AA1" s="113" t="s">
        <v>112</v>
      </c>
      <c r="AB1" s="113" t="s">
        <v>113</v>
      </c>
      <c r="AC1" s="113" t="s">
        <v>114</v>
      </c>
      <c r="AD1" s="113" t="s">
        <v>92</v>
      </c>
      <c r="AE1" s="113" t="s">
        <v>64</v>
      </c>
      <c r="AF1" s="113" t="s">
        <v>115</v>
      </c>
    </row>
    <row r="2" ht="24.0" customHeight="1">
      <c r="A2" s="115"/>
      <c r="B2" s="115">
        <f>IF(HomePage!C14 &lt;&gt; "", HomePage!B14, "")</f>
        <v>1</v>
      </c>
      <c r="C2" s="116" t="str">
        <f>'Base Data'!DW3</f>
        <v>Loss</v>
      </c>
      <c r="D2" s="116" t="str">
        <f>IF(HomePage!C14 &lt;&gt; "", "vs", "")</f>
        <v>vs</v>
      </c>
      <c r="E2" s="117" t="str">
        <f>'Base Data'!DP3</f>
        <v>DoByG</v>
      </c>
      <c r="F2" s="118" t="str">
        <f>'Base Data'!DQ3</f>
        <v>Clefable</v>
      </c>
      <c r="G2" s="118" t="str">
        <f>'Base Data'!DR3</f>
        <v>Exeggutor</v>
      </c>
      <c r="H2" s="118" t="str">
        <f>'Base Data'!DS3</f>
        <v>Snorlax</v>
      </c>
      <c r="I2" s="118" t="str">
        <f>'Base Data'!DT3</f>
        <v>Dragonite</v>
      </c>
      <c r="J2" s="118" t="str">
        <f>'Base Data'!DU3</f>
        <v>Gyarados</v>
      </c>
      <c r="K2" s="118" t="str">
        <f>'Base Data'!DV3</f>
        <v>Hitmonlee</v>
      </c>
      <c r="L2" s="118"/>
      <c r="M2" s="118"/>
      <c r="N2" s="118"/>
      <c r="O2" s="118" t="str">
        <f>'Base Data'!CX3</f>
        <v>Alcremie-Matcha-Cream</v>
      </c>
      <c r="P2" s="118" t="str">
        <f>'Base Data'!CY3</f>
        <v>Skeledirge</v>
      </c>
      <c r="Q2" s="118" t="str">
        <f>'Base Data'!CV3</f>
        <v>Salamence</v>
      </c>
      <c r="R2" s="118" t="str">
        <f>'Base Data'!CW3</f>
        <v>Weavile</v>
      </c>
      <c r="S2" s="118"/>
      <c r="T2" s="118" t="str">
        <f>'Base Data'!CZ3</f>
        <v>Hitmonlee</v>
      </c>
      <c r="U2" s="118" t="str">
        <f>'Base Data'!DA3</f>
        <v>Gyarados</v>
      </c>
      <c r="V2" s="118" t="str">
        <f>'Base Data'!DB3</f>
        <v>Clefable</v>
      </c>
      <c r="W2" s="118" t="str">
        <f>'Base Data'!DC3</f>
        <v>Dragonite</v>
      </c>
      <c r="X2" s="118"/>
      <c r="Y2" s="118"/>
      <c r="Z2" s="118" t="str">
        <f>'Base Data'!DE3</f>
        <v>Skeledirge</v>
      </c>
      <c r="AA2" s="118" t="str">
        <f>'Base Data'!DF3</f>
        <v>Grass</v>
      </c>
      <c r="AB2" s="118" t="str">
        <f>'Base Data'!DG3</f>
        <v>Gyarados</v>
      </c>
      <c r="AC2" s="118" t="str">
        <f>'Base Data'!DH3</f>
        <v>Flying</v>
      </c>
      <c r="AD2" s="119" t="str">
        <f>IF('Base Data'!Y3 = "ots", "YES", "")</f>
        <v/>
      </c>
      <c r="AE2" s="119" t="str">
        <f>SWITCH('Base Data'!EE3, "? -&gt; ?", "pending", "--- -&gt; ---", "unranked", " -&gt; ", "", 'Base Data'!EE3)</f>
        <v>1032 -&gt; 1017</v>
      </c>
      <c r="AF2" s="119" t="str">
        <f>IF(AND('Base Data'!EF3 &lt;&gt; "",'Base Data'!EF3 &lt;&gt; "?",'Base Data'!EF3 &lt;&gt; "---"), 'Base Data'!EF3, "")</f>
        <v>1037</v>
      </c>
    </row>
    <row r="3" ht="24.0" customHeight="1">
      <c r="A3" s="115"/>
      <c r="B3" s="115">
        <f>IF(HomePage!C15 &lt;&gt; "", HomePage!B15, "")</f>
        <v>2</v>
      </c>
      <c r="C3" s="116" t="str">
        <f>'Base Data'!DW4</f>
        <v>Loss</v>
      </c>
      <c r="D3" s="116" t="str">
        <f>IF(HomePage!C15 &lt;&gt; "", "vs", "")</f>
        <v>vs</v>
      </c>
      <c r="E3" s="117" t="str">
        <f>'Base Data'!DP4</f>
        <v>diogo10egas</v>
      </c>
      <c r="F3" s="118" t="str">
        <f>'Base Data'!DQ4</f>
        <v>Annihilape</v>
      </c>
      <c r="G3" s="118" t="str">
        <f>'Base Data'!DR4</f>
        <v>Maushold</v>
      </c>
      <c r="H3" s="118" t="str">
        <f>'Base Data'!DS4</f>
        <v>Pelipper</v>
      </c>
      <c r="I3" s="118" t="str">
        <f>'Base Data'!DT4</f>
        <v>Archaludon</v>
      </c>
      <c r="J3" s="118" t="str">
        <f>'Base Data'!DU4</f>
        <v>Ogerpon-Wellspring</v>
      </c>
      <c r="K3" s="118" t="str">
        <f>'Base Data'!DV4</f>
        <v>Umbreon</v>
      </c>
      <c r="L3" s="118"/>
      <c r="M3" s="118"/>
      <c r="N3" s="118"/>
      <c r="O3" s="118" t="str">
        <f>'Base Data'!CX4</f>
        <v>Alcremie-Matcha-Cream</v>
      </c>
      <c r="P3" s="118" t="str">
        <f>'Base Data'!CY4</f>
        <v>Salamence</v>
      </c>
      <c r="Q3" s="118" t="str">
        <f>'Base Data'!CV4</f>
        <v>Gholdengo</v>
      </c>
      <c r="R3" s="118" t="str">
        <f>'Base Data'!CW4</f>
        <v>Weavile</v>
      </c>
      <c r="S3" s="118"/>
      <c r="T3" s="118" t="str">
        <f>'Base Data'!CZ4</f>
        <v>Annihilape</v>
      </c>
      <c r="U3" s="118" t="str">
        <f>'Base Data'!DA4</f>
        <v>Umbreon</v>
      </c>
      <c r="V3" s="118" t="str">
        <f>'Base Data'!DB4</f>
        <v>Archaludon</v>
      </c>
      <c r="W3" s="118" t="str">
        <f>'Base Data'!DC4</f>
        <v>Ogerpon-Wellspring</v>
      </c>
      <c r="X3" s="118"/>
      <c r="Y3" s="118"/>
      <c r="Z3" s="118" t="str">
        <f>'Base Data'!DE4</f>
        <v>Gholdengo</v>
      </c>
      <c r="AA3" s="118" t="str">
        <f>'Base Data'!DF4</f>
        <v>Steel</v>
      </c>
      <c r="AB3" s="118" t="str">
        <f>'Base Data'!DG4</f>
        <v>Umbreon</v>
      </c>
      <c r="AC3" s="118" t="str">
        <f>'Base Data'!DH4</f>
        <v>Fairy</v>
      </c>
      <c r="AD3" s="119" t="str">
        <f>IF('Base Data'!Y4 = "ots", "YES", "")</f>
        <v/>
      </c>
      <c r="AE3" s="119" t="str">
        <f>SWITCH('Base Data'!EE4, "? -&gt; ?", "pending", "--- -&gt; ---", "unranked", " -&gt; ", "", 'Base Data'!EE4)</f>
        <v>1017 -&gt; 1007</v>
      </c>
      <c r="AF3" s="119" t="str">
        <f>IF(AND('Base Data'!EF4 &lt;&gt; "",'Base Data'!EF4 &lt;&gt; "?",'Base Data'!EF4 &lt;&gt; "---"), 'Base Data'!EF4, "")</f>
        <v>1076</v>
      </c>
    </row>
    <row r="4" ht="24.0" customHeight="1">
      <c r="A4" s="115"/>
      <c r="B4" s="115">
        <f>IF(HomePage!C16 &lt;&gt; "", HomePage!B16, "")</f>
        <v>3</v>
      </c>
      <c r="C4" s="116" t="str">
        <f>'Base Data'!DW5</f>
        <v>Loss</v>
      </c>
      <c r="D4" s="116" t="str">
        <f>IF(HomePage!C16 &lt;&gt; "", "vs", "")</f>
        <v>vs</v>
      </c>
      <c r="E4" s="117" t="str">
        <f>'Base Data'!DP5</f>
        <v>Larateamo</v>
      </c>
      <c r="F4" s="118" t="str">
        <f>'Base Data'!DQ5</f>
        <v>Chien-Pao</v>
      </c>
      <c r="G4" s="118" t="str">
        <f>'Base Data'!DR5</f>
        <v>Urshifu-*</v>
      </c>
      <c r="H4" s="118" t="str">
        <f>'Base Data'!DS5</f>
        <v>Raging Bolt</v>
      </c>
      <c r="I4" s="118" t="str">
        <f>'Base Data'!DT5</f>
        <v>Incineroar</v>
      </c>
      <c r="J4" s="118" t="str">
        <f>'Base Data'!DU5</f>
        <v>Amoonguss</v>
      </c>
      <c r="K4" s="118" t="str">
        <f>'Base Data'!DV5</f>
        <v>Gholdengo</v>
      </c>
      <c r="L4" s="118"/>
      <c r="M4" s="118"/>
      <c r="N4" s="118"/>
      <c r="O4" s="118" t="str">
        <f>'Base Data'!CX5</f>
        <v>Alcremie-Matcha-Cream</v>
      </c>
      <c r="P4" s="118" t="str">
        <f>'Base Data'!CY5</f>
        <v>Skeledirge</v>
      </c>
      <c r="Q4" s="118" t="str">
        <f>'Base Data'!CV5</f>
        <v>Exeggutor-Alola</v>
      </c>
      <c r="R4" s="118" t="str">
        <f>'Base Data'!CW5</f>
        <v>Weavile</v>
      </c>
      <c r="S4" s="118"/>
      <c r="T4" s="118" t="str">
        <f>'Base Data'!CZ5</f>
        <v>Raging Bolt</v>
      </c>
      <c r="U4" s="118" t="str">
        <f>'Base Data'!DA5</f>
        <v>Urshifu-Rapid-Strike</v>
      </c>
      <c r="V4" s="118" t="str">
        <f>'Base Data'!DB5</f>
        <v>Incineroar</v>
      </c>
      <c r="W4" s="118" t="str">
        <f>'Base Data'!DC5</f>
        <v>Amoonguss</v>
      </c>
      <c r="X4" s="118"/>
      <c r="Y4" s="118"/>
      <c r="Z4" s="118" t="str">
        <f>'Base Data'!DE5</f>
        <v>Skeledirge</v>
      </c>
      <c r="AA4" s="118" t="str">
        <f>'Base Data'!DF5</f>
        <v>Grass</v>
      </c>
      <c r="AB4" s="118" t="str">
        <f>'Base Data'!DG5</f>
        <v>Amoonguss</v>
      </c>
      <c r="AC4" s="118" t="str">
        <f>'Base Data'!DH5</f>
        <v>Water</v>
      </c>
      <c r="AD4" s="119" t="str">
        <f>IF('Base Data'!Y5 = "ots", "YES", "")</f>
        <v/>
      </c>
      <c r="AE4" s="119" t="str">
        <f>SWITCH('Base Data'!EE5, "? -&gt; ?", "pending", "--- -&gt; ---", "unranked", " -&gt; ", "", 'Base Data'!EE5)</f>
        <v>1007 -&gt; 1000</v>
      </c>
      <c r="AF4" s="119" t="str">
        <f>IF(AND('Base Data'!EF5 &lt;&gt; "",'Base Data'!EF5 &lt;&gt; "?",'Base Data'!EF5 &lt;&gt; "---"), 'Base Data'!EF5, "")</f>
        <v>1000</v>
      </c>
    </row>
    <row r="5" ht="24.0" customHeight="1">
      <c r="A5" s="115"/>
      <c r="B5" s="115">
        <f>IF(HomePage!C17 &lt;&gt; "", HomePage!B17, "")</f>
        <v>4</v>
      </c>
      <c r="C5" s="116" t="str">
        <f>'Base Data'!DW6</f>
        <v>Loss</v>
      </c>
      <c r="D5" s="116" t="str">
        <f>IF(HomePage!C17 &lt;&gt; "", "vs", "")</f>
        <v>vs</v>
      </c>
      <c r="E5" s="117" t="str">
        <f>'Base Data'!DP6</f>
        <v>thaoss</v>
      </c>
      <c r="F5" s="118" t="str">
        <f>'Base Data'!DQ6</f>
        <v>Incineroar</v>
      </c>
      <c r="G5" s="118" t="str">
        <f>'Base Data'!DR6</f>
        <v>Rillaboom</v>
      </c>
      <c r="H5" s="118" t="str">
        <f>'Base Data'!DS6</f>
        <v>Ursaluna-Bloodmoon</v>
      </c>
      <c r="I5" s="118" t="str">
        <f>'Base Data'!DT6</f>
        <v>Farigiraf</v>
      </c>
      <c r="J5" s="118" t="str">
        <f>'Base Data'!DU6</f>
        <v>Raging Bolt</v>
      </c>
      <c r="K5" s="118" t="str">
        <f>'Base Data'!DV6</f>
        <v>Urshifu-*</v>
      </c>
      <c r="L5" s="118"/>
      <c r="M5" s="118"/>
      <c r="N5" s="118"/>
      <c r="O5" s="118" t="str">
        <f>'Base Data'!CX6</f>
        <v>Salamence</v>
      </c>
      <c r="P5" s="118" t="str">
        <f>'Base Data'!CY6</f>
        <v>Alcremie-Matcha-Cream</v>
      </c>
      <c r="Q5" s="118" t="str">
        <f>'Base Data'!CV6</f>
        <v>Weavile</v>
      </c>
      <c r="R5" s="118" t="str">
        <f>'Base Data'!CW6</f>
        <v>Skeledirge</v>
      </c>
      <c r="S5" s="118"/>
      <c r="T5" s="118" t="str">
        <f>'Base Data'!CZ6</f>
        <v>Urshifu-Rapid-Strike</v>
      </c>
      <c r="U5" s="118" t="str">
        <f>'Base Data'!DA6</f>
        <v>Farigiraf</v>
      </c>
      <c r="V5" s="118" t="str">
        <f>'Base Data'!DB6</f>
        <v>Ursaluna-Bloodmoon</v>
      </c>
      <c r="W5" s="118" t="str">
        <f>'Base Data'!DC6</f>
        <v>Incineroar</v>
      </c>
      <c r="X5" s="118"/>
      <c r="Y5" s="118"/>
      <c r="Z5" s="118" t="str">
        <f>'Base Data'!DE6</f>
        <v>Salamence</v>
      </c>
      <c r="AA5" s="118" t="str">
        <f>'Base Data'!DF6</f>
        <v>Flying</v>
      </c>
      <c r="AB5" s="118" t="str">
        <f>'Base Data'!DG6</f>
        <v>Ursaluna-Bloodmoon</v>
      </c>
      <c r="AC5" s="118" t="str">
        <f>'Base Data'!DH6</f>
        <v>Normal</v>
      </c>
      <c r="AD5" s="119" t="str">
        <f>IF('Base Data'!Y6 = "ots", "YES", "")</f>
        <v/>
      </c>
      <c r="AE5" s="119" t="str">
        <f>SWITCH('Base Data'!EE6, "? -&gt; ?", "pending", "--- -&gt; ---", "unranked", " -&gt; ", "", 'Base Data'!EE6)</f>
        <v>1000 -&gt; 1000</v>
      </c>
      <c r="AF5" s="119" t="str">
        <f>IF(AND('Base Data'!EF6 &lt;&gt; "",'Base Data'!EF6 &lt;&gt; "?",'Base Data'!EF6 &lt;&gt; "---"), 'Base Data'!EF6, "")</f>
        <v>1000</v>
      </c>
    </row>
    <row r="6" ht="24.0" customHeight="1">
      <c r="A6" s="115"/>
      <c r="B6" s="115" t="str">
        <f>IF(HomePage!C18 &lt;&gt; "", HomePage!B18, "")</f>
        <v/>
      </c>
      <c r="C6" s="116" t="str">
        <f>'Base Data'!DW7</f>
        <v/>
      </c>
      <c r="D6" s="116" t="str">
        <f>IF(HomePage!C18 &lt;&gt; "", "vs", "")</f>
        <v/>
      </c>
      <c r="E6" s="117" t="str">
        <f>'Base Data'!DP7</f>
        <v/>
      </c>
      <c r="F6" s="118" t="str">
        <f>'Base Data'!DQ7</f>
        <v/>
      </c>
      <c r="G6" s="118" t="str">
        <f>'Base Data'!DR7</f>
        <v/>
      </c>
      <c r="H6" s="118" t="str">
        <f>'Base Data'!DS7</f>
        <v/>
      </c>
      <c r="I6" s="118" t="str">
        <f>'Base Data'!DT7</f>
        <v/>
      </c>
      <c r="J6" s="118" t="str">
        <f>'Base Data'!DU7</f>
        <v/>
      </c>
      <c r="K6" s="118" t="str">
        <f>'Base Data'!DV7</f>
        <v/>
      </c>
      <c r="L6" s="118"/>
      <c r="M6" s="118"/>
      <c r="N6" s="118"/>
      <c r="O6" s="118" t="str">
        <f>'Base Data'!CX7</f>
        <v/>
      </c>
      <c r="P6" s="118" t="str">
        <f>'Base Data'!CY7</f>
        <v/>
      </c>
      <c r="Q6" s="118" t="str">
        <f>'Base Data'!CV7</f>
        <v/>
      </c>
      <c r="R6" s="118" t="str">
        <f>'Base Data'!CW7</f>
        <v/>
      </c>
      <c r="S6" s="118"/>
      <c r="T6" s="118" t="str">
        <f>'Base Data'!CZ7</f>
        <v/>
      </c>
      <c r="U6" s="118" t="str">
        <f>'Base Data'!DA7</f>
        <v/>
      </c>
      <c r="V6" s="118" t="str">
        <f>'Base Data'!DB7</f>
        <v/>
      </c>
      <c r="W6" s="118" t="str">
        <f>'Base Data'!DC7</f>
        <v/>
      </c>
      <c r="X6" s="118"/>
      <c r="Y6" s="118"/>
      <c r="Z6" s="118" t="str">
        <f>'Base Data'!DE7</f>
        <v/>
      </c>
      <c r="AA6" s="118" t="str">
        <f>'Base Data'!DF7</f>
        <v/>
      </c>
      <c r="AB6" s="118" t="str">
        <f>'Base Data'!DG7</f>
        <v/>
      </c>
      <c r="AC6" s="118" t="str">
        <f>'Base Data'!DH7</f>
        <v/>
      </c>
      <c r="AD6" s="119" t="str">
        <f>IF('Base Data'!Y7 = "ots", "YES", "")</f>
        <v/>
      </c>
      <c r="AE6" s="119" t="str">
        <f>SWITCH('Base Data'!EE7, "? -&gt; ?", "pending", "--- -&gt; ---", "unranked", " -&gt; ", "", 'Base Data'!EE7)</f>
        <v/>
      </c>
      <c r="AF6" s="119" t="str">
        <f>IF(AND('Base Data'!EF7 &lt;&gt; "",'Base Data'!EF7 &lt;&gt; "?",'Base Data'!EF7 &lt;&gt; "---"), 'Base Data'!EF7, "")</f>
        <v/>
      </c>
    </row>
    <row r="7" ht="24.0" customHeight="1">
      <c r="A7" s="115"/>
      <c r="B7" s="115" t="str">
        <f>IF(HomePage!C19 &lt;&gt; "", HomePage!B19, "")</f>
        <v/>
      </c>
      <c r="C7" s="116" t="str">
        <f>'Base Data'!DW8</f>
        <v/>
      </c>
      <c r="D7" s="116" t="str">
        <f>IF(HomePage!C19 &lt;&gt; "", "vs", "")</f>
        <v/>
      </c>
      <c r="E7" s="117" t="str">
        <f>'Base Data'!DP8</f>
        <v/>
      </c>
      <c r="F7" s="118" t="str">
        <f>'Base Data'!DQ8</f>
        <v/>
      </c>
      <c r="G7" s="118" t="str">
        <f>'Base Data'!DR8</f>
        <v/>
      </c>
      <c r="H7" s="118" t="str">
        <f>'Base Data'!DS8</f>
        <v/>
      </c>
      <c r="I7" s="118" t="str">
        <f>'Base Data'!DT8</f>
        <v/>
      </c>
      <c r="J7" s="118" t="str">
        <f>'Base Data'!DU8</f>
        <v/>
      </c>
      <c r="K7" s="118" t="str">
        <f>'Base Data'!DV8</f>
        <v/>
      </c>
      <c r="L7" s="118"/>
      <c r="M7" s="118"/>
      <c r="N7" s="118"/>
      <c r="O7" s="118" t="str">
        <f>'Base Data'!CX8</f>
        <v/>
      </c>
      <c r="P7" s="118" t="str">
        <f>'Base Data'!CY8</f>
        <v/>
      </c>
      <c r="Q7" s="118" t="str">
        <f>'Base Data'!CV8</f>
        <v/>
      </c>
      <c r="R7" s="118" t="str">
        <f>'Base Data'!CW8</f>
        <v/>
      </c>
      <c r="S7" s="118"/>
      <c r="T7" s="118" t="str">
        <f>'Base Data'!CZ8</f>
        <v/>
      </c>
      <c r="U7" s="118" t="str">
        <f>'Base Data'!DA8</f>
        <v/>
      </c>
      <c r="V7" s="118" t="str">
        <f>'Base Data'!DB8</f>
        <v/>
      </c>
      <c r="W7" s="118" t="str">
        <f>'Base Data'!DC8</f>
        <v/>
      </c>
      <c r="X7" s="118"/>
      <c r="Y7" s="118"/>
      <c r="Z7" s="118" t="str">
        <f>'Base Data'!DE8</f>
        <v/>
      </c>
      <c r="AA7" s="118" t="str">
        <f>'Base Data'!DF8</f>
        <v/>
      </c>
      <c r="AB7" s="118" t="str">
        <f>'Base Data'!DG8</f>
        <v/>
      </c>
      <c r="AC7" s="118" t="str">
        <f>'Base Data'!DH8</f>
        <v/>
      </c>
      <c r="AD7" s="119" t="str">
        <f>IF('Base Data'!Y8 = "ots", "YES", "")</f>
        <v/>
      </c>
      <c r="AE7" s="119" t="str">
        <f>SWITCH('Base Data'!EE8, "? -&gt; ?", "pending", "--- -&gt; ---", "unranked", " -&gt; ", "", 'Base Data'!EE8)</f>
        <v/>
      </c>
      <c r="AF7" s="119" t="str">
        <f>IF(AND('Base Data'!EF8 &lt;&gt; "",'Base Data'!EF8 &lt;&gt; "?",'Base Data'!EF8 &lt;&gt; "---"), 'Base Data'!EF8, "")</f>
        <v/>
      </c>
    </row>
    <row r="8" ht="24.0" customHeight="1">
      <c r="A8" s="115"/>
      <c r="B8" s="115" t="str">
        <f>IF(HomePage!C20 &lt;&gt; "", HomePage!B20, "")</f>
        <v/>
      </c>
      <c r="C8" s="116" t="str">
        <f>'Base Data'!DW9</f>
        <v/>
      </c>
      <c r="D8" s="116" t="str">
        <f>IF(HomePage!C20 &lt;&gt; "", "vs", "")</f>
        <v/>
      </c>
      <c r="E8" s="117" t="str">
        <f>'Base Data'!DP9</f>
        <v/>
      </c>
      <c r="F8" s="118" t="str">
        <f>'Base Data'!DQ9</f>
        <v/>
      </c>
      <c r="G8" s="118" t="str">
        <f>'Base Data'!DR9</f>
        <v/>
      </c>
      <c r="H8" s="118" t="str">
        <f>'Base Data'!DS9</f>
        <v/>
      </c>
      <c r="I8" s="118" t="str">
        <f>'Base Data'!DT9</f>
        <v/>
      </c>
      <c r="J8" s="118" t="str">
        <f>'Base Data'!DU9</f>
        <v/>
      </c>
      <c r="K8" s="118" t="str">
        <f>'Base Data'!DV9</f>
        <v/>
      </c>
      <c r="L8" s="118"/>
      <c r="M8" s="118"/>
      <c r="N8" s="118"/>
      <c r="O8" s="118" t="str">
        <f>'Base Data'!CX9</f>
        <v/>
      </c>
      <c r="P8" s="118" t="str">
        <f>'Base Data'!CY9</f>
        <v/>
      </c>
      <c r="Q8" s="118" t="str">
        <f>'Base Data'!CV9</f>
        <v/>
      </c>
      <c r="R8" s="118" t="str">
        <f>'Base Data'!CW9</f>
        <v/>
      </c>
      <c r="S8" s="118"/>
      <c r="T8" s="118" t="str">
        <f>'Base Data'!CZ9</f>
        <v/>
      </c>
      <c r="U8" s="118" t="str">
        <f>'Base Data'!DA9</f>
        <v/>
      </c>
      <c r="V8" s="118" t="str">
        <f>'Base Data'!DB9</f>
        <v/>
      </c>
      <c r="W8" s="118" t="str">
        <f>'Base Data'!DC9</f>
        <v/>
      </c>
      <c r="X8" s="118"/>
      <c r="Y8" s="118"/>
      <c r="Z8" s="118" t="str">
        <f>'Base Data'!DE9</f>
        <v/>
      </c>
      <c r="AA8" s="118" t="str">
        <f>'Base Data'!DF9</f>
        <v/>
      </c>
      <c r="AB8" s="118" t="str">
        <f>'Base Data'!DG9</f>
        <v/>
      </c>
      <c r="AC8" s="118" t="str">
        <f>'Base Data'!DH9</f>
        <v/>
      </c>
      <c r="AD8" s="119" t="str">
        <f>IF('Base Data'!Y9 = "ots", "YES", "")</f>
        <v/>
      </c>
      <c r="AE8" s="119" t="str">
        <f>SWITCH('Base Data'!EE9, "? -&gt; ?", "pending", "--- -&gt; ---", "unranked", " -&gt; ", "", 'Base Data'!EE9)</f>
        <v/>
      </c>
      <c r="AF8" s="119" t="str">
        <f>IF(AND('Base Data'!EF9 &lt;&gt; "",'Base Data'!EF9 &lt;&gt; "?",'Base Data'!EF9 &lt;&gt; "---"), 'Base Data'!EF9, "")</f>
        <v/>
      </c>
    </row>
    <row r="9" ht="24.0" customHeight="1">
      <c r="A9" s="115"/>
      <c r="B9" s="115" t="str">
        <f>IF(HomePage!C21 &lt;&gt; "", HomePage!B21, "")</f>
        <v/>
      </c>
      <c r="C9" s="116" t="str">
        <f>'Base Data'!DW10</f>
        <v/>
      </c>
      <c r="D9" s="116" t="str">
        <f>IF(HomePage!C21 &lt;&gt; "", "vs", "")</f>
        <v/>
      </c>
      <c r="E9" s="117" t="str">
        <f>'Base Data'!DP10</f>
        <v/>
      </c>
      <c r="F9" s="118" t="str">
        <f>'Base Data'!DQ10</f>
        <v/>
      </c>
      <c r="G9" s="118" t="str">
        <f>'Base Data'!DR10</f>
        <v/>
      </c>
      <c r="H9" s="118" t="str">
        <f>'Base Data'!DS10</f>
        <v/>
      </c>
      <c r="I9" s="118" t="str">
        <f>'Base Data'!DT10</f>
        <v/>
      </c>
      <c r="J9" s="118" t="str">
        <f>'Base Data'!DU10</f>
        <v/>
      </c>
      <c r="K9" s="118" t="str">
        <f>'Base Data'!DV10</f>
        <v/>
      </c>
      <c r="L9" s="118"/>
      <c r="M9" s="118"/>
      <c r="N9" s="118"/>
      <c r="O9" s="118" t="str">
        <f>'Base Data'!CX10</f>
        <v/>
      </c>
      <c r="P9" s="118" t="str">
        <f>'Base Data'!CY10</f>
        <v/>
      </c>
      <c r="Q9" s="118" t="str">
        <f>'Base Data'!CV10</f>
        <v/>
      </c>
      <c r="R9" s="118" t="str">
        <f>'Base Data'!CW10</f>
        <v/>
      </c>
      <c r="S9" s="118"/>
      <c r="T9" s="118" t="str">
        <f>'Base Data'!CZ10</f>
        <v/>
      </c>
      <c r="U9" s="118" t="str">
        <f>'Base Data'!DA10</f>
        <v/>
      </c>
      <c r="V9" s="118" t="str">
        <f>'Base Data'!DB10</f>
        <v/>
      </c>
      <c r="W9" s="118" t="str">
        <f>'Base Data'!DC10</f>
        <v/>
      </c>
      <c r="X9" s="118"/>
      <c r="Y9" s="118"/>
      <c r="Z9" s="118" t="str">
        <f>'Base Data'!DE10</f>
        <v/>
      </c>
      <c r="AA9" s="118" t="str">
        <f>'Base Data'!DF10</f>
        <v/>
      </c>
      <c r="AB9" s="118" t="str">
        <f>'Base Data'!DG10</f>
        <v/>
      </c>
      <c r="AC9" s="118" t="str">
        <f>'Base Data'!DH10</f>
        <v/>
      </c>
      <c r="AD9" s="119" t="str">
        <f>IF('Base Data'!Y10 = "ots", "YES", "")</f>
        <v/>
      </c>
      <c r="AE9" s="119" t="str">
        <f>SWITCH('Base Data'!EE10, "? -&gt; ?", "pending", "--- -&gt; ---", "unranked", " -&gt; ", "", 'Base Data'!EE10)</f>
        <v/>
      </c>
      <c r="AF9" s="119" t="str">
        <f>IF(AND('Base Data'!EF10 &lt;&gt; "",'Base Data'!EF10 &lt;&gt; "?",'Base Data'!EF10 &lt;&gt; "---"), 'Base Data'!EF10, "")</f>
        <v/>
      </c>
    </row>
    <row r="10" ht="24.0" customHeight="1">
      <c r="A10" s="115"/>
      <c r="B10" s="115" t="str">
        <f>IF(HomePage!C22 &lt;&gt; "", HomePage!B22, "")</f>
        <v/>
      </c>
      <c r="C10" s="116" t="str">
        <f>'Base Data'!DW11</f>
        <v/>
      </c>
      <c r="D10" s="116" t="str">
        <f>IF(HomePage!C22 &lt;&gt; "", "vs", "")</f>
        <v/>
      </c>
      <c r="E10" s="117" t="str">
        <f>'Base Data'!DP11</f>
        <v/>
      </c>
      <c r="F10" s="118" t="str">
        <f>'Base Data'!DQ11</f>
        <v/>
      </c>
      <c r="G10" s="118" t="str">
        <f>'Base Data'!DR11</f>
        <v/>
      </c>
      <c r="H10" s="118" t="str">
        <f>'Base Data'!DS11</f>
        <v/>
      </c>
      <c r="I10" s="118" t="str">
        <f>'Base Data'!DT11</f>
        <v/>
      </c>
      <c r="J10" s="118" t="str">
        <f>'Base Data'!DU11</f>
        <v/>
      </c>
      <c r="K10" s="118" t="str">
        <f>'Base Data'!DV11</f>
        <v/>
      </c>
      <c r="L10" s="118"/>
      <c r="M10" s="118"/>
      <c r="N10" s="118"/>
      <c r="O10" s="118" t="str">
        <f>'Base Data'!CX11</f>
        <v/>
      </c>
      <c r="P10" s="118" t="str">
        <f>'Base Data'!CY11</f>
        <v/>
      </c>
      <c r="Q10" s="118" t="str">
        <f>'Base Data'!CV11</f>
        <v/>
      </c>
      <c r="R10" s="118" t="str">
        <f>'Base Data'!CW11</f>
        <v/>
      </c>
      <c r="S10" s="118"/>
      <c r="T10" s="118" t="str">
        <f>'Base Data'!CZ11</f>
        <v/>
      </c>
      <c r="U10" s="118" t="str">
        <f>'Base Data'!DA11</f>
        <v/>
      </c>
      <c r="V10" s="118" t="str">
        <f>'Base Data'!DB11</f>
        <v/>
      </c>
      <c r="W10" s="118" t="str">
        <f>'Base Data'!DC11</f>
        <v/>
      </c>
      <c r="X10" s="118"/>
      <c r="Y10" s="118"/>
      <c r="Z10" s="118" t="str">
        <f>'Base Data'!DE11</f>
        <v/>
      </c>
      <c r="AA10" s="118" t="str">
        <f>'Base Data'!DF11</f>
        <v/>
      </c>
      <c r="AB10" s="118" t="str">
        <f>'Base Data'!DG11</f>
        <v/>
      </c>
      <c r="AC10" s="118" t="str">
        <f>'Base Data'!DH11</f>
        <v/>
      </c>
      <c r="AD10" s="119" t="str">
        <f>IF('Base Data'!Y11 = "ots", "YES", "")</f>
        <v/>
      </c>
      <c r="AE10" s="119" t="str">
        <f>SWITCH('Base Data'!EE11, "? -&gt; ?", "pending", "--- -&gt; ---", "unranked", " -&gt; ", "", 'Base Data'!EE11)</f>
        <v/>
      </c>
      <c r="AF10" s="119" t="str">
        <f>IF(AND('Base Data'!EF11 &lt;&gt; "",'Base Data'!EF11 &lt;&gt; "?",'Base Data'!EF11 &lt;&gt; "---"), 'Base Data'!EF11, "")</f>
        <v/>
      </c>
    </row>
    <row r="11" ht="24.0" customHeight="1">
      <c r="A11" s="115"/>
      <c r="B11" s="115" t="str">
        <f>IF(HomePage!C23 &lt;&gt; "", HomePage!B23, "")</f>
        <v/>
      </c>
      <c r="C11" s="116" t="str">
        <f>'Base Data'!DW12</f>
        <v/>
      </c>
      <c r="D11" s="116" t="str">
        <f>IF(HomePage!C23 &lt;&gt; "", "vs", "")</f>
        <v/>
      </c>
      <c r="E11" s="117" t="str">
        <f>'Base Data'!DP12</f>
        <v/>
      </c>
      <c r="F11" s="118" t="str">
        <f>'Base Data'!DQ12</f>
        <v/>
      </c>
      <c r="G11" s="118" t="str">
        <f>'Base Data'!DR12</f>
        <v/>
      </c>
      <c r="H11" s="118" t="str">
        <f>'Base Data'!DS12</f>
        <v/>
      </c>
      <c r="I11" s="118" t="str">
        <f>'Base Data'!DT12</f>
        <v/>
      </c>
      <c r="J11" s="118" t="str">
        <f>'Base Data'!DU12</f>
        <v/>
      </c>
      <c r="K11" s="118" t="str">
        <f>'Base Data'!DV12</f>
        <v/>
      </c>
      <c r="L11" s="118"/>
      <c r="M11" s="118"/>
      <c r="N11" s="118"/>
      <c r="O11" s="118" t="str">
        <f>'Base Data'!CX12</f>
        <v/>
      </c>
      <c r="P11" s="118" t="str">
        <f>'Base Data'!CY12</f>
        <v/>
      </c>
      <c r="Q11" s="118" t="str">
        <f>'Base Data'!CV12</f>
        <v/>
      </c>
      <c r="R11" s="118" t="str">
        <f>'Base Data'!CW12</f>
        <v/>
      </c>
      <c r="S11" s="118"/>
      <c r="T11" s="118" t="str">
        <f>'Base Data'!CZ12</f>
        <v/>
      </c>
      <c r="U11" s="118" t="str">
        <f>'Base Data'!DA12</f>
        <v/>
      </c>
      <c r="V11" s="118" t="str">
        <f>'Base Data'!DB12</f>
        <v/>
      </c>
      <c r="W11" s="118" t="str">
        <f>'Base Data'!DC12</f>
        <v/>
      </c>
      <c r="X11" s="118"/>
      <c r="Y11" s="118"/>
      <c r="Z11" s="118" t="str">
        <f>'Base Data'!DE12</f>
        <v/>
      </c>
      <c r="AA11" s="118" t="str">
        <f>'Base Data'!DF12</f>
        <v/>
      </c>
      <c r="AB11" s="118" t="str">
        <f>'Base Data'!DG12</f>
        <v/>
      </c>
      <c r="AC11" s="118" t="str">
        <f>'Base Data'!DH12</f>
        <v/>
      </c>
      <c r="AD11" s="119" t="str">
        <f>IF('Base Data'!Y12 = "ots", "YES", "")</f>
        <v/>
      </c>
      <c r="AE11" s="119" t="str">
        <f>SWITCH('Base Data'!EE12, "? -&gt; ?", "pending", "--- -&gt; ---", "unranked", " -&gt; ", "", 'Base Data'!EE12)</f>
        <v/>
      </c>
      <c r="AF11" s="119" t="str">
        <f>IF(AND('Base Data'!EF12 &lt;&gt; "",'Base Data'!EF12 &lt;&gt; "?",'Base Data'!EF12 &lt;&gt; "---"), 'Base Data'!EF12, "")</f>
        <v/>
      </c>
    </row>
    <row r="12" ht="24.0" customHeight="1">
      <c r="A12" s="115"/>
      <c r="B12" s="115" t="str">
        <f>IF(HomePage!C24 &lt;&gt; "", HomePage!B24, "")</f>
        <v/>
      </c>
      <c r="C12" s="116" t="str">
        <f>'Base Data'!DW13</f>
        <v/>
      </c>
      <c r="D12" s="116" t="str">
        <f>IF(HomePage!C24 &lt;&gt; "", "vs", "")</f>
        <v/>
      </c>
      <c r="E12" s="117" t="str">
        <f>'Base Data'!DP13</f>
        <v/>
      </c>
      <c r="F12" s="118" t="str">
        <f>'Base Data'!DQ13</f>
        <v/>
      </c>
      <c r="G12" s="118" t="str">
        <f>'Base Data'!DR13</f>
        <v/>
      </c>
      <c r="H12" s="118" t="str">
        <f>'Base Data'!DS13</f>
        <v/>
      </c>
      <c r="I12" s="118" t="str">
        <f>'Base Data'!DT13</f>
        <v/>
      </c>
      <c r="J12" s="118" t="str">
        <f>'Base Data'!DU13</f>
        <v/>
      </c>
      <c r="K12" s="118" t="str">
        <f>'Base Data'!DV13</f>
        <v/>
      </c>
      <c r="L12" s="118"/>
      <c r="M12" s="118"/>
      <c r="N12" s="118"/>
      <c r="O12" s="118" t="str">
        <f>'Base Data'!CX13</f>
        <v/>
      </c>
      <c r="P12" s="118" t="str">
        <f>'Base Data'!CY13</f>
        <v/>
      </c>
      <c r="Q12" s="118" t="str">
        <f>'Base Data'!CV13</f>
        <v/>
      </c>
      <c r="R12" s="118" t="str">
        <f>'Base Data'!CW13</f>
        <v/>
      </c>
      <c r="S12" s="118"/>
      <c r="T12" s="118" t="str">
        <f>'Base Data'!CZ13</f>
        <v/>
      </c>
      <c r="U12" s="118" t="str">
        <f>'Base Data'!DA13</f>
        <v/>
      </c>
      <c r="V12" s="118" t="str">
        <f>'Base Data'!DB13</f>
        <v/>
      </c>
      <c r="W12" s="118" t="str">
        <f>'Base Data'!DC13</f>
        <v/>
      </c>
      <c r="X12" s="118"/>
      <c r="Y12" s="118"/>
      <c r="Z12" s="118" t="str">
        <f>'Base Data'!DE13</f>
        <v/>
      </c>
      <c r="AA12" s="118" t="str">
        <f>'Base Data'!DF13</f>
        <v/>
      </c>
      <c r="AB12" s="118" t="str">
        <f>'Base Data'!DG13</f>
        <v/>
      </c>
      <c r="AC12" s="118" t="str">
        <f>'Base Data'!DH13</f>
        <v/>
      </c>
      <c r="AD12" s="119" t="str">
        <f>IF('Base Data'!Y13 = "ots", "YES", "")</f>
        <v/>
      </c>
      <c r="AE12" s="119" t="str">
        <f>SWITCH('Base Data'!EE13, "? -&gt; ?", "pending", "--- -&gt; ---", "unranked", " -&gt; ", "", 'Base Data'!EE13)</f>
        <v/>
      </c>
      <c r="AF12" s="119" t="str">
        <f>IF(AND('Base Data'!EF13 &lt;&gt; "",'Base Data'!EF13 &lt;&gt; "?",'Base Data'!EF13 &lt;&gt; "---"), 'Base Data'!EF13, "")</f>
        <v/>
      </c>
    </row>
    <row r="13" ht="24.0" customHeight="1">
      <c r="A13" s="115"/>
      <c r="B13" s="115" t="str">
        <f>IF(HomePage!C25 &lt;&gt; "", HomePage!B25, "")</f>
        <v/>
      </c>
      <c r="C13" s="116" t="str">
        <f>'Base Data'!DW14</f>
        <v/>
      </c>
      <c r="D13" s="116" t="str">
        <f>IF(HomePage!C25 &lt;&gt; "", "vs", "")</f>
        <v/>
      </c>
      <c r="E13" s="117" t="str">
        <f>'Base Data'!DP14</f>
        <v/>
      </c>
      <c r="F13" s="118" t="str">
        <f>'Base Data'!DQ14</f>
        <v/>
      </c>
      <c r="G13" s="118" t="str">
        <f>'Base Data'!DR14</f>
        <v/>
      </c>
      <c r="H13" s="118" t="str">
        <f>'Base Data'!DS14</f>
        <v/>
      </c>
      <c r="I13" s="118" t="str">
        <f>'Base Data'!DT14</f>
        <v/>
      </c>
      <c r="J13" s="118" t="str">
        <f>'Base Data'!DU14</f>
        <v/>
      </c>
      <c r="K13" s="118" t="str">
        <f>'Base Data'!DV14</f>
        <v/>
      </c>
      <c r="L13" s="118"/>
      <c r="M13" s="118"/>
      <c r="N13" s="118"/>
      <c r="O13" s="118" t="str">
        <f>'Base Data'!CX14</f>
        <v/>
      </c>
      <c r="P13" s="118" t="str">
        <f>'Base Data'!CY14</f>
        <v/>
      </c>
      <c r="Q13" s="118" t="str">
        <f>'Base Data'!CV14</f>
        <v/>
      </c>
      <c r="R13" s="118" t="str">
        <f>'Base Data'!CW14</f>
        <v/>
      </c>
      <c r="S13" s="118"/>
      <c r="T13" s="118" t="str">
        <f>'Base Data'!CZ14</f>
        <v/>
      </c>
      <c r="U13" s="118" t="str">
        <f>'Base Data'!DA14</f>
        <v/>
      </c>
      <c r="V13" s="118" t="str">
        <f>'Base Data'!DB14</f>
        <v/>
      </c>
      <c r="W13" s="118" t="str">
        <f>'Base Data'!DC14</f>
        <v/>
      </c>
      <c r="X13" s="118"/>
      <c r="Y13" s="118"/>
      <c r="Z13" s="118" t="str">
        <f>'Base Data'!DE14</f>
        <v/>
      </c>
      <c r="AA13" s="118" t="str">
        <f>'Base Data'!DF14</f>
        <v/>
      </c>
      <c r="AB13" s="118" t="str">
        <f>'Base Data'!DG14</f>
        <v/>
      </c>
      <c r="AC13" s="118" t="str">
        <f>'Base Data'!DH14</f>
        <v/>
      </c>
      <c r="AD13" s="119" t="str">
        <f>IF('Base Data'!Y14 = "ots", "YES", "")</f>
        <v/>
      </c>
      <c r="AE13" s="119" t="str">
        <f>SWITCH('Base Data'!EE14, "? -&gt; ?", "pending", "--- -&gt; ---", "unranked", " -&gt; ", "", 'Base Data'!EE14)</f>
        <v/>
      </c>
      <c r="AF13" s="119" t="str">
        <f>IF(AND('Base Data'!EF14 &lt;&gt; "",'Base Data'!EF14 &lt;&gt; "?",'Base Data'!EF14 &lt;&gt; "---"), 'Base Data'!EF14, "")</f>
        <v/>
      </c>
    </row>
    <row r="14" ht="24.0" customHeight="1">
      <c r="A14" s="115"/>
      <c r="B14" s="115" t="str">
        <f>IF(HomePage!C26 &lt;&gt; "", HomePage!B26, "")</f>
        <v/>
      </c>
      <c r="C14" s="116" t="str">
        <f>'Base Data'!DW15</f>
        <v/>
      </c>
      <c r="D14" s="116" t="str">
        <f>IF(HomePage!C26 &lt;&gt; "", "vs", "")</f>
        <v/>
      </c>
      <c r="E14" s="117" t="str">
        <f>'Base Data'!DP15</f>
        <v/>
      </c>
      <c r="F14" s="118" t="str">
        <f>'Base Data'!DQ15</f>
        <v/>
      </c>
      <c r="G14" s="118" t="str">
        <f>'Base Data'!DR15</f>
        <v/>
      </c>
      <c r="H14" s="118" t="str">
        <f>'Base Data'!DS15</f>
        <v/>
      </c>
      <c r="I14" s="118" t="str">
        <f>'Base Data'!DT15</f>
        <v/>
      </c>
      <c r="J14" s="118" t="str">
        <f>'Base Data'!DU15</f>
        <v/>
      </c>
      <c r="K14" s="118" t="str">
        <f>'Base Data'!DV15</f>
        <v/>
      </c>
      <c r="L14" s="118"/>
      <c r="M14" s="118"/>
      <c r="N14" s="118"/>
      <c r="O14" s="118" t="str">
        <f>'Base Data'!CX15</f>
        <v/>
      </c>
      <c r="P14" s="118" t="str">
        <f>'Base Data'!CY15</f>
        <v/>
      </c>
      <c r="Q14" s="118" t="str">
        <f>'Base Data'!CV15</f>
        <v/>
      </c>
      <c r="R14" s="118" t="str">
        <f>'Base Data'!CW15</f>
        <v/>
      </c>
      <c r="S14" s="118"/>
      <c r="T14" s="118" t="str">
        <f>'Base Data'!CZ15</f>
        <v/>
      </c>
      <c r="U14" s="118" t="str">
        <f>'Base Data'!DA15</f>
        <v/>
      </c>
      <c r="V14" s="118" t="str">
        <f>'Base Data'!DB15</f>
        <v/>
      </c>
      <c r="W14" s="118" t="str">
        <f>'Base Data'!DC15</f>
        <v/>
      </c>
      <c r="X14" s="118"/>
      <c r="Y14" s="118"/>
      <c r="Z14" s="118" t="str">
        <f>'Base Data'!DE15</f>
        <v/>
      </c>
      <c r="AA14" s="118" t="str">
        <f>'Base Data'!DF15</f>
        <v/>
      </c>
      <c r="AB14" s="118" t="str">
        <f>'Base Data'!DG15</f>
        <v/>
      </c>
      <c r="AC14" s="118" t="str">
        <f>'Base Data'!DH15</f>
        <v/>
      </c>
      <c r="AD14" s="119" t="str">
        <f>IF('Base Data'!Y15 = "ots", "YES", "")</f>
        <v/>
      </c>
      <c r="AE14" s="119" t="str">
        <f>SWITCH('Base Data'!EE15, "? -&gt; ?", "pending", "--- -&gt; ---", "unranked", " -&gt; ", "", 'Base Data'!EE15)</f>
        <v/>
      </c>
      <c r="AF14" s="119" t="str">
        <f>IF(AND('Base Data'!EF15 &lt;&gt; "",'Base Data'!EF15 &lt;&gt; "?",'Base Data'!EF15 &lt;&gt; "---"), 'Base Data'!EF15, "")</f>
        <v/>
      </c>
    </row>
    <row r="15" ht="24.0" customHeight="1">
      <c r="A15" s="115"/>
      <c r="B15" s="115" t="str">
        <f>IF(HomePage!C27 &lt;&gt; "", HomePage!B27, "")</f>
        <v/>
      </c>
      <c r="C15" s="116" t="str">
        <f>'Base Data'!DW16</f>
        <v/>
      </c>
      <c r="D15" s="116" t="str">
        <f>IF(HomePage!C27 &lt;&gt; "", "vs", "")</f>
        <v/>
      </c>
      <c r="E15" s="117" t="str">
        <f>'Base Data'!DP16</f>
        <v/>
      </c>
      <c r="F15" s="118" t="str">
        <f>'Base Data'!DQ16</f>
        <v/>
      </c>
      <c r="G15" s="118" t="str">
        <f>'Base Data'!DR16</f>
        <v/>
      </c>
      <c r="H15" s="118" t="str">
        <f>'Base Data'!DS16</f>
        <v/>
      </c>
      <c r="I15" s="118" t="str">
        <f>'Base Data'!DT16</f>
        <v/>
      </c>
      <c r="J15" s="118" t="str">
        <f>'Base Data'!DU16</f>
        <v/>
      </c>
      <c r="K15" s="118" t="str">
        <f>'Base Data'!DV16</f>
        <v/>
      </c>
      <c r="L15" s="118"/>
      <c r="M15" s="118"/>
      <c r="N15" s="118"/>
      <c r="O15" s="118" t="str">
        <f>'Base Data'!CX16</f>
        <v/>
      </c>
      <c r="P15" s="118" t="str">
        <f>'Base Data'!CY16</f>
        <v/>
      </c>
      <c r="Q15" s="118" t="str">
        <f>'Base Data'!CV16</f>
        <v/>
      </c>
      <c r="R15" s="118" t="str">
        <f>'Base Data'!CW16</f>
        <v/>
      </c>
      <c r="S15" s="118"/>
      <c r="T15" s="118" t="str">
        <f>'Base Data'!CZ16</f>
        <v/>
      </c>
      <c r="U15" s="118" t="str">
        <f>'Base Data'!DA16</f>
        <v/>
      </c>
      <c r="V15" s="118" t="str">
        <f>'Base Data'!DB16</f>
        <v/>
      </c>
      <c r="W15" s="118" t="str">
        <f>'Base Data'!DC16</f>
        <v/>
      </c>
      <c r="X15" s="118"/>
      <c r="Y15" s="118"/>
      <c r="Z15" s="118" t="str">
        <f>'Base Data'!DE16</f>
        <v/>
      </c>
      <c r="AA15" s="118" t="str">
        <f>'Base Data'!DF16</f>
        <v/>
      </c>
      <c r="AB15" s="118" t="str">
        <f>'Base Data'!DG16</f>
        <v/>
      </c>
      <c r="AC15" s="118" t="str">
        <f>'Base Data'!DH16</f>
        <v/>
      </c>
      <c r="AD15" s="119" t="str">
        <f>IF('Base Data'!Y16 = "ots", "YES", "")</f>
        <v/>
      </c>
      <c r="AE15" s="119" t="str">
        <f>SWITCH('Base Data'!EE16, "? -&gt; ?", "pending", "--- -&gt; ---", "unranked", " -&gt; ", "", 'Base Data'!EE16)</f>
        <v/>
      </c>
      <c r="AF15" s="119" t="str">
        <f>IF(AND('Base Data'!EF16 &lt;&gt; "",'Base Data'!EF16 &lt;&gt; "?",'Base Data'!EF16 &lt;&gt; "---"), 'Base Data'!EF16, "")</f>
        <v/>
      </c>
    </row>
    <row r="16" ht="24.0" customHeight="1">
      <c r="A16" s="115"/>
      <c r="B16" s="115" t="str">
        <f>IF(HomePage!C28 &lt;&gt; "", HomePage!B28, "")</f>
        <v/>
      </c>
      <c r="C16" s="116" t="str">
        <f>'Base Data'!DW17</f>
        <v/>
      </c>
      <c r="D16" s="116" t="str">
        <f>IF(HomePage!C28 &lt;&gt; "", "vs", "")</f>
        <v/>
      </c>
      <c r="E16" s="117" t="str">
        <f>'Base Data'!DP17</f>
        <v/>
      </c>
      <c r="F16" s="118" t="str">
        <f>'Base Data'!DQ17</f>
        <v/>
      </c>
      <c r="G16" s="118" t="str">
        <f>'Base Data'!DR17</f>
        <v/>
      </c>
      <c r="H16" s="118" t="str">
        <f>'Base Data'!DS17</f>
        <v/>
      </c>
      <c r="I16" s="118" t="str">
        <f>'Base Data'!DT17</f>
        <v/>
      </c>
      <c r="J16" s="118" t="str">
        <f>'Base Data'!DU17</f>
        <v/>
      </c>
      <c r="K16" s="118" t="str">
        <f>'Base Data'!DV17</f>
        <v/>
      </c>
      <c r="L16" s="118"/>
      <c r="M16" s="118"/>
      <c r="N16" s="118"/>
      <c r="O16" s="118" t="str">
        <f>'Base Data'!CX17</f>
        <v/>
      </c>
      <c r="P16" s="118" t="str">
        <f>'Base Data'!CY17</f>
        <v/>
      </c>
      <c r="Q16" s="118" t="str">
        <f>'Base Data'!CV17</f>
        <v/>
      </c>
      <c r="R16" s="118" t="str">
        <f>'Base Data'!CW17</f>
        <v/>
      </c>
      <c r="S16" s="118"/>
      <c r="T16" s="118" t="str">
        <f>'Base Data'!CZ17</f>
        <v/>
      </c>
      <c r="U16" s="118" t="str">
        <f>'Base Data'!DA17</f>
        <v/>
      </c>
      <c r="V16" s="118" t="str">
        <f>'Base Data'!DB17</f>
        <v/>
      </c>
      <c r="W16" s="118" t="str">
        <f>'Base Data'!DC17</f>
        <v/>
      </c>
      <c r="X16" s="118"/>
      <c r="Y16" s="118"/>
      <c r="Z16" s="118" t="str">
        <f>'Base Data'!DE17</f>
        <v/>
      </c>
      <c r="AA16" s="118" t="str">
        <f>'Base Data'!DF17</f>
        <v/>
      </c>
      <c r="AB16" s="118" t="str">
        <f>'Base Data'!DG17</f>
        <v/>
      </c>
      <c r="AC16" s="118" t="str">
        <f>'Base Data'!DH17</f>
        <v/>
      </c>
      <c r="AD16" s="119" t="str">
        <f>IF('Base Data'!Y17 = "ots", "YES", "")</f>
        <v/>
      </c>
      <c r="AE16" s="119" t="str">
        <f>SWITCH('Base Data'!EE17, "? -&gt; ?", "pending", "--- -&gt; ---", "unranked", " -&gt; ", "", 'Base Data'!EE17)</f>
        <v/>
      </c>
      <c r="AF16" s="119" t="str">
        <f>IF(AND('Base Data'!EF17 &lt;&gt; "",'Base Data'!EF17 &lt;&gt; "?",'Base Data'!EF17 &lt;&gt; "---"), 'Base Data'!EF17, "")</f>
        <v/>
      </c>
    </row>
    <row r="17" ht="24.0" customHeight="1">
      <c r="A17" s="115"/>
      <c r="B17" s="115" t="str">
        <f>IF(HomePage!C29 &lt;&gt; "", HomePage!B29, "")</f>
        <v/>
      </c>
      <c r="C17" s="116" t="str">
        <f>'Base Data'!DW18</f>
        <v/>
      </c>
      <c r="D17" s="116" t="str">
        <f>IF(HomePage!C29 &lt;&gt; "", "vs", "")</f>
        <v/>
      </c>
      <c r="E17" s="117" t="str">
        <f>'Base Data'!DP18</f>
        <v/>
      </c>
      <c r="F17" s="118" t="str">
        <f>'Base Data'!DQ18</f>
        <v/>
      </c>
      <c r="G17" s="118" t="str">
        <f>'Base Data'!DR18</f>
        <v/>
      </c>
      <c r="H17" s="118" t="str">
        <f>'Base Data'!DS18</f>
        <v/>
      </c>
      <c r="I17" s="118" t="str">
        <f>'Base Data'!DT18</f>
        <v/>
      </c>
      <c r="J17" s="118" t="str">
        <f>'Base Data'!DU18</f>
        <v/>
      </c>
      <c r="K17" s="118" t="str">
        <f>'Base Data'!DV18</f>
        <v/>
      </c>
      <c r="L17" s="118"/>
      <c r="M17" s="118"/>
      <c r="N17" s="118"/>
      <c r="O17" s="118" t="str">
        <f>'Base Data'!CX18</f>
        <v/>
      </c>
      <c r="P17" s="118" t="str">
        <f>'Base Data'!CY18</f>
        <v/>
      </c>
      <c r="Q17" s="118" t="str">
        <f>'Base Data'!CV18</f>
        <v/>
      </c>
      <c r="R17" s="118" t="str">
        <f>'Base Data'!CW18</f>
        <v/>
      </c>
      <c r="S17" s="118"/>
      <c r="T17" s="118" t="str">
        <f>'Base Data'!CZ18</f>
        <v/>
      </c>
      <c r="U17" s="118" t="str">
        <f>'Base Data'!DA18</f>
        <v/>
      </c>
      <c r="V17" s="118" t="str">
        <f>'Base Data'!DB18</f>
        <v/>
      </c>
      <c r="W17" s="118" t="str">
        <f>'Base Data'!DC18</f>
        <v/>
      </c>
      <c r="X17" s="118"/>
      <c r="Y17" s="118"/>
      <c r="Z17" s="118" t="str">
        <f>'Base Data'!DE18</f>
        <v/>
      </c>
      <c r="AA17" s="118" t="str">
        <f>'Base Data'!DF18</f>
        <v/>
      </c>
      <c r="AB17" s="118" t="str">
        <f>'Base Data'!DG18</f>
        <v/>
      </c>
      <c r="AC17" s="118" t="str">
        <f>'Base Data'!DH18</f>
        <v/>
      </c>
      <c r="AD17" s="119" t="str">
        <f>IF('Base Data'!Y18 = "ots", "YES", "")</f>
        <v/>
      </c>
      <c r="AE17" s="119" t="str">
        <f>SWITCH('Base Data'!EE18, "? -&gt; ?", "pending", "--- -&gt; ---", "unranked", " -&gt; ", "", 'Base Data'!EE18)</f>
        <v/>
      </c>
      <c r="AF17" s="119" t="str">
        <f>IF(AND('Base Data'!EF18 &lt;&gt; "",'Base Data'!EF18 &lt;&gt; "?",'Base Data'!EF18 &lt;&gt; "---"), 'Base Data'!EF18, "")</f>
        <v/>
      </c>
    </row>
    <row r="18" ht="24.0" customHeight="1">
      <c r="A18" s="115"/>
      <c r="B18" s="115" t="str">
        <f>IF(HomePage!C30 &lt;&gt; "", HomePage!B30, "")</f>
        <v/>
      </c>
      <c r="C18" s="116" t="str">
        <f>'Base Data'!DW19</f>
        <v/>
      </c>
      <c r="D18" s="116" t="str">
        <f>IF(HomePage!C30 &lt;&gt; "", "vs", "")</f>
        <v/>
      </c>
      <c r="E18" s="117" t="str">
        <f>'Base Data'!DP19</f>
        <v/>
      </c>
      <c r="F18" s="118" t="str">
        <f>'Base Data'!DQ19</f>
        <v/>
      </c>
      <c r="G18" s="118" t="str">
        <f>'Base Data'!DR19</f>
        <v/>
      </c>
      <c r="H18" s="118" t="str">
        <f>'Base Data'!DS19</f>
        <v/>
      </c>
      <c r="I18" s="118" t="str">
        <f>'Base Data'!DT19</f>
        <v/>
      </c>
      <c r="J18" s="118" t="str">
        <f>'Base Data'!DU19</f>
        <v/>
      </c>
      <c r="K18" s="118" t="str">
        <f>'Base Data'!DV19</f>
        <v/>
      </c>
      <c r="L18" s="118"/>
      <c r="M18" s="118"/>
      <c r="N18" s="118"/>
      <c r="O18" s="118" t="str">
        <f>'Base Data'!CX19</f>
        <v/>
      </c>
      <c r="P18" s="118" t="str">
        <f>'Base Data'!CY19</f>
        <v/>
      </c>
      <c r="Q18" s="118" t="str">
        <f>'Base Data'!CV19</f>
        <v/>
      </c>
      <c r="R18" s="118" t="str">
        <f>'Base Data'!CW19</f>
        <v/>
      </c>
      <c r="S18" s="118"/>
      <c r="T18" s="118" t="str">
        <f>'Base Data'!CZ19</f>
        <v/>
      </c>
      <c r="U18" s="118" t="str">
        <f>'Base Data'!DA19</f>
        <v/>
      </c>
      <c r="V18" s="118" t="str">
        <f>'Base Data'!DB19</f>
        <v/>
      </c>
      <c r="W18" s="118" t="str">
        <f>'Base Data'!DC19</f>
        <v/>
      </c>
      <c r="X18" s="118"/>
      <c r="Y18" s="118"/>
      <c r="Z18" s="118" t="str">
        <f>'Base Data'!DE19</f>
        <v/>
      </c>
      <c r="AA18" s="118" t="str">
        <f>'Base Data'!DF19</f>
        <v/>
      </c>
      <c r="AB18" s="118" t="str">
        <f>'Base Data'!DG19</f>
        <v/>
      </c>
      <c r="AC18" s="118" t="str">
        <f>'Base Data'!DH19</f>
        <v/>
      </c>
      <c r="AD18" s="119" t="str">
        <f>IF('Base Data'!Y19 = "ots", "YES", "")</f>
        <v/>
      </c>
      <c r="AE18" s="119" t="str">
        <f>SWITCH('Base Data'!EE19, "? -&gt; ?", "pending", "--- -&gt; ---", "unranked", " -&gt; ", "", 'Base Data'!EE19)</f>
        <v/>
      </c>
      <c r="AF18" s="119" t="str">
        <f>IF(AND('Base Data'!EF19 &lt;&gt; "",'Base Data'!EF19 &lt;&gt; "?",'Base Data'!EF19 &lt;&gt; "---"), 'Base Data'!EF19, "")</f>
        <v/>
      </c>
    </row>
    <row r="19" ht="24.0" customHeight="1">
      <c r="A19" s="115"/>
      <c r="B19" s="115" t="str">
        <f>IF(HomePage!C31 &lt;&gt; "", HomePage!B31, "")</f>
        <v/>
      </c>
      <c r="C19" s="116" t="str">
        <f>'Base Data'!DW20</f>
        <v/>
      </c>
      <c r="D19" s="116" t="str">
        <f>IF(HomePage!C31 &lt;&gt; "", "vs", "")</f>
        <v/>
      </c>
      <c r="E19" s="117" t="str">
        <f>'Base Data'!DP20</f>
        <v/>
      </c>
      <c r="F19" s="118" t="str">
        <f>'Base Data'!DQ20</f>
        <v/>
      </c>
      <c r="G19" s="118" t="str">
        <f>'Base Data'!DR20</f>
        <v/>
      </c>
      <c r="H19" s="118" t="str">
        <f>'Base Data'!DS20</f>
        <v/>
      </c>
      <c r="I19" s="118" t="str">
        <f>'Base Data'!DT20</f>
        <v/>
      </c>
      <c r="J19" s="118" t="str">
        <f>'Base Data'!DU20</f>
        <v/>
      </c>
      <c r="K19" s="118" t="str">
        <f>'Base Data'!DV20</f>
        <v/>
      </c>
      <c r="L19" s="118"/>
      <c r="M19" s="118"/>
      <c r="N19" s="118"/>
      <c r="O19" s="118" t="str">
        <f>'Base Data'!CX20</f>
        <v/>
      </c>
      <c r="P19" s="118" t="str">
        <f>'Base Data'!CY20</f>
        <v/>
      </c>
      <c r="Q19" s="118" t="str">
        <f>'Base Data'!CV20</f>
        <v/>
      </c>
      <c r="R19" s="118" t="str">
        <f>'Base Data'!CW20</f>
        <v/>
      </c>
      <c r="S19" s="118"/>
      <c r="T19" s="118" t="str">
        <f>'Base Data'!CZ20</f>
        <v/>
      </c>
      <c r="U19" s="118" t="str">
        <f>'Base Data'!DA20</f>
        <v/>
      </c>
      <c r="V19" s="118" t="str">
        <f>'Base Data'!DB20</f>
        <v/>
      </c>
      <c r="W19" s="118" t="str">
        <f>'Base Data'!DC20</f>
        <v/>
      </c>
      <c r="X19" s="118"/>
      <c r="Y19" s="118"/>
      <c r="Z19" s="118" t="str">
        <f>'Base Data'!DE20</f>
        <v/>
      </c>
      <c r="AA19" s="118" t="str">
        <f>'Base Data'!DF20</f>
        <v/>
      </c>
      <c r="AB19" s="118" t="str">
        <f>'Base Data'!DG20</f>
        <v/>
      </c>
      <c r="AC19" s="118" t="str">
        <f>'Base Data'!DH20</f>
        <v/>
      </c>
      <c r="AD19" s="119" t="str">
        <f>IF('Base Data'!Y20 = "ots", "YES", "")</f>
        <v/>
      </c>
      <c r="AE19" s="119" t="str">
        <f>SWITCH('Base Data'!EE20, "? -&gt; ?", "pending", "--- -&gt; ---", "unranked", " -&gt; ", "", 'Base Data'!EE20)</f>
        <v/>
      </c>
      <c r="AF19" s="119" t="str">
        <f>IF(AND('Base Data'!EF20 &lt;&gt; "",'Base Data'!EF20 &lt;&gt; "?",'Base Data'!EF20 &lt;&gt; "---"), 'Base Data'!EF20, "")</f>
        <v/>
      </c>
    </row>
    <row r="20" ht="24.0" customHeight="1">
      <c r="A20" s="115"/>
      <c r="B20" s="115" t="str">
        <f>IF(HomePage!C32 &lt;&gt; "", HomePage!B32, "")</f>
        <v/>
      </c>
      <c r="C20" s="116" t="str">
        <f>'Base Data'!DW21</f>
        <v/>
      </c>
      <c r="D20" s="116" t="str">
        <f>IF(HomePage!C32 &lt;&gt; "", "vs", "")</f>
        <v/>
      </c>
      <c r="E20" s="117" t="str">
        <f>'Base Data'!DP21</f>
        <v/>
      </c>
      <c r="F20" s="118" t="str">
        <f>'Base Data'!DQ21</f>
        <v/>
      </c>
      <c r="G20" s="118" t="str">
        <f>'Base Data'!DR21</f>
        <v/>
      </c>
      <c r="H20" s="118" t="str">
        <f>'Base Data'!DS21</f>
        <v/>
      </c>
      <c r="I20" s="118" t="str">
        <f>'Base Data'!DT21</f>
        <v/>
      </c>
      <c r="J20" s="118" t="str">
        <f>'Base Data'!DU21</f>
        <v/>
      </c>
      <c r="K20" s="118" t="str">
        <f>'Base Data'!DV21</f>
        <v/>
      </c>
      <c r="L20" s="118"/>
      <c r="M20" s="118"/>
      <c r="N20" s="118"/>
      <c r="O20" s="118" t="str">
        <f>'Base Data'!CX21</f>
        <v/>
      </c>
      <c r="P20" s="118" t="str">
        <f>'Base Data'!CY21</f>
        <v/>
      </c>
      <c r="Q20" s="118" t="str">
        <f>'Base Data'!CV21</f>
        <v/>
      </c>
      <c r="R20" s="118" t="str">
        <f>'Base Data'!CW21</f>
        <v/>
      </c>
      <c r="S20" s="118"/>
      <c r="T20" s="118" t="str">
        <f>'Base Data'!CZ21</f>
        <v/>
      </c>
      <c r="U20" s="118" t="str">
        <f>'Base Data'!DA21</f>
        <v/>
      </c>
      <c r="V20" s="118" t="str">
        <f>'Base Data'!DB21</f>
        <v/>
      </c>
      <c r="W20" s="118" t="str">
        <f>'Base Data'!DC21</f>
        <v/>
      </c>
      <c r="X20" s="118"/>
      <c r="Y20" s="118"/>
      <c r="Z20" s="118" t="str">
        <f>'Base Data'!DE21</f>
        <v/>
      </c>
      <c r="AA20" s="118" t="str">
        <f>'Base Data'!DF21</f>
        <v/>
      </c>
      <c r="AB20" s="118" t="str">
        <f>'Base Data'!DG21</f>
        <v/>
      </c>
      <c r="AC20" s="118" t="str">
        <f>'Base Data'!DH21</f>
        <v/>
      </c>
      <c r="AD20" s="119" t="str">
        <f>IF('Base Data'!Y21 = "ots", "YES", "")</f>
        <v/>
      </c>
      <c r="AE20" s="119" t="str">
        <f>SWITCH('Base Data'!EE21, "? -&gt; ?", "pending", "--- -&gt; ---", "unranked", " -&gt; ", "", 'Base Data'!EE21)</f>
        <v/>
      </c>
      <c r="AF20" s="119" t="str">
        <f>IF(AND('Base Data'!EF21 &lt;&gt; "",'Base Data'!EF21 &lt;&gt; "?",'Base Data'!EF21 &lt;&gt; "---"), 'Base Data'!EF21, "")</f>
        <v/>
      </c>
    </row>
    <row r="21" ht="24.0" customHeight="1">
      <c r="A21" s="115"/>
      <c r="B21" s="115" t="str">
        <f>IF(HomePage!C33 &lt;&gt; "", HomePage!B33, "")</f>
        <v/>
      </c>
      <c r="C21" s="116" t="str">
        <f>'Base Data'!DW22</f>
        <v/>
      </c>
      <c r="D21" s="116" t="str">
        <f>IF(HomePage!C33 &lt;&gt; "", "vs", "")</f>
        <v/>
      </c>
      <c r="E21" s="117" t="str">
        <f>'Base Data'!DP22</f>
        <v/>
      </c>
      <c r="F21" s="118" t="str">
        <f>'Base Data'!DQ22</f>
        <v/>
      </c>
      <c r="G21" s="118" t="str">
        <f>'Base Data'!DR22</f>
        <v/>
      </c>
      <c r="H21" s="118" t="str">
        <f>'Base Data'!DS22</f>
        <v/>
      </c>
      <c r="I21" s="118" t="str">
        <f>'Base Data'!DT22</f>
        <v/>
      </c>
      <c r="J21" s="118" t="str">
        <f>'Base Data'!DU22</f>
        <v/>
      </c>
      <c r="K21" s="118" t="str">
        <f>'Base Data'!DV22</f>
        <v/>
      </c>
      <c r="L21" s="118"/>
      <c r="M21" s="118"/>
      <c r="N21" s="118"/>
      <c r="O21" s="118" t="str">
        <f>'Base Data'!CX22</f>
        <v/>
      </c>
      <c r="P21" s="118" t="str">
        <f>'Base Data'!CY22</f>
        <v/>
      </c>
      <c r="Q21" s="118" t="str">
        <f>'Base Data'!CV22</f>
        <v/>
      </c>
      <c r="R21" s="118" t="str">
        <f>'Base Data'!CW22</f>
        <v/>
      </c>
      <c r="S21" s="118"/>
      <c r="T21" s="118" t="str">
        <f>'Base Data'!CZ22</f>
        <v/>
      </c>
      <c r="U21" s="118" t="str">
        <f>'Base Data'!DA22</f>
        <v/>
      </c>
      <c r="V21" s="118" t="str">
        <f>'Base Data'!DB22</f>
        <v/>
      </c>
      <c r="W21" s="118" t="str">
        <f>'Base Data'!DC22</f>
        <v/>
      </c>
      <c r="X21" s="118"/>
      <c r="Y21" s="118"/>
      <c r="Z21" s="118" t="str">
        <f>'Base Data'!DE22</f>
        <v/>
      </c>
      <c r="AA21" s="118" t="str">
        <f>'Base Data'!DF22</f>
        <v/>
      </c>
      <c r="AB21" s="118" t="str">
        <f>'Base Data'!DG22</f>
        <v/>
      </c>
      <c r="AC21" s="118" t="str">
        <f>'Base Data'!DH22</f>
        <v/>
      </c>
      <c r="AD21" s="119" t="str">
        <f>IF('Base Data'!Y22 = "ots", "YES", "")</f>
        <v/>
      </c>
      <c r="AE21" s="119" t="str">
        <f>SWITCH('Base Data'!EE22, "? -&gt; ?", "pending", "--- -&gt; ---", "unranked", " -&gt; ", "", 'Base Data'!EE22)</f>
        <v/>
      </c>
      <c r="AF21" s="119" t="str">
        <f>IF(AND('Base Data'!EF22 &lt;&gt; "",'Base Data'!EF22 &lt;&gt; "?",'Base Data'!EF22 &lt;&gt; "---"), 'Base Data'!EF22, "")</f>
        <v/>
      </c>
    </row>
    <row r="22" ht="24.0" customHeight="1">
      <c r="A22" s="115"/>
      <c r="B22" s="115" t="str">
        <f>IF(HomePage!C34 &lt;&gt; "", HomePage!B34, "")</f>
        <v/>
      </c>
      <c r="C22" s="116" t="str">
        <f>'Base Data'!DW23</f>
        <v/>
      </c>
      <c r="D22" s="116" t="str">
        <f>IF(HomePage!C34 &lt;&gt; "", "vs", "")</f>
        <v/>
      </c>
      <c r="E22" s="117" t="str">
        <f>'Base Data'!DP23</f>
        <v/>
      </c>
      <c r="F22" s="118" t="str">
        <f>'Base Data'!DQ23</f>
        <v/>
      </c>
      <c r="G22" s="118" t="str">
        <f>'Base Data'!DR23</f>
        <v/>
      </c>
      <c r="H22" s="118" t="str">
        <f>'Base Data'!DS23</f>
        <v/>
      </c>
      <c r="I22" s="118" t="str">
        <f>'Base Data'!DT23</f>
        <v/>
      </c>
      <c r="J22" s="118" t="str">
        <f>'Base Data'!DU23</f>
        <v/>
      </c>
      <c r="K22" s="118" t="str">
        <f>'Base Data'!DV23</f>
        <v/>
      </c>
      <c r="L22" s="118"/>
      <c r="M22" s="118"/>
      <c r="N22" s="118"/>
      <c r="O22" s="118" t="str">
        <f>'Base Data'!CX23</f>
        <v/>
      </c>
      <c r="P22" s="118" t="str">
        <f>'Base Data'!CY23</f>
        <v/>
      </c>
      <c r="Q22" s="118" t="str">
        <f>'Base Data'!CV23</f>
        <v/>
      </c>
      <c r="R22" s="118" t="str">
        <f>'Base Data'!CW23</f>
        <v/>
      </c>
      <c r="S22" s="118"/>
      <c r="T22" s="118" t="str">
        <f>'Base Data'!CZ23</f>
        <v/>
      </c>
      <c r="U22" s="118" t="str">
        <f>'Base Data'!DA23</f>
        <v/>
      </c>
      <c r="V22" s="118" t="str">
        <f>'Base Data'!DB23</f>
        <v/>
      </c>
      <c r="W22" s="118" t="str">
        <f>'Base Data'!DC23</f>
        <v/>
      </c>
      <c r="X22" s="118"/>
      <c r="Y22" s="118"/>
      <c r="Z22" s="118" t="str">
        <f>'Base Data'!DE23</f>
        <v/>
      </c>
      <c r="AA22" s="118" t="str">
        <f>'Base Data'!DF23</f>
        <v/>
      </c>
      <c r="AB22" s="118" t="str">
        <f>'Base Data'!DG23</f>
        <v/>
      </c>
      <c r="AC22" s="118" t="str">
        <f>'Base Data'!DH23</f>
        <v/>
      </c>
      <c r="AD22" s="119" t="str">
        <f>IF('Base Data'!Y23 = "ots", "YES", "")</f>
        <v/>
      </c>
      <c r="AE22" s="119" t="str">
        <f>SWITCH('Base Data'!EE23, "? -&gt; ?", "pending", "--- -&gt; ---", "unranked", " -&gt; ", "", 'Base Data'!EE23)</f>
        <v/>
      </c>
      <c r="AF22" s="119" t="str">
        <f>IF(AND('Base Data'!EF23 &lt;&gt; "",'Base Data'!EF23 &lt;&gt; "?",'Base Data'!EF23 &lt;&gt; "---"), 'Base Data'!EF23, "")</f>
        <v/>
      </c>
    </row>
    <row r="23" ht="24.0" customHeight="1">
      <c r="A23" s="115"/>
      <c r="B23" s="115" t="str">
        <f>IF(HomePage!C35 &lt;&gt; "", HomePage!B35, "")</f>
        <v/>
      </c>
      <c r="C23" s="116" t="str">
        <f>'Base Data'!DW24</f>
        <v/>
      </c>
      <c r="D23" s="116" t="str">
        <f>IF(HomePage!C35 &lt;&gt; "", "vs", "")</f>
        <v/>
      </c>
      <c r="E23" s="117" t="str">
        <f>'Base Data'!DP24</f>
        <v/>
      </c>
      <c r="F23" s="118" t="str">
        <f>'Base Data'!DQ24</f>
        <v/>
      </c>
      <c r="G23" s="118" t="str">
        <f>'Base Data'!DR24</f>
        <v/>
      </c>
      <c r="H23" s="118" t="str">
        <f>'Base Data'!DS24</f>
        <v/>
      </c>
      <c r="I23" s="118" t="str">
        <f>'Base Data'!DT24</f>
        <v/>
      </c>
      <c r="J23" s="118" t="str">
        <f>'Base Data'!DU24</f>
        <v/>
      </c>
      <c r="K23" s="118" t="str">
        <f>'Base Data'!DV24</f>
        <v/>
      </c>
      <c r="L23" s="118"/>
      <c r="M23" s="118"/>
      <c r="N23" s="118"/>
      <c r="O23" s="118" t="str">
        <f>'Base Data'!CX24</f>
        <v/>
      </c>
      <c r="P23" s="118" t="str">
        <f>'Base Data'!CY24</f>
        <v/>
      </c>
      <c r="Q23" s="118" t="str">
        <f>'Base Data'!CV24</f>
        <v/>
      </c>
      <c r="R23" s="118" t="str">
        <f>'Base Data'!CW24</f>
        <v/>
      </c>
      <c r="S23" s="118"/>
      <c r="T23" s="118" t="str">
        <f>'Base Data'!CZ24</f>
        <v/>
      </c>
      <c r="U23" s="118" t="str">
        <f>'Base Data'!DA24</f>
        <v/>
      </c>
      <c r="V23" s="118" t="str">
        <f>'Base Data'!DB24</f>
        <v/>
      </c>
      <c r="W23" s="118" t="str">
        <f>'Base Data'!DC24</f>
        <v/>
      </c>
      <c r="X23" s="118"/>
      <c r="Y23" s="118"/>
      <c r="Z23" s="118" t="str">
        <f>'Base Data'!DE24</f>
        <v/>
      </c>
      <c r="AA23" s="118" t="str">
        <f>'Base Data'!DF24</f>
        <v/>
      </c>
      <c r="AB23" s="118" t="str">
        <f>'Base Data'!DG24</f>
        <v/>
      </c>
      <c r="AC23" s="118" t="str">
        <f>'Base Data'!DH24</f>
        <v/>
      </c>
      <c r="AD23" s="119" t="str">
        <f>IF('Base Data'!Y24 = "ots", "YES", "")</f>
        <v/>
      </c>
      <c r="AE23" s="119" t="str">
        <f>SWITCH('Base Data'!EE24, "? -&gt; ?", "pending", "--- -&gt; ---", "unranked", " -&gt; ", "", 'Base Data'!EE24)</f>
        <v/>
      </c>
      <c r="AF23" s="119" t="str">
        <f>IF(AND('Base Data'!EF24 &lt;&gt; "",'Base Data'!EF24 &lt;&gt; "?",'Base Data'!EF24 &lt;&gt; "---"), 'Base Data'!EF24, "")</f>
        <v/>
      </c>
    </row>
    <row r="24" ht="24.0" customHeight="1">
      <c r="A24" s="115"/>
      <c r="B24" s="115" t="str">
        <f>IF(HomePage!C36 &lt;&gt; "", HomePage!B36, "")</f>
        <v/>
      </c>
      <c r="C24" s="116" t="str">
        <f>'Base Data'!DW25</f>
        <v/>
      </c>
      <c r="D24" s="116" t="str">
        <f>IF(HomePage!C36 &lt;&gt; "", "vs", "")</f>
        <v/>
      </c>
      <c r="E24" s="117" t="str">
        <f>'Base Data'!DP25</f>
        <v/>
      </c>
      <c r="F24" s="118" t="str">
        <f>'Base Data'!DQ25</f>
        <v/>
      </c>
      <c r="G24" s="118" t="str">
        <f>'Base Data'!DR25</f>
        <v/>
      </c>
      <c r="H24" s="118" t="str">
        <f>'Base Data'!DS25</f>
        <v/>
      </c>
      <c r="I24" s="118" t="str">
        <f>'Base Data'!DT25</f>
        <v/>
      </c>
      <c r="J24" s="118" t="str">
        <f>'Base Data'!DU25</f>
        <v/>
      </c>
      <c r="K24" s="118" t="str">
        <f>'Base Data'!DV25</f>
        <v/>
      </c>
      <c r="L24" s="118"/>
      <c r="M24" s="118"/>
      <c r="N24" s="118"/>
      <c r="O24" s="118" t="str">
        <f>'Base Data'!CX25</f>
        <v/>
      </c>
      <c r="P24" s="118" t="str">
        <f>'Base Data'!CY25</f>
        <v/>
      </c>
      <c r="Q24" s="118" t="str">
        <f>'Base Data'!CV25</f>
        <v/>
      </c>
      <c r="R24" s="118" t="str">
        <f>'Base Data'!CW25</f>
        <v/>
      </c>
      <c r="S24" s="118"/>
      <c r="T24" s="118" t="str">
        <f>'Base Data'!CZ25</f>
        <v/>
      </c>
      <c r="U24" s="118" t="str">
        <f>'Base Data'!DA25</f>
        <v/>
      </c>
      <c r="V24" s="118" t="str">
        <f>'Base Data'!DB25</f>
        <v/>
      </c>
      <c r="W24" s="118" t="str">
        <f>'Base Data'!DC25</f>
        <v/>
      </c>
      <c r="X24" s="118"/>
      <c r="Y24" s="118"/>
      <c r="Z24" s="118" t="str">
        <f>'Base Data'!DE25</f>
        <v/>
      </c>
      <c r="AA24" s="118" t="str">
        <f>'Base Data'!DF25</f>
        <v/>
      </c>
      <c r="AB24" s="118" t="str">
        <f>'Base Data'!DG25</f>
        <v/>
      </c>
      <c r="AC24" s="118" t="str">
        <f>'Base Data'!DH25</f>
        <v/>
      </c>
      <c r="AD24" s="119" t="str">
        <f>IF('Base Data'!Y25 = "ots", "YES", "")</f>
        <v/>
      </c>
      <c r="AE24" s="119" t="str">
        <f>SWITCH('Base Data'!EE25, "? -&gt; ?", "pending", "--- -&gt; ---", "unranked", " -&gt; ", "", 'Base Data'!EE25)</f>
        <v/>
      </c>
      <c r="AF24" s="119" t="str">
        <f>IF(AND('Base Data'!EF25 &lt;&gt; "",'Base Data'!EF25 &lt;&gt; "?",'Base Data'!EF25 &lt;&gt; "---"), 'Base Data'!EF25, "")</f>
        <v/>
      </c>
    </row>
    <row r="25" ht="24.0" customHeight="1">
      <c r="A25" s="115"/>
      <c r="B25" s="115" t="str">
        <f>IF(HomePage!C37 &lt;&gt; "", HomePage!B37, "")</f>
        <v/>
      </c>
      <c r="C25" s="116" t="str">
        <f>'Base Data'!DW26</f>
        <v/>
      </c>
      <c r="D25" s="116" t="str">
        <f>IF(HomePage!C37 &lt;&gt; "", "vs", "")</f>
        <v/>
      </c>
      <c r="E25" s="117" t="str">
        <f>'Base Data'!DP26</f>
        <v/>
      </c>
      <c r="F25" s="118" t="str">
        <f>'Base Data'!DQ26</f>
        <v/>
      </c>
      <c r="G25" s="118" t="str">
        <f>'Base Data'!DR26</f>
        <v/>
      </c>
      <c r="H25" s="118" t="str">
        <f>'Base Data'!DS26</f>
        <v/>
      </c>
      <c r="I25" s="118" t="str">
        <f>'Base Data'!DT26</f>
        <v/>
      </c>
      <c r="J25" s="118" t="str">
        <f>'Base Data'!DU26</f>
        <v/>
      </c>
      <c r="K25" s="118" t="str">
        <f>'Base Data'!DV26</f>
        <v/>
      </c>
      <c r="L25" s="118"/>
      <c r="M25" s="118"/>
      <c r="N25" s="118"/>
      <c r="O25" s="118" t="str">
        <f>'Base Data'!CX26</f>
        <v/>
      </c>
      <c r="P25" s="118" t="str">
        <f>'Base Data'!CY26</f>
        <v/>
      </c>
      <c r="Q25" s="118" t="str">
        <f>'Base Data'!CV26</f>
        <v/>
      </c>
      <c r="R25" s="118" t="str">
        <f>'Base Data'!CW26</f>
        <v/>
      </c>
      <c r="S25" s="118"/>
      <c r="T25" s="118" t="str">
        <f>'Base Data'!CZ26</f>
        <v/>
      </c>
      <c r="U25" s="118" t="str">
        <f>'Base Data'!DA26</f>
        <v/>
      </c>
      <c r="V25" s="118" t="str">
        <f>'Base Data'!DB26</f>
        <v/>
      </c>
      <c r="W25" s="118" t="str">
        <f>'Base Data'!DC26</f>
        <v/>
      </c>
      <c r="X25" s="118"/>
      <c r="Y25" s="118"/>
      <c r="Z25" s="118" t="str">
        <f>'Base Data'!DE26</f>
        <v/>
      </c>
      <c r="AA25" s="118" t="str">
        <f>'Base Data'!DF26</f>
        <v/>
      </c>
      <c r="AB25" s="118" t="str">
        <f>'Base Data'!DG26</f>
        <v/>
      </c>
      <c r="AC25" s="118" t="str">
        <f>'Base Data'!DH26</f>
        <v/>
      </c>
      <c r="AD25" s="119" t="str">
        <f>IF('Base Data'!Y26 = "ots", "YES", "")</f>
        <v/>
      </c>
      <c r="AE25" s="119" t="str">
        <f>SWITCH('Base Data'!EE26, "? -&gt; ?", "pending", "--- -&gt; ---", "unranked", " -&gt; ", "", 'Base Data'!EE26)</f>
        <v/>
      </c>
      <c r="AF25" s="119" t="str">
        <f>IF(AND('Base Data'!EF26 &lt;&gt; "",'Base Data'!EF26 &lt;&gt; "?",'Base Data'!EF26 &lt;&gt; "---"), 'Base Data'!EF26, "")</f>
        <v/>
      </c>
    </row>
    <row r="26" ht="24.0" customHeight="1">
      <c r="A26" s="115"/>
      <c r="B26" s="115" t="str">
        <f>IF(HomePage!C38 &lt;&gt; "", HomePage!B38, "")</f>
        <v/>
      </c>
      <c r="C26" s="116" t="str">
        <f>'Base Data'!DW27</f>
        <v/>
      </c>
      <c r="D26" s="116" t="str">
        <f>IF(HomePage!C38 &lt;&gt; "", "vs", "")</f>
        <v/>
      </c>
      <c r="E26" s="117" t="str">
        <f>'Base Data'!DP27</f>
        <v/>
      </c>
      <c r="F26" s="118" t="str">
        <f>'Base Data'!DQ27</f>
        <v/>
      </c>
      <c r="G26" s="118" t="str">
        <f>'Base Data'!DR27</f>
        <v/>
      </c>
      <c r="H26" s="118" t="str">
        <f>'Base Data'!DS27</f>
        <v/>
      </c>
      <c r="I26" s="118" t="str">
        <f>'Base Data'!DT27</f>
        <v/>
      </c>
      <c r="J26" s="118" t="str">
        <f>'Base Data'!DU27</f>
        <v/>
      </c>
      <c r="K26" s="118" t="str">
        <f>'Base Data'!DV27</f>
        <v/>
      </c>
      <c r="L26" s="118"/>
      <c r="M26" s="118"/>
      <c r="N26" s="118"/>
      <c r="O26" s="118" t="str">
        <f>'Base Data'!CX27</f>
        <v/>
      </c>
      <c r="P26" s="118" t="str">
        <f>'Base Data'!CY27</f>
        <v/>
      </c>
      <c r="Q26" s="118" t="str">
        <f>'Base Data'!CV27</f>
        <v/>
      </c>
      <c r="R26" s="118" t="str">
        <f>'Base Data'!CW27</f>
        <v/>
      </c>
      <c r="S26" s="118"/>
      <c r="T26" s="118" t="str">
        <f>'Base Data'!CZ27</f>
        <v/>
      </c>
      <c r="U26" s="118" t="str">
        <f>'Base Data'!DA27</f>
        <v/>
      </c>
      <c r="V26" s="118" t="str">
        <f>'Base Data'!DB27</f>
        <v/>
      </c>
      <c r="W26" s="118" t="str">
        <f>'Base Data'!DC27</f>
        <v/>
      </c>
      <c r="X26" s="118"/>
      <c r="Y26" s="118"/>
      <c r="Z26" s="118" t="str">
        <f>'Base Data'!DE27</f>
        <v/>
      </c>
      <c r="AA26" s="118" t="str">
        <f>'Base Data'!DF27</f>
        <v/>
      </c>
      <c r="AB26" s="118" t="str">
        <f>'Base Data'!DG27</f>
        <v/>
      </c>
      <c r="AC26" s="118" t="str">
        <f>'Base Data'!DH27</f>
        <v/>
      </c>
      <c r="AD26" s="119" t="str">
        <f>IF('Base Data'!Y27 = "ots", "YES", "")</f>
        <v/>
      </c>
      <c r="AE26" s="119" t="str">
        <f>SWITCH('Base Data'!EE27, "? -&gt; ?", "pending", "--- -&gt; ---", "unranked", " -&gt; ", "", 'Base Data'!EE27)</f>
        <v/>
      </c>
      <c r="AF26" s="119" t="str">
        <f>IF(AND('Base Data'!EF27 &lt;&gt; "",'Base Data'!EF27 &lt;&gt; "?",'Base Data'!EF27 &lt;&gt; "---"), 'Base Data'!EF27, "")</f>
        <v/>
      </c>
    </row>
    <row r="27" ht="24.0" customHeight="1">
      <c r="A27" s="115"/>
      <c r="B27" s="115" t="str">
        <f>IF(HomePage!C39 &lt;&gt; "", HomePage!B39, "")</f>
        <v/>
      </c>
      <c r="C27" s="116" t="str">
        <f>'Base Data'!DW28</f>
        <v/>
      </c>
      <c r="D27" s="116" t="str">
        <f>IF(HomePage!C39 &lt;&gt; "", "vs", "")</f>
        <v/>
      </c>
      <c r="E27" s="117" t="str">
        <f>'Base Data'!DP28</f>
        <v/>
      </c>
      <c r="F27" s="118" t="str">
        <f>'Base Data'!DQ28</f>
        <v/>
      </c>
      <c r="G27" s="118" t="str">
        <f>'Base Data'!DR28</f>
        <v/>
      </c>
      <c r="H27" s="118" t="str">
        <f>'Base Data'!DS28</f>
        <v/>
      </c>
      <c r="I27" s="118" t="str">
        <f>'Base Data'!DT28</f>
        <v/>
      </c>
      <c r="J27" s="118" t="str">
        <f>'Base Data'!DU28</f>
        <v/>
      </c>
      <c r="K27" s="118" t="str">
        <f>'Base Data'!DV28</f>
        <v/>
      </c>
      <c r="L27" s="118"/>
      <c r="M27" s="118"/>
      <c r="N27" s="118"/>
      <c r="O27" s="118" t="str">
        <f>'Base Data'!CX28</f>
        <v/>
      </c>
      <c r="P27" s="118" t="str">
        <f>'Base Data'!CY28</f>
        <v/>
      </c>
      <c r="Q27" s="118" t="str">
        <f>'Base Data'!CV28</f>
        <v/>
      </c>
      <c r="R27" s="118" t="str">
        <f>'Base Data'!CW28</f>
        <v/>
      </c>
      <c r="S27" s="118"/>
      <c r="T27" s="118" t="str">
        <f>'Base Data'!CZ28</f>
        <v/>
      </c>
      <c r="U27" s="118" t="str">
        <f>'Base Data'!DA28</f>
        <v/>
      </c>
      <c r="V27" s="118" t="str">
        <f>'Base Data'!DB28</f>
        <v/>
      </c>
      <c r="W27" s="118" t="str">
        <f>'Base Data'!DC28</f>
        <v/>
      </c>
      <c r="X27" s="118"/>
      <c r="Y27" s="118"/>
      <c r="Z27" s="118" t="str">
        <f>'Base Data'!DE28</f>
        <v/>
      </c>
      <c r="AA27" s="118" t="str">
        <f>'Base Data'!DF28</f>
        <v/>
      </c>
      <c r="AB27" s="118" t="str">
        <f>'Base Data'!DG28</f>
        <v/>
      </c>
      <c r="AC27" s="118" t="str">
        <f>'Base Data'!DH28</f>
        <v/>
      </c>
      <c r="AD27" s="119" t="str">
        <f>IF('Base Data'!Y28 = "ots", "YES", "")</f>
        <v/>
      </c>
      <c r="AE27" s="119" t="str">
        <f>SWITCH('Base Data'!EE28, "? -&gt; ?", "pending", "--- -&gt; ---", "unranked", " -&gt; ", "", 'Base Data'!EE28)</f>
        <v/>
      </c>
      <c r="AF27" s="119" t="str">
        <f>IF(AND('Base Data'!EF28 &lt;&gt; "",'Base Data'!EF28 &lt;&gt; "?",'Base Data'!EF28 &lt;&gt; "---"), 'Base Data'!EF28, "")</f>
        <v/>
      </c>
    </row>
    <row r="28" ht="24.0" customHeight="1">
      <c r="A28" s="115"/>
      <c r="B28" s="115" t="str">
        <f>IF(HomePage!C40 &lt;&gt; "", HomePage!B40, "")</f>
        <v/>
      </c>
      <c r="C28" s="116" t="str">
        <f>'Base Data'!DW29</f>
        <v/>
      </c>
      <c r="D28" s="116" t="str">
        <f>IF(HomePage!C40 &lt;&gt; "", "vs", "")</f>
        <v/>
      </c>
      <c r="E28" s="117" t="str">
        <f>'Base Data'!DP29</f>
        <v/>
      </c>
      <c r="F28" s="118" t="str">
        <f>'Base Data'!DQ29</f>
        <v/>
      </c>
      <c r="G28" s="118" t="str">
        <f>'Base Data'!DR29</f>
        <v/>
      </c>
      <c r="H28" s="118" t="str">
        <f>'Base Data'!DS29</f>
        <v/>
      </c>
      <c r="I28" s="118" t="str">
        <f>'Base Data'!DT29</f>
        <v/>
      </c>
      <c r="J28" s="118" t="str">
        <f>'Base Data'!DU29</f>
        <v/>
      </c>
      <c r="K28" s="118" t="str">
        <f>'Base Data'!DV29</f>
        <v/>
      </c>
      <c r="L28" s="118"/>
      <c r="M28" s="118"/>
      <c r="N28" s="118"/>
      <c r="O28" s="118" t="str">
        <f>'Base Data'!CX29</f>
        <v/>
      </c>
      <c r="P28" s="118" t="str">
        <f>'Base Data'!CY29</f>
        <v/>
      </c>
      <c r="Q28" s="118" t="str">
        <f>'Base Data'!CV29</f>
        <v/>
      </c>
      <c r="R28" s="118" t="str">
        <f>'Base Data'!CW29</f>
        <v/>
      </c>
      <c r="S28" s="118"/>
      <c r="T28" s="118" t="str">
        <f>'Base Data'!CZ29</f>
        <v/>
      </c>
      <c r="U28" s="118" t="str">
        <f>'Base Data'!DA29</f>
        <v/>
      </c>
      <c r="V28" s="118" t="str">
        <f>'Base Data'!DB29</f>
        <v/>
      </c>
      <c r="W28" s="118" t="str">
        <f>'Base Data'!DC29</f>
        <v/>
      </c>
      <c r="X28" s="118"/>
      <c r="Y28" s="118"/>
      <c r="Z28" s="118" t="str">
        <f>'Base Data'!DE29</f>
        <v/>
      </c>
      <c r="AA28" s="118" t="str">
        <f>'Base Data'!DF29</f>
        <v/>
      </c>
      <c r="AB28" s="118" t="str">
        <f>'Base Data'!DG29</f>
        <v/>
      </c>
      <c r="AC28" s="118" t="str">
        <f>'Base Data'!DH29</f>
        <v/>
      </c>
      <c r="AD28" s="119" t="str">
        <f>IF('Base Data'!Y29 = "ots", "YES", "")</f>
        <v/>
      </c>
      <c r="AE28" s="119" t="str">
        <f>SWITCH('Base Data'!EE29, "? -&gt; ?", "pending", "--- -&gt; ---", "unranked", " -&gt; ", "", 'Base Data'!EE29)</f>
        <v/>
      </c>
      <c r="AF28" s="119" t="str">
        <f>IF(AND('Base Data'!EF29 &lt;&gt; "",'Base Data'!EF29 &lt;&gt; "?",'Base Data'!EF29 &lt;&gt; "---"), 'Base Data'!EF29, "")</f>
        <v/>
      </c>
    </row>
    <row r="29" ht="24.0" customHeight="1">
      <c r="A29" s="115"/>
      <c r="B29" s="115" t="str">
        <f>IF(HomePage!C41 &lt;&gt; "", HomePage!B41, "")</f>
        <v/>
      </c>
      <c r="C29" s="116" t="str">
        <f>'Base Data'!DW30</f>
        <v/>
      </c>
      <c r="D29" s="116" t="str">
        <f>IF(HomePage!C41 &lt;&gt; "", "vs", "")</f>
        <v/>
      </c>
      <c r="E29" s="117" t="str">
        <f>'Base Data'!DP30</f>
        <v/>
      </c>
      <c r="F29" s="118" t="str">
        <f>'Base Data'!DQ30</f>
        <v/>
      </c>
      <c r="G29" s="118" t="str">
        <f>'Base Data'!DR30</f>
        <v/>
      </c>
      <c r="H29" s="118" t="str">
        <f>'Base Data'!DS30</f>
        <v/>
      </c>
      <c r="I29" s="118" t="str">
        <f>'Base Data'!DT30</f>
        <v/>
      </c>
      <c r="J29" s="118" t="str">
        <f>'Base Data'!DU30</f>
        <v/>
      </c>
      <c r="K29" s="118" t="str">
        <f>'Base Data'!DV30</f>
        <v/>
      </c>
      <c r="L29" s="118"/>
      <c r="M29" s="118"/>
      <c r="N29" s="118"/>
      <c r="O29" s="118" t="str">
        <f>'Base Data'!CX30</f>
        <v/>
      </c>
      <c r="P29" s="118" t="str">
        <f>'Base Data'!CY30</f>
        <v/>
      </c>
      <c r="Q29" s="118" t="str">
        <f>'Base Data'!CV30</f>
        <v/>
      </c>
      <c r="R29" s="118" t="str">
        <f>'Base Data'!CW30</f>
        <v/>
      </c>
      <c r="S29" s="118"/>
      <c r="T29" s="118" t="str">
        <f>'Base Data'!CZ30</f>
        <v/>
      </c>
      <c r="U29" s="118" t="str">
        <f>'Base Data'!DA30</f>
        <v/>
      </c>
      <c r="V29" s="118" t="str">
        <f>'Base Data'!DB30</f>
        <v/>
      </c>
      <c r="W29" s="118" t="str">
        <f>'Base Data'!DC30</f>
        <v/>
      </c>
      <c r="X29" s="118"/>
      <c r="Y29" s="118"/>
      <c r="Z29" s="118" t="str">
        <f>'Base Data'!DE30</f>
        <v/>
      </c>
      <c r="AA29" s="118" t="str">
        <f>'Base Data'!DF30</f>
        <v/>
      </c>
      <c r="AB29" s="118" t="str">
        <f>'Base Data'!DG30</f>
        <v/>
      </c>
      <c r="AC29" s="118" t="str">
        <f>'Base Data'!DH30</f>
        <v/>
      </c>
      <c r="AD29" s="119" t="str">
        <f>IF('Base Data'!Y30 = "ots", "YES", "")</f>
        <v/>
      </c>
      <c r="AE29" s="119" t="str">
        <f>SWITCH('Base Data'!EE30, "? -&gt; ?", "pending", "--- -&gt; ---", "unranked", " -&gt; ", "", 'Base Data'!EE30)</f>
        <v/>
      </c>
      <c r="AF29" s="119" t="str">
        <f>IF(AND('Base Data'!EF30 &lt;&gt; "",'Base Data'!EF30 &lt;&gt; "?",'Base Data'!EF30 &lt;&gt; "---"), 'Base Data'!EF30, "")</f>
        <v/>
      </c>
    </row>
    <row r="30" ht="24.0" customHeight="1">
      <c r="A30" s="115"/>
      <c r="B30" s="115" t="str">
        <f>IF(HomePage!C42 &lt;&gt; "", HomePage!B42, "")</f>
        <v/>
      </c>
      <c r="C30" s="116" t="str">
        <f>'Base Data'!DW31</f>
        <v/>
      </c>
      <c r="D30" s="116" t="str">
        <f>IF(HomePage!C42 &lt;&gt; "", "vs", "")</f>
        <v/>
      </c>
      <c r="E30" s="117" t="str">
        <f>'Base Data'!DP31</f>
        <v/>
      </c>
      <c r="F30" s="118" t="str">
        <f>'Base Data'!DQ31</f>
        <v/>
      </c>
      <c r="G30" s="118" t="str">
        <f>'Base Data'!DR31</f>
        <v/>
      </c>
      <c r="H30" s="118" t="str">
        <f>'Base Data'!DS31</f>
        <v/>
      </c>
      <c r="I30" s="118" t="str">
        <f>'Base Data'!DT31</f>
        <v/>
      </c>
      <c r="J30" s="118" t="str">
        <f>'Base Data'!DU31</f>
        <v/>
      </c>
      <c r="K30" s="118" t="str">
        <f>'Base Data'!DV31</f>
        <v/>
      </c>
      <c r="L30" s="118"/>
      <c r="M30" s="118"/>
      <c r="N30" s="118"/>
      <c r="O30" s="118" t="str">
        <f>'Base Data'!CX31</f>
        <v/>
      </c>
      <c r="P30" s="118" t="str">
        <f>'Base Data'!CY31</f>
        <v/>
      </c>
      <c r="Q30" s="118" t="str">
        <f>'Base Data'!CV31</f>
        <v/>
      </c>
      <c r="R30" s="118" t="str">
        <f>'Base Data'!CW31</f>
        <v/>
      </c>
      <c r="S30" s="118"/>
      <c r="T30" s="118" t="str">
        <f>'Base Data'!CZ31</f>
        <v/>
      </c>
      <c r="U30" s="118" t="str">
        <f>'Base Data'!DA31</f>
        <v/>
      </c>
      <c r="V30" s="118" t="str">
        <f>'Base Data'!DB31</f>
        <v/>
      </c>
      <c r="W30" s="118" t="str">
        <f>'Base Data'!DC31</f>
        <v/>
      </c>
      <c r="X30" s="118"/>
      <c r="Y30" s="118"/>
      <c r="Z30" s="118" t="str">
        <f>'Base Data'!DE31</f>
        <v/>
      </c>
      <c r="AA30" s="118" t="str">
        <f>'Base Data'!DF31</f>
        <v/>
      </c>
      <c r="AB30" s="118" t="str">
        <f>'Base Data'!DG31</f>
        <v/>
      </c>
      <c r="AC30" s="118" t="str">
        <f>'Base Data'!DH31</f>
        <v/>
      </c>
      <c r="AD30" s="119" t="str">
        <f>IF('Base Data'!Y31 = "ots", "YES", "")</f>
        <v/>
      </c>
      <c r="AE30" s="119" t="str">
        <f>SWITCH('Base Data'!EE31, "? -&gt; ?", "pending", "--- -&gt; ---", "unranked", " -&gt; ", "", 'Base Data'!EE31)</f>
        <v/>
      </c>
      <c r="AF30" s="119" t="str">
        <f>IF(AND('Base Data'!EF31 &lt;&gt; "",'Base Data'!EF31 &lt;&gt; "?",'Base Data'!EF31 &lt;&gt; "---"), 'Base Data'!EF31, "")</f>
        <v/>
      </c>
    </row>
    <row r="31" ht="24.0" customHeight="1">
      <c r="A31" s="115"/>
      <c r="B31" s="115" t="str">
        <f>IF(HomePage!C43 &lt;&gt; "", HomePage!B43, "")</f>
        <v/>
      </c>
      <c r="C31" s="116" t="str">
        <f>'Base Data'!DW32</f>
        <v/>
      </c>
      <c r="D31" s="116" t="str">
        <f>IF(HomePage!C43 &lt;&gt; "", "vs", "")</f>
        <v/>
      </c>
      <c r="E31" s="117" t="str">
        <f>'Base Data'!DP32</f>
        <v/>
      </c>
      <c r="F31" s="118" t="str">
        <f>'Base Data'!DQ32</f>
        <v/>
      </c>
      <c r="G31" s="118" t="str">
        <f>'Base Data'!DR32</f>
        <v/>
      </c>
      <c r="H31" s="118" t="str">
        <f>'Base Data'!DS32</f>
        <v/>
      </c>
      <c r="I31" s="118" t="str">
        <f>'Base Data'!DT32</f>
        <v/>
      </c>
      <c r="J31" s="118" t="str">
        <f>'Base Data'!DU32</f>
        <v/>
      </c>
      <c r="K31" s="118" t="str">
        <f>'Base Data'!DV32</f>
        <v/>
      </c>
      <c r="L31" s="118"/>
      <c r="M31" s="118"/>
      <c r="N31" s="118"/>
      <c r="O31" s="118" t="str">
        <f>'Base Data'!CX32</f>
        <v/>
      </c>
      <c r="P31" s="118" t="str">
        <f>'Base Data'!CY32</f>
        <v/>
      </c>
      <c r="Q31" s="118" t="str">
        <f>'Base Data'!CV32</f>
        <v/>
      </c>
      <c r="R31" s="118" t="str">
        <f>'Base Data'!CW32</f>
        <v/>
      </c>
      <c r="S31" s="118"/>
      <c r="T31" s="118" t="str">
        <f>'Base Data'!CZ32</f>
        <v/>
      </c>
      <c r="U31" s="118" t="str">
        <f>'Base Data'!DA32</f>
        <v/>
      </c>
      <c r="V31" s="118" t="str">
        <f>'Base Data'!DB32</f>
        <v/>
      </c>
      <c r="W31" s="118" t="str">
        <f>'Base Data'!DC32</f>
        <v/>
      </c>
      <c r="X31" s="118"/>
      <c r="Y31" s="118"/>
      <c r="Z31" s="118" t="str">
        <f>'Base Data'!DE32</f>
        <v/>
      </c>
      <c r="AA31" s="118" t="str">
        <f>'Base Data'!DF32</f>
        <v/>
      </c>
      <c r="AB31" s="118" t="str">
        <f>'Base Data'!DG32</f>
        <v/>
      </c>
      <c r="AC31" s="118" t="str">
        <f>'Base Data'!DH32</f>
        <v/>
      </c>
      <c r="AD31" s="119" t="str">
        <f>IF('Base Data'!Y32 = "ots", "YES", "")</f>
        <v/>
      </c>
      <c r="AE31" s="119" t="str">
        <f>SWITCH('Base Data'!EE32, "? -&gt; ?", "pending", "--- -&gt; ---", "unranked", " -&gt; ", "", 'Base Data'!EE32)</f>
        <v/>
      </c>
      <c r="AF31" s="119" t="str">
        <f>IF(AND('Base Data'!EF32 &lt;&gt; "",'Base Data'!EF32 &lt;&gt; "?",'Base Data'!EF32 &lt;&gt; "---"), 'Base Data'!EF32, "")</f>
        <v/>
      </c>
    </row>
    <row r="32" ht="24.0" customHeight="1">
      <c r="A32" s="115"/>
      <c r="B32" s="115" t="str">
        <f>IF(HomePage!C44 &lt;&gt; "", HomePage!B44, "")</f>
        <v/>
      </c>
      <c r="C32" s="116" t="str">
        <f>'Base Data'!DW33</f>
        <v/>
      </c>
      <c r="D32" s="116" t="str">
        <f>IF(HomePage!C44 &lt;&gt; "", "vs", "")</f>
        <v/>
      </c>
      <c r="E32" s="117" t="str">
        <f>'Base Data'!DP33</f>
        <v/>
      </c>
      <c r="F32" s="118" t="str">
        <f>'Base Data'!DQ33</f>
        <v/>
      </c>
      <c r="G32" s="118" t="str">
        <f>'Base Data'!DR33</f>
        <v/>
      </c>
      <c r="H32" s="118" t="str">
        <f>'Base Data'!DS33</f>
        <v/>
      </c>
      <c r="I32" s="118" t="str">
        <f>'Base Data'!DT33</f>
        <v/>
      </c>
      <c r="J32" s="118" t="str">
        <f>'Base Data'!DU33</f>
        <v/>
      </c>
      <c r="K32" s="118" t="str">
        <f>'Base Data'!DV33</f>
        <v/>
      </c>
      <c r="L32" s="118"/>
      <c r="M32" s="118"/>
      <c r="N32" s="118"/>
      <c r="O32" s="118" t="str">
        <f>'Base Data'!CX33</f>
        <v/>
      </c>
      <c r="P32" s="118" t="str">
        <f>'Base Data'!CY33</f>
        <v/>
      </c>
      <c r="Q32" s="118" t="str">
        <f>'Base Data'!CV33</f>
        <v/>
      </c>
      <c r="R32" s="118" t="str">
        <f>'Base Data'!CW33</f>
        <v/>
      </c>
      <c r="S32" s="118"/>
      <c r="T32" s="118" t="str">
        <f>'Base Data'!CZ33</f>
        <v/>
      </c>
      <c r="U32" s="118" t="str">
        <f>'Base Data'!DA33</f>
        <v/>
      </c>
      <c r="V32" s="118" t="str">
        <f>'Base Data'!DB33</f>
        <v/>
      </c>
      <c r="W32" s="118" t="str">
        <f>'Base Data'!DC33</f>
        <v/>
      </c>
      <c r="X32" s="118"/>
      <c r="Y32" s="118"/>
      <c r="Z32" s="118" t="str">
        <f>'Base Data'!DE33</f>
        <v/>
      </c>
      <c r="AA32" s="118" t="str">
        <f>'Base Data'!DF33</f>
        <v/>
      </c>
      <c r="AB32" s="118" t="str">
        <f>'Base Data'!DG33</f>
        <v/>
      </c>
      <c r="AC32" s="118" t="str">
        <f>'Base Data'!DH33</f>
        <v/>
      </c>
      <c r="AD32" s="119" t="str">
        <f>IF('Base Data'!Y33 = "ots", "YES", "")</f>
        <v/>
      </c>
      <c r="AE32" s="119" t="str">
        <f>SWITCH('Base Data'!EE33, "? -&gt; ?", "pending", "--- -&gt; ---", "unranked", " -&gt; ", "", 'Base Data'!EE33)</f>
        <v/>
      </c>
      <c r="AF32" s="119" t="str">
        <f>IF(AND('Base Data'!EF33 &lt;&gt; "",'Base Data'!EF33 &lt;&gt; "?",'Base Data'!EF33 &lt;&gt; "---"), 'Base Data'!EF33, "")</f>
        <v/>
      </c>
    </row>
    <row r="33" ht="24.0" customHeight="1">
      <c r="A33" s="115"/>
      <c r="B33" s="115" t="str">
        <f>IF(HomePage!C45 &lt;&gt; "", HomePage!B45, "")</f>
        <v/>
      </c>
      <c r="C33" s="116" t="str">
        <f>'Base Data'!DW34</f>
        <v/>
      </c>
      <c r="D33" s="116" t="str">
        <f>IF(HomePage!C45 &lt;&gt; "", "vs", "")</f>
        <v/>
      </c>
      <c r="E33" s="117" t="str">
        <f>'Base Data'!DP34</f>
        <v/>
      </c>
      <c r="F33" s="118" t="str">
        <f>'Base Data'!DQ34</f>
        <v/>
      </c>
      <c r="G33" s="118" t="str">
        <f>'Base Data'!DR34</f>
        <v/>
      </c>
      <c r="H33" s="118" t="str">
        <f>'Base Data'!DS34</f>
        <v/>
      </c>
      <c r="I33" s="118" t="str">
        <f>'Base Data'!DT34</f>
        <v/>
      </c>
      <c r="J33" s="118" t="str">
        <f>'Base Data'!DU34</f>
        <v/>
      </c>
      <c r="K33" s="118" t="str">
        <f>'Base Data'!DV34</f>
        <v/>
      </c>
      <c r="L33" s="118"/>
      <c r="M33" s="118"/>
      <c r="N33" s="118"/>
      <c r="O33" s="118" t="str">
        <f>'Base Data'!CX34</f>
        <v/>
      </c>
      <c r="P33" s="118" t="str">
        <f>'Base Data'!CY34</f>
        <v/>
      </c>
      <c r="Q33" s="118" t="str">
        <f>'Base Data'!CV34</f>
        <v/>
      </c>
      <c r="R33" s="118" t="str">
        <f>'Base Data'!CW34</f>
        <v/>
      </c>
      <c r="S33" s="118"/>
      <c r="T33" s="118" t="str">
        <f>'Base Data'!CZ34</f>
        <v/>
      </c>
      <c r="U33" s="118" t="str">
        <f>'Base Data'!DA34</f>
        <v/>
      </c>
      <c r="V33" s="118" t="str">
        <f>'Base Data'!DB34</f>
        <v/>
      </c>
      <c r="W33" s="118" t="str">
        <f>'Base Data'!DC34</f>
        <v/>
      </c>
      <c r="X33" s="118"/>
      <c r="Y33" s="118"/>
      <c r="Z33" s="118" t="str">
        <f>'Base Data'!DE34</f>
        <v/>
      </c>
      <c r="AA33" s="118" t="str">
        <f>'Base Data'!DF34</f>
        <v/>
      </c>
      <c r="AB33" s="118" t="str">
        <f>'Base Data'!DG34</f>
        <v/>
      </c>
      <c r="AC33" s="118" t="str">
        <f>'Base Data'!DH34</f>
        <v/>
      </c>
      <c r="AD33" s="119" t="str">
        <f>IF('Base Data'!Y34 = "ots", "YES", "")</f>
        <v/>
      </c>
      <c r="AE33" s="119" t="str">
        <f>SWITCH('Base Data'!EE34, "? -&gt; ?", "pending", "--- -&gt; ---", "unranked", " -&gt; ", "", 'Base Data'!EE34)</f>
        <v/>
      </c>
      <c r="AF33" s="119" t="str">
        <f>IF(AND('Base Data'!EF34 &lt;&gt; "",'Base Data'!EF34 &lt;&gt; "?",'Base Data'!EF34 &lt;&gt; "---"), 'Base Data'!EF34, "")</f>
        <v/>
      </c>
    </row>
    <row r="34" ht="24.0" customHeight="1">
      <c r="A34" s="115"/>
      <c r="B34" s="115" t="str">
        <f>IF(HomePage!C46 &lt;&gt; "", HomePage!B46, "")</f>
        <v/>
      </c>
      <c r="C34" s="116" t="str">
        <f>'Base Data'!DW35</f>
        <v/>
      </c>
      <c r="D34" s="116" t="str">
        <f>IF(HomePage!C46 &lt;&gt; "", "vs", "")</f>
        <v/>
      </c>
      <c r="E34" s="117" t="str">
        <f>'Base Data'!DP35</f>
        <v/>
      </c>
      <c r="F34" s="118" t="str">
        <f>'Base Data'!DQ35</f>
        <v/>
      </c>
      <c r="G34" s="118" t="str">
        <f>'Base Data'!DR35</f>
        <v/>
      </c>
      <c r="H34" s="118" t="str">
        <f>'Base Data'!DS35</f>
        <v/>
      </c>
      <c r="I34" s="118" t="str">
        <f>'Base Data'!DT35</f>
        <v/>
      </c>
      <c r="J34" s="118" t="str">
        <f>'Base Data'!DU35</f>
        <v/>
      </c>
      <c r="K34" s="118" t="str">
        <f>'Base Data'!DV35</f>
        <v/>
      </c>
      <c r="L34" s="118"/>
      <c r="M34" s="118"/>
      <c r="N34" s="118"/>
      <c r="O34" s="118" t="str">
        <f>'Base Data'!CX35</f>
        <v/>
      </c>
      <c r="P34" s="118" t="str">
        <f>'Base Data'!CY35</f>
        <v/>
      </c>
      <c r="Q34" s="118" t="str">
        <f>'Base Data'!CV35</f>
        <v/>
      </c>
      <c r="R34" s="118" t="str">
        <f>'Base Data'!CW35</f>
        <v/>
      </c>
      <c r="S34" s="118"/>
      <c r="T34" s="118" t="str">
        <f>'Base Data'!CZ35</f>
        <v/>
      </c>
      <c r="U34" s="118" t="str">
        <f>'Base Data'!DA35</f>
        <v/>
      </c>
      <c r="V34" s="118" t="str">
        <f>'Base Data'!DB35</f>
        <v/>
      </c>
      <c r="W34" s="118" t="str">
        <f>'Base Data'!DC35</f>
        <v/>
      </c>
      <c r="X34" s="118"/>
      <c r="Y34" s="118"/>
      <c r="Z34" s="118" t="str">
        <f>'Base Data'!DE35</f>
        <v/>
      </c>
      <c r="AA34" s="118" t="str">
        <f>'Base Data'!DF35</f>
        <v/>
      </c>
      <c r="AB34" s="118" t="str">
        <f>'Base Data'!DG35</f>
        <v/>
      </c>
      <c r="AC34" s="118" t="str">
        <f>'Base Data'!DH35</f>
        <v/>
      </c>
      <c r="AD34" s="119" t="str">
        <f>IF('Base Data'!Y35 = "ots", "YES", "")</f>
        <v/>
      </c>
      <c r="AE34" s="119" t="str">
        <f>SWITCH('Base Data'!EE35, "? -&gt; ?", "pending", "--- -&gt; ---", "unranked", " -&gt; ", "", 'Base Data'!EE35)</f>
        <v/>
      </c>
      <c r="AF34" s="119" t="str">
        <f>IF(AND('Base Data'!EF35 &lt;&gt; "",'Base Data'!EF35 &lt;&gt; "?",'Base Data'!EF35 &lt;&gt; "---"), 'Base Data'!EF35, "")</f>
        <v/>
      </c>
    </row>
    <row r="35" ht="24.0" customHeight="1">
      <c r="A35" s="115"/>
      <c r="B35" s="115" t="str">
        <f>IF(HomePage!C47 &lt;&gt; "", HomePage!B47, "")</f>
        <v/>
      </c>
      <c r="C35" s="116" t="str">
        <f>'Base Data'!DW36</f>
        <v/>
      </c>
      <c r="D35" s="116" t="str">
        <f>IF(HomePage!C47 &lt;&gt; "", "vs", "")</f>
        <v/>
      </c>
      <c r="E35" s="117" t="str">
        <f>'Base Data'!DP36</f>
        <v/>
      </c>
      <c r="F35" s="118" t="str">
        <f>'Base Data'!DQ36</f>
        <v/>
      </c>
      <c r="G35" s="118" t="str">
        <f>'Base Data'!DR36</f>
        <v/>
      </c>
      <c r="H35" s="118" t="str">
        <f>'Base Data'!DS36</f>
        <v/>
      </c>
      <c r="I35" s="118" t="str">
        <f>'Base Data'!DT36</f>
        <v/>
      </c>
      <c r="J35" s="118" t="str">
        <f>'Base Data'!DU36</f>
        <v/>
      </c>
      <c r="K35" s="118" t="str">
        <f>'Base Data'!DV36</f>
        <v/>
      </c>
      <c r="L35" s="118"/>
      <c r="M35" s="118"/>
      <c r="N35" s="118"/>
      <c r="O35" s="118" t="str">
        <f>'Base Data'!CX36</f>
        <v/>
      </c>
      <c r="P35" s="118" t="str">
        <f>'Base Data'!CY36</f>
        <v/>
      </c>
      <c r="Q35" s="118" t="str">
        <f>'Base Data'!CV36</f>
        <v/>
      </c>
      <c r="R35" s="118" t="str">
        <f>'Base Data'!CW36</f>
        <v/>
      </c>
      <c r="S35" s="118"/>
      <c r="T35" s="118" t="str">
        <f>'Base Data'!CZ36</f>
        <v/>
      </c>
      <c r="U35" s="118" t="str">
        <f>'Base Data'!DA36</f>
        <v/>
      </c>
      <c r="V35" s="118" t="str">
        <f>'Base Data'!DB36</f>
        <v/>
      </c>
      <c r="W35" s="118" t="str">
        <f>'Base Data'!DC36</f>
        <v/>
      </c>
      <c r="X35" s="118"/>
      <c r="Y35" s="118"/>
      <c r="Z35" s="118" t="str">
        <f>'Base Data'!DE36</f>
        <v/>
      </c>
      <c r="AA35" s="118" t="str">
        <f>'Base Data'!DF36</f>
        <v/>
      </c>
      <c r="AB35" s="118" t="str">
        <f>'Base Data'!DG36</f>
        <v/>
      </c>
      <c r="AC35" s="118" t="str">
        <f>'Base Data'!DH36</f>
        <v/>
      </c>
      <c r="AD35" s="119" t="str">
        <f>IF('Base Data'!Y36 = "ots", "YES", "")</f>
        <v/>
      </c>
      <c r="AE35" s="119" t="str">
        <f>SWITCH('Base Data'!EE36, "? -&gt; ?", "pending", "--- -&gt; ---", "unranked", " -&gt; ", "", 'Base Data'!EE36)</f>
        <v/>
      </c>
      <c r="AF35" s="119" t="str">
        <f>IF(AND('Base Data'!EF36 &lt;&gt; "",'Base Data'!EF36 &lt;&gt; "?",'Base Data'!EF36 &lt;&gt; "---"), 'Base Data'!EF36, "")</f>
        <v/>
      </c>
    </row>
    <row r="36" ht="24.0" customHeight="1">
      <c r="A36" s="115"/>
      <c r="B36" s="115" t="str">
        <f>IF(HomePage!C48 &lt;&gt; "", HomePage!B48, "")</f>
        <v/>
      </c>
      <c r="C36" s="116" t="str">
        <f>'Base Data'!DW37</f>
        <v/>
      </c>
      <c r="D36" s="116" t="str">
        <f>IF(HomePage!C48 &lt;&gt; "", "vs", "")</f>
        <v/>
      </c>
      <c r="E36" s="117" t="str">
        <f>'Base Data'!DP37</f>
        <v/>
      </c>
      <c r="F36" s="118" t="str">
        <f>'Base Data'!DQ37</f>
        <v/>
      </c>
      <c r="G36" s="118" t="str">
        <f>'Base Data'!DR37</f>
        <v/>
      </c>
      <c r="H36" s="118" t="str">
        <f>'Base Data'!DS37</f>
        <v/>
      </c>
      <c r="I36" s="118" t="str">
        <f>'Base Data'!DT37</f>
        <v/>
      </c>
      <c r="J36" s="118" t="str">
        <f>'Base Data'!DU37</f>
        <v/>
      </c>
      <c r="K36" s="118" t="str">
        <f>'Base Data'!DV37</f>
        <v/>
      </c>
      <c r="L36" s="118"/>
      <c r="M36" s="118"/>
      <c r="N36" s="118"/>
      <c r="O36" s="118" t="str">
        <f>'Base Data'!CX37</f>
        <v/>
      </c>
      <c r="P36" s="118" t="str">
        <f>'Base Data'!CY37</f>
        <v/>
      </c>
      <c r="Q36" s="118" t="str">
        <f>'Base Data'!CV37</f>
        <v/>
      </c>
      <c r="R36" s="118" t="str">
        <f>'Base Data'!CW37</f>
        <v/>
      </c>
      <c r="S36" s="118"/>
      <c r="T36" s="118" t="str">
        <f>'Base Data'!CZ37</f>
        <v/>
      </c>
      <c r="U36" s="118" t="str">
        <f>'Base Data'!DA37</f>
        <v/>
      </c>
      <c r="V36" s="118" t="str">
        <f>'Base Data'!DB37</f>
        <v/>
      </c>
      <c r="W36" s="118" t="str">
        <f>'Base Data'!DC37</f>
        <v/>
      </c>
      <c r="X36" s="118"/>
      <c r="Y36" s="118"/>
      <c r="Z36" s="118" t="str">
        <f>'Base Data'!DE37</f>
        <v/>
      </c>
      <c r="AA36" s="118" t="str">
        <f>'Base Data'!DF37</f>
        <v/>
      </c>
      <c r="AB36" s="118" t="str">
        <f>'Base Data'!DG37</f>
        <v/>
      </c>
      <c r="AC36" s="118" t="str">
        <f>'Base Data'!DH37</f>
        <v/>
      </c>
      <c r="AD36" s="119" t="str">
        <f>IF('Base Data'!Y37 = "ots", "YES", "")</f>
        <v/>
      </c>
      <c r="AE36" s="119" t="str">
        <f>SWITCH('Base Data'!EE37, "? -&gt; ?", "pending", "--- -&gt; ---", "unranked", " -&gt; ", "", 'Base Data'!EE37)</f>
        <v/>
      </c>
      <c r="AF36" s="119" t="str">
        <f>IF(AND('Base Data'!EF37 &lt;&gt; "",'Base Data'!EF37 &lt;&gt; "?",'Base Data'!EF37 &lt;&gt; "---"), 'Base Data'!EF37, "")</f>
        <v/>
      </c>
    </row>
    <row r="37" ht="24.0" customHeight="1">
      <c r="A37" s="115"/>
      <c r="B37" s="115" t="str">
        <f>IF(HomePage!C49 &lt;&gt; "", HomePage!B49, "")</f>
        <v/>
      </c>
      <c r="C37" s="116" t="str">
        <f>'Base Data'!DW38</f>
        <v/>
      </c>
      <c r="D37" s="116" t="str">
        <f>IF(HomePage!C49 &lt;&gt; "", "vs", "")</f>
        <v/>
      </c>
      <c r="E37" s="117" t="str">
        <f>'Base Data'!DP38</f>
        <v/>
      </c>
      <c r="F37" s="118" t="str">
        <f>'Base Data'!DQ38</f>
        <v/>
      </c>
      <c r="G37" s="118" t="str">
        <f>'Base Data'!DR38</f>
        <v/>
      </c>
      <c r="H37" s="118" t="str">
        <f>'Base Data'!DS38</f>
        <v/>
      </c>
      <c r="I37" s="118" t="str">
        <f>'Base Data'!DT38</f>
        <v/>
      </c>
      <c r="J37" s="118" t="str">
        <f>'Base Data'!DU38</f>
        <v/>
      </c>
      <c r="K37" s="118" t="str">
        <f>'Base Data'!DV38</f>
        <v/>
      </c>
      <c r="L37" s="118"/>
      <c r="M37" s="118"/>
      <c r="N37" s="118"/>
      <c r="O37" s="118" t="str">
        <f>'Base Data'!CX38</f>
        <v/>
      </c>
      <c r="P37" s="118" t="str">
        <f>'Base Data'!CY38</f>
        <v/>
      </c>
      <c r="Q37" s="118" t="str">
        <f>'Base Data'!CV38</f>
        <v/>
      </c>
      <c r="R37" s="118" t="str">
        <f>'Base Data'!CW38</f>
        <v/>
      </c>
      <c r="S37" s="118"/>
      <c r="T37" s="118" t="str">
        <f>'Base Data'!CZ38</f>
        <v/>
      </c>
      <c r="U37" s="118" t="str">
        <f>'Base Data'!DA38</f>
        <v/>
      </c>
      <c r="V37" s="118" t="str">
        <f>'Base Data'!DB38</f>
        <v/>
      </c>
      <c r="W37" s="118" t="str">
        <f>'Base Data'!DC38</f>
        <v/>
      </c>
      <c r="X37" s="118"/>
      <c r="Y37" s="118"/>
      <c r="Z37" s="118" t="str">
        <f>'Base Data'!DE38</f>
        <v/>
      </c>
      <c r="AA37" s="118" t="str">
        <f>'Base Data'!DF38</f>
        <v/>
      </c>
      <c r="AB37" s="118" t="str">
        <f>'Base Data'!DG38</f>
        <v/>
      </c>
      <c r="AC37" s="118" t="str">
        <f>'Base Data'!DH38</f>
        <v/>
      </c>
      <c r="AD37" s="119" t="str">
        <f>IF('Base Data'!Y38 = "ots", "YES", "")</f>
        <v/>
      </c>
      <c r="AE37" s="119" t="str">
        <f>SWITCH('Base Data'!EE38, "? -&gt; ?", "pending", "--- -&gt; ---", "unranked", " -&gt; ", "", 'Base Data'!EE38)</f>
        <v/>
      </c>
      <c r="AF37" s="119" t="str">
        <f>IF(AND('Base Data'!EF38 &lt;&gt; "",'Base Data'!EF38 &lt;&gt; "?",'Base Data'!EF38 &lt;&gt; "---"), 'Base Data'!EF38, "")</f>
        <v/>
      </c>
    </row>
    <row r="38" ht="24.0" customHeight="1">
      <c r="A38" s="115"/>
      <c r="B38" s="115" t="str">
        <f>IF(HomePage!C50 &lt;&gt; "", HomePage!B50, "")</f>
        <v/>
      </c>
      <c r="C38" s="116" t="str">
        <f>'Base Data'!DW39</f>
        <v/>
      </c>
      <c r="D38" s="116" t="str">
        <f>IF(HomePage!C50 &lt;&gt; "", "vs", "")</f>
        <v/>
      </c>
      <c r="E38" s="117" t="str">
        <f>'Base Data'!DP39</f>
        <v/>
      </c>
      <c r="F38" s="118" t="str">
        <f>'Base Data'!DQ39</f>
        <v/>
      </c>
      <c r="G38" s="118" t="str">
        <f>'Base Data'!DR39</f>
        <v/>
      </c>
      <c r="H38" s="118" t="str">
        <f>'Base Data'!DS39</f>
        <v/>
      </c>
      <c r="I38" s="118" t="str">
        <f>'Base Data'!DT39</f>
        <v/>
      </c>
      <c r="J38" s="118" t="str">
        <f>'Base Data'!DU39</f>
        <v/>
      </c>
      <c r="K38" s="118" t="str">
        <f>'Base Data'!DV39</f>
        <v/>
      </c>
      <c r="L38" s="118"/>
      <c r="M38" s="118"/>
      <c r="N38" s="118"/>
      <c r="O38" s="118" t="str">
        <f>'Base Data'!CX39</f>
        <v/>
      </c>
      <c r="P38" s="118" t="str">
        <f>'Base Data'!CY39</f>
        <v/>
      </c>
      <c r="Q38" s="118" t="str">
        <f>'Base Data'!CV39</f>
        <v/>
      </c>
      <c r="R38" s="118" t="str">
        <f>'Base Data'!CW39</f>
        <v/>
      </c>
      <c r="S38" s="118"/>
      <c r="T38" s="118" t="str">
        <f>'Base Data'!CZ39</f>
        <v/>
      </c>
      <c r="U38" s="118" t="str">
        <f>'Base Data'!DA39</f>
        <v/>
      </c>
      <c r="V38" s="118" t="str">
        <f>'Base Data'!DB39</f>
        <v/>
      </c>
      <c r="W38" s="118" t="str">
        <f>'Base Data'!DC39</f>
        <v/>
      </c>
      <c r="X38" s="118"/>
      <c r="Y38" s="118"/>
      <c r="Z38" s="118" t="str">
        <f>'Base Data'!DE39</f>
        <v/>
      </c>
      <c r="AA38" s="118" t="str">
        <f>'Base Data'!DF39</f>
        <v/>
      </c>
      <c r="AB38" s="118" t="str">
        <f>'Base Data'!DG39</f>
        <v/>
      </c>
      <c r="AC38" s="118" t="str">
        <f>'Base Data'!DH39</f>
        <v/>
      </c>
      <c r="AD38" s="119" t="str">
        <f>IF('Base Data'!Y39 = "ots", "YES", "")</f>
        <v/>
      </c>
      <c r="AE38" s="119" t="str">
        <f>SWITCH('Base Data'!EE39, "? -&gt; ?", "pending", "--- -&gt; ---", "unranked", " -&gt; ", "", 'Base Data'!EE39)</f>
        <v/>
      </c>
      <c r="AF38" s="119" t="str">
        <f>IF(AND('Base Data'!EF39 &lt;&gt; "",'Base Data'!EF39 &lt;&gt; "?",'Base Data'!EF39 &lt;&gt; "---"), 'Base Data'!EF39, "")</f>
        <v/>
      </c>
    </row>
    <row r="39" ht="24.0" customHeight="1">
      <c r="A39" s="115"/>
      <c r="B39" s="115" t="str">
        <f>IF(HomePage!C51 &lt;&gt; "", HomePage!B51, "")</f>
        <v/>
      </c>
      <c r="C39" s="116" t="str">
        <f>'Base Data'!DW40</f>
        <v/>
      </c>
      <c r="D39" s="116" t="str">
        <f>IF(HomePage!C51 &lt;&gt; "", "vs", "")</f>
        <v/>
      </c>
      <c r="E39" s="117" t="str">
        <f>'Base Data'!DP40</f>
        <v/>
      </c>
      <c r="F39" s="118" t="str">
        <f>'Base Data'!DQ40</f>
        <v/>
      </c>
      <c r="G39" s="118" t="str">
        <f>'Base Data'!DR40</f>
        <v/>
      </c>
      <c r="H39" s="118" t="str">
        <f>'Base Data'!DS40</f>
        <v/>
      </c>
      <c r="I39" s="118" t="str">
        <f>'Base Data'!DT40</f>
        <v/>
      </c>
      <c r="J39" s="118" t="str">
        <f>'Base Data'!DU40</f>
        <v/>
      </c>
      <c r="K39" s="118" t="str">
        <f>'Base Data'!DV40</f>
        <v/>
      </c>
      <c r="L39" s="118"/>
      <c r="M39" s="118"/>
      <c r="N39" s="118"/>
      <c r="O39" s="118" t="str">
        <f>'Base Data'!CX40</f>
        <v/>
      </c>
      <c r="P39" s="118" t="str">
        <f>'Base Data'!CY40</f>
        <v/>
      </c>
      <c r="Q39" s="118" t="str">
        <f>'Base Data'!CV40</f>
        <v/>
      </c>
      <c r="R39" s="118" t="str">
        <f>'Base Data'!CW40</f>
        <v/>
      </c>
      <c r="S39" s="118"/>
      <c r="T39" s="118" t="str">
        <f>'Base Data'!CZ40</f>
        <v/>
      </c>
      <c r="U39" s="118" t="str">
        <f>'Base Data'!DA40</f>
        <v/>
      </c>
      <c r="V39" s="118" t="str">
        <f>'Base Data'!DB40</f>
        <v/>
      </c>
      <c r="W39" s="118" t="str">
        <f>'Base Data'!DC40</f>
        <v/>
      </c>
      <c r="X39" s="118"/>
      <c r="Y39" s="118"/>
      <c r="Z39" s="118" t="str">
        <f>'Base Data'!DE40</f>
        <v/>
      </c>
      <c r="AA39" s="118" t="str">
        <f>'Base Data'!DF40</f>
        <v/>
      </c>
      <c r="AB39" s="118" t="str">
        <f>'Base Data'!DG40</f>
        <v/>
      </c>
      <c r="AC39" s="118" t="str">
        <f>'Base Data'!DH40</f>
        <v/>
      </c>
      <c r="AD39" s="119" t="str">
        <f>IF('Base Data'!Y40 = "ots", "YES", "")</f>
        <v/>
      </c>
      <c r="AE39" s="119" t="str">
        <f>SWITCH('Base Data'!EE40, "? -&gt; ?", "pending", "--- -&gt; ---", "unranked", " -&gt; ", "", 'Base Data'!EE40)</f>
        <v/>
      </c>
      <c r="AF39" s="119" t="str">
        <f>IF(AND('Base Data'!EF40 &lt;&gt; "",'Base Data'!EF40 &lt;&gt; "?",'Base Data'!EF40 &lt;&gt; "---"), 'Base Data'!EF40, "")</f>
        <v/>
      </c>
    </row>
    <row r="40" ht="24.0" customHeight="1">
      <c r="A40" s="115"/>
      <c r="B40" s="115" t="str">
        <f>IF(HomePage!C52 &lt;&gt; "", HomePage!B52, "")</f>
        <v/>
      </c>
      <c r="C40" s="116" t="str">
        <f>'Base Data'!DW41</f>
        <v/>
      </c>
      <c r="D40" s="116" t="str">
        <f>IF(HomePage!C52 &lt;&gt; "", "vs", "")</f>
        <v/>
      </c>
      <c r="E40" s="117" t="str">
        <f>'Base Data'!DP41</f>
        <v/>
      </c>
      <c r="F40" s="118" t="str">
        <f>'Base Data'!DQ41</f>
        <v/>
      </c>
      <c r="G40" s="118" t="str">
        <f>'Base Data'!DR41</f>
        <v/>
      </c>
      <c r="H40" s="118" t="str">
        <f>'Base Data'!DS41</f>
        <v/>
      </c>
      <c r="I40" s="118" t="str">
        <f>'Base Data'!DT41</f>
        <v/>
      </c>
      <c r="J40" s="118" t="str">
        <f>'Base Data'!DU41</f>
        <v/>
      </c>
      <c r="K40" s="118" t="str">
        <f>'Base Data'!DV41</f>
        <v/>
      </c>
      <c r="L40" s="118"/>
      <c r="M40" s="118"/>
      <c r="N40" s="118"/>
      <c r="O40" s="118" t="str">
        <f>'Base Data'!CX41</f>
        <v/>
      </c>
      <c r="P40" s="118" t="str">
        <f>'Base Data'!CY41</f>
        <v/>
      </c>
      <c r="Q40" s="118" t="str">
        <f>'Base Data'!CV41</f>
        <v/>
      </c>
      <c r="R40" s="118" t="str">
        <f>'Base Data'!CW41</f>
        <v/>
      </c>
      <c r="S40" s="118"/>
      <c r="T40" s="118" t="str">
        <f>'Base Data'!CZ41</f>
        <v/>
      </c>
      <c r="U40" s="118" t="str">
        <f>'Base Data'!DA41</f>
        <v/>
      </c>
      <c r="V40" s="118" t="str">
        <f>'Base Data'!DB41</f>
        <v/>
      </c>
      <c r="W40" s="118" t="str">
        <f>'Base Data'!DC41</f>
        <v/>
      </c>
      <c r="X40" s="118"/>
      <c r="Y40" s="118"/>
      <c r="Z40" s="118" t="str">
        <f>'Base Data'!DE41</f>
        <v/>
      </c>
      <c r="AA40" s="118" t="str">
        <f>'Base Data'!DF41</f>
        <v/>
      </c>
      <c r="AB40" s="118" t="str">
        <f>'Base Data'!DG41</f>
        <v/>
      </c>
      <c r="AC40" s="118" t="str">
        <f>'Base Data'!DH41</f>
        <v/>
      </c>
      <c r="AD40" s="119" t="str">
        <f>IF('Base Data'!Y41 = "ots", "YES", "")</f>
        <v/>
      </c>
      <c r="AE40" s="119" t="str">
        <f>SWITCH('Base Data'!EE41, "? -&gt; ?", "pending", "--- -&gt; ---", "unranked", " -&gt; ", "", 'Base Data'!EE41)</f>
        <v/>
      </c>
      <c r="AF40" s="119" t="str">
        <f>IF(AND('Base Data'!EF41 &lt;&gt; "",'Base Data'!EF41 &lt;&gt; "?",'Base Data'!EF41 &lt;&gt; "---"), 'Base Data'!EF41, "")</f>
        <v/>
      </c>
    </row>
    <row r="41" ht="24.0" customHeight="1">
      <c r="A41" s="115"/>
      <c r="B41" s="115" t="str">
        <f>IF(HomePage!C53 &lt;&gt; "", HomePage!B53, "")</f>
        <v/>
      </c>
      <c r="C41" s="116" t="str">
        <f>'Base Data'!DW42</f>
        <v/>
      </c>
      <c r="D41" s="116" t="str">
        <f>IF(HomePage!C53 &lt;&gt; "", "vs", "")</f>
        <v/>
      </c>
      <c r="E41" s="117" t="str">
        <f>'Base Data'!DP42</f>
        <v/>
      </c>
      <c r="F41" s="118" t="str">
        <f>'Base Data'!DQ42</f>
        <v/>
      </c>
      <c r="G41" s="118" t="str">
        <f>'Base Data'!DR42</f>
        <v/>
      </c>
      <c r="H41" s="118" t="str">
        <f>'Base Data'!DS42</f>
        <v/>
      </c>
      <c r="I41" s="118" t="str">
        <f>'Base Data'!DT42</f>
        <v/>
      </c>
      <c r="J41" s="118" t="str">
        <f>'Base Data'!DU42</f>
        <v/>
      </c>
      <c r="K41" s="118" t="str">
        <f>'Base Data'!DV42</f>
        <v/>
      </c>
      <c r="L41" s="118"/>
      <c r="M41" s="118"/>
      <c r="N41" s="118"/>
      <c r="O41" s="118" t="str">
        <f>'Base Data'!CX42</f>
        <v/>
      </c>
      <c r="P41" s="118" t="str">
        <f>'Base Data'!CY42</f>
        <v/>
      </c>
      <c r="Q41" s="118" t="str">
        <f>'Base Data'!CV42</f>
        <v/>
      </c>
      <c r="R41" s="118" t="str">
        <f>'Base Data'!CW42</f>
        <v/>
      </c>
      <c r="S41" s="118"/>
      <c r="T41" s="118" t="str">
        <f>'Base Data'!CZ42</f>
        <v/>
      </c>
      <c r="U41" s="118" t="str">
        <f>'Base Data'!DA42</f>
        <v/>
      </c>
      <c r="V41" s="118" t="str">
        <f>'Base Data'!DB42</f>
        <v/>
      </c>
      <c r="W41" s="118" t="str">
        <f>'Base Data'!DC42</f>
        <v/>
      </c>
      <c r="X41" s="118"/>
      <c r="Y41" s="118"/>
      <c r="Z41" s="118" t="str">
        <f>'Base Data'!DE42</f>
        <v/>
      </c>
      <c r="AA41" s="118" t="str">
        <f>'Base Data'!DF42</f>
        <v/>
      </c>
      <c r="AB41" s="118" t="str">
        <f>'Base Data'!DG42</f>
        <v/>
      </c>
      <c r="AC41" s="118" t="str">
        <f>'Base Data'!DH42</f>
        <v/>
      </c>
      <c r="AD41" s="119" t="str">
        <f>IF('Base Data'!Y42 = "ots", "YES", "")</f>
        <v/>
      </c>
      <c r="AE41" s="119" t="str">
        <f>SWITCH('Base Data'!EE42, "? -&gt; ?", "pending", "--- -&gt; ---", "unranked", " -&gt; ", "", 'Base Data'!EE42)</f>
        <v/>
      </c>
      <c r="AF41" s="119" t="str">
        <f>IF(AND('Base Data'!EF42 &lt;&gt; "",'Base Data'!EF42 &lt;&gt; "?",'Base Data'!EF42 &lt;&gt; "---"), 'Base Data'!EF42, "")</f>
        <v/>
      </c>
    </row>
    <row r="42" ht="24.0" customHeight="1">
      <c r="A42" s="115"/>
      <c r="B42" s="115" t="str">
        <f>IF(HomePage!C54 &lt;&gt; "", HomePage!B54, "")</f>
        <v/>
      </c>
      <c r="C42" s="116" t="str">
        <f>'Base Data'!DW43</f>
        <v/>
      </c>
      <c r="D42" s="116" t="str">
        <f>IF(HomePage!C54 &lt;&gt; "", "vs", "")</f>
        <v/>
      </c>
      <c r="E42" s="117" t="str">
        <f>'Base Data'!DP43</f>
        <v/>
      </c>
      <c r="F42" s="118" t="str">
        <f>'Base Data'!DQ43</f>
        <v/>
      </c>
      <c r="G42" s="118" t="str">
        <f>'Base Data'!DR43</f>
        <v/>
      </c>
      <c r="H42" s="118" t="str">
        <f>'Base Data'!DS43</f>
        <v/>
      </c>
      <c r="I42" s="118" t="str">
        <f>'Base Data'!DT43</f>
        <v/>
      </c>
      <c r="J42" s="118" t="str">
        <f>'Base Data'!DU43</f>
        <v/>
      </c>
      <c r="K42" s="118" t="str">
        <f>'Base Data'!DV43</f>
        <v/>
      </c>
      <c r="L42" s="118"/>
      <c r="M42" s="118"/>
      <c r="N42" s="118"/>
      <c r="O42" s="118" t="str">
        <f>'Base Data'!CX43</f>
        <v/>
      </c>
      <c r="P42" s="118" t="str">
        <f>'Base Data'!CY43</f>
        <v/>
      </c>
      <c r="Q42" s="118" t="str">
        <f>'Base Data'!CV43</f>
        <v/>
      </c>
      <c r="R42" s="118" t="str">
        <f>'Base Data'!CW43</f>
        <v/>
      </c>
      <c r="S42" s="118"/>
      <c r="T42" s="118" t="str">
        <f>'Base Data'!CZ43</f>
        <v/>
      </c>
      <c r="U42" s="118" t="str">
        <f>'Base Data'!DA43</f>
        <v/>
      </c>
      <c r="V42" s="118" t="str">
        <f>'Base Data'!DB43</f>
        <v/>
      </c>
      <c r="W42" s="118" t="str">
        <f>'Base Data'!DC43</f>
        <v/>
      </c>
      <c r="X42" s="118"/>
      <c r="Y42" s="118"/>
      <c r="Z42" s="118" t="str">
        <f>'Base Data'!DE43</f>
        <v/>
      </c>
      <c r="AA42" s="118" t="str">
        <f>'Base Data'!DF43</f>
        <v/>
      </c>
      <c r="AB42" s="118" t="str">
        <f>'Base Data'!DG43</f>
        <v/>
      </c>
      <c r="AC42" s="118" t="str">
        <f>'Base Data'!DH43</f>
        <v/>
      </c>
      <c r="AD42" s="119" t="str">
        <f>IF('Base Data'!Y43 = "ots", "YES", "")</f>
        <v/>
      </c>
      <c r="AE42" s="119" t="str">
        <f>SWITCH('Base Data'!EE43, "? -&gt; ?", "pending", "--- -&gt; ---", "unranked", " -&gt; ", "", 'Base Data'!EE43)</f>
        <v/>
      </c>
      <c r="AF42" s="119" t="str">
        <f>IF(AND('Base Data'!EF43 &lt;&gt; "",'Base Data'!EF43 &lt;&gt; "?",'Base Data'!EF43 &lt;&gt; "---"), 'Base Data'!EF43, "")</f>
        <v/>
      </c>
    </row>
    <row r="43" ht="24.0" customHeight="1">
      <c r="A43" s="115"/>
      <c r="B43" s="115" t="str">
        <f>IF(HomePage!C55 &lt;&gt; "", HomePage!B55, "")</f>
        <v/>
      </c>
      <c r="C43" s="116" t="str">
        <f>'Base Data'!DW44</f>
        <v/>
      </c>
      <c r="D43" s="116" t="str">
        <f>IF(HomePage!C55 &lt;&gt; "", "vs", "")</f>
        <v/>
      </c>
      <c r="E43" s="117" t="str">
        <f>'Base Data'!DP44</f>
        <v/>
      </c>
      <c r="F43" s="118" t="str">
        <f>'Base Data'!DQ44</f>
        <v/>
      </c>
      <c r="G43" s="118" t="str">
        <f>'Base Data'!DR44</f>
        <v/>
      </c>
      <c r="H43" s="118" t="str">
        <f>'Base Data'!DS44</f>
        <v/>
      </c>
      <c r="I43" s="118" t="str">
        <f>'Base Data'!DT44</f>
        <v/>
      </c>
      <c r="J43" s="118" t="str">
        <f>'Base Data'!DU44</f>
        <v/>
      </c>
      <c r="K43" s="118" t="str">
        <f>'Base Data'!DV44</f>
        <v/>
      </c>
      <c r="L43" s="118"/>
      <c r="M43" s="118"/>
      <c r="N43" s="118"/>
      <c r="O43" s="118" t="str">
        <f>'Base Data'!CX44</f>
        <v/>
      </c>
      <c r="P43" s="118" t="str">
        <f>'Base Data'!CY44</f>
        <v/>
      </c>
      <c r="Q43" s="118" t="str">
        <f>'Base Data'!CV44</f>
        <v/>
      </c>
      <c r="R43" s="118" t="str">
        <f>'Base Data'!CW44</f>
        <v/>
      </c>
      <c r="S43" s="118"/>
      <c r="T43" s="118" t="str">
        <f>'Base Data'!CZ44</f>
        <v/>
      </c>
      <c r="U43" s="118" t="str">
        <f>'Base Data'!DA44</f>
        <v/>
      </c>
      <c r="V43" s="118" t="str">
        <f>'Base Data'!DB44</f>
        <v/>
      </c>
      <c r="W43" s="118" t="str">
        <f>'Base Data'!DC44</f>
        <v/>
      </c>
      <c r="X43" s="118"/>
      <c r="Y43" s="118"/>
      <c r="Z43" s="118" t="str">
        <f>'Base Data'!DE44</f>
        <v/>
      </c>
      <c r="AA43" s="118" t="str">
        <f>'Base Data'!DF44</f>
        <v/>
      </c>
      <c r="AB43" s="118" t="str">
        <f>'Base Data'!DG44</f>
        <v/>
      </c>
      <c r="AC43" s="118" t="str">
        <f>'Base Data'!DH44</f>
        <v/>
      </c>
      <c r="AD43" s="119" t="str">
        <f>IF('Base Data'!Y44 = "ots", "YES", "")</f>
        <v/>
      </c>
      <c r="AE43" s="119" t="str">
        <f>SWITCH('Base Data'!EE44, "? -&gt; ?", "pending", "--- -&gt; ---", "unranked", " -&gt; ", "", 'Base Data'!EE44)</f>
        <v/>
      </c>
      <c r="AF43" s="119" t="str">
        <f>IF(AND('Base Data'!EF44 &lt;&gt; "",'Base Data'!EF44 &lt;&gt; "?",'Base Data'!EF44 &lt;&gt; "---"), 'Base Data'!EF44, "")</f>
        <v/>
      </c>
    </row>
    <row r="44" ht="24.0" customHeight="1">
      <c r="A44" s="115"/>
      <c r="B44" s="115" t="str">
        <f>IF(HomePage!C56 &lt;&gt; "", HomePage!B56, "")</f>
        <v/>
      </c>
      <c r="C44" s="116" t="str">
        <f>'Base Data'!DW45</f>
        <v/>
      </c>
      <c r="D44" s="116" t="str">
        <f>IF(HomePage!C56 &lt;&gt; "", "vs", "")</f>
        <v/>
      </c>
      <c r="E44" s="117" t="str">
        <f>'Base Data'!DP45</f>
        <v/>
      </c>
      <c r="F44" s="118" t="str">
        <f>'Base Data'!DQ45</f>
        <v/>
      </c>
      <c r="G44" s="118" t="str">
        <f>'Base Data'!DR45</f>
        <v/>
      </c>
      <c r="H44" s="118" t="str">
        <f>'Base Data'!DS45</f>
        <v/>
      </c>
      <c r="I44" s="118" t="str">
        <f>'Base Data'!DT45</f>
        <v/>
      </c>
      <c r="J44" s="118" t="str">
        <f>'Base Data'!DU45</f>
        <v/>
      </c>
      <c r="K44" s="118" t="str">
        <f>'Base Data'!DV45</f>
        <v/>
      </c>
      <c r="L44" s="118"/>
      <c r="M44" s="118"/>
      <c r="N44" s="118"/>
      <c r="O44" s="118" t="str">
        <f>'Base Data'!CX45</f>
        <v/>
      </c>
      <c r="P44" s="118" t="str">
        <f>'Base Data'!CY45</f>
        <v/>
      </c>
      <c r="Q44" s="118" t="str">
        <f>'Base Data'!CV45</f>
        <v/>
      </c>
      <c r="R44" s="118" t="str">
        <f>'Base Data'!CW45</f>
        <v/>
      </c>
      <c r="S44" s="118"/>
      <c r="T44" s="118" t="str">
        <f>'Base Data'!CZ45</f>
        <v/>
      </c>
      <c r="U44" s="118" t="str">
        <f>'Base Data'!DA45</f>
        <v/>
      </c>
      <c r="V44" s="118" t="str">
        <f>'Base Data'!DB45</f>
        <v/>
      </c>
      <c r="W44" s="118" t="str">
        <f>'Base Data'!DC45</f>
        <v/>
      </c>
      <c r="X44" s="118"/>
      <c r="Y44" s="118"/>
      <c r="Z44" s="118" t="str">
        <f>'Base Data'!DE45</f>
        <v/>
      </c>
      <c r="AA44" s="118" t="str">
        <f>'Base Data'!DF45</f>
        <v/>
      </c>
      <c r="AB44" s="118" t="str">
        <f>'Base Data'!DG45</f>
        <v/>
      </c>
      <c r="AC44" s="118" t="str">
        <f>'Base Data'!DH45</f>
        <v/>
      </c>
      <c r="AD44" s="119" t="str">
        <f>IF('Base Data'!Y45 = "ots", "YES", "")</f>
        <v/>
      </c>
      <c r="AE44" s="119" t="str">
        <f>SWITCH('Base Data'!EE45, "? -&gt; ?", "pending", "--- -&gt; ---", "unranked", " -&gt; ", "", 'Base Data'!EE45)</f>
        <v/>
      </c>
      <c r="AF44" s="119" t="str">
        <f>IF(AND('Base Data'!EF45 &lt;&gt; "",'Base Data'!EF45 &lt;&gt; "?",'Base Data'!EF45 &lt;&gt; "---"), 'Base Data'!EF45, "")</f>
        <v/>
      </c>
    </row>
    <row r="45" ht="24.0" customHeight="1">
      <c r="A45" s="115"/>
      <c r="B45" s="115" t="str">
        <f>IF(HomePage!C57 &lt;&gt; "", HomePage!B57, "")</f>
        <v/>
      </c>
      <c r="C45" s="116" t="str">
        <f>'Base Data'!DW46</f>
        <v/>
      </c>
      <c r="D45" s="116" t="str">
        <f>IF(HomePage!C57 &lt;&gt; "", "vs", "")</f>
        <v/>
      </c>
      <c r="E45" s="117" t="str">
        <f>'Base Data'!DP46</f>
        <v/>
      </c>
      <c r="F45" s="118" t="str">
        <f>'Base Data'!DQ46</f>
        <v/>
      </c>
      <c r="G45" s="118" t="str">
        <f>'Base Data'!DR46</f>
        <v/>
      </c>
      <c r="H45" s="118" t="str">
        <f>'Base Data'!DS46</f>
        <v/>
      </c>
      <c r="I45" s="118" t="str">
        <f>'Base Data'!DT46</f>
        <v/>
      </c>
      <c r="J45" s="118" t="str">
        <f>'Base Data'!DU46</f>
        <v/>
      </c>
      <c r="K45" s="118" t="str">
        <f>'Base Data'!DV46</f>
        <v/>
      </c>
      <c r="L45" s="118"/>
      <c r="M45" s="118"/>
      <c r="N45" s="118"/>
      <c r="O45" s="118" t="str">
        <f>'Base Data'!CX46</f>
        <v/>
      </c>
      <c r="P45" s="118" t="str">
        <f>'Base Data'!CY46</f>
        <v/>
      </c>
      <c r="Q45" s="118" t="str">
        <f>'Base Data'!CV46</f>
        <v/>
      </c>
      <c r="R45" s="118" t="str">
        <f>'Base Data'!CW46</f>
        <v/>
      </c>
      <c r="S45" s="118"/>
      <c r="T45" s="118" t="str">
        <f>'Base Data'!CZ46</f>
        <v/>
      </c>
      <c r="U45" s="118" t="str">
        <f>'Base Data'!DA46</f>
        <v/>
      </c>
      <c r="V45" s="118" t="str">
        <f>'Base Data'!DB46</f>
        <v/>
      </c>
      <c r="W45" s="118" t="str">
        <f>'Base Data'!DC46</f>
        <v/>
      </c>
      <c r="X45" s="118"/>
      <c r="Y45" s="118"/>
      <c r="Z45" s="118" t="str">
        <f>'Base Data'!DE46</f>
        <v/>
      </c>
      <c r="AA45" s="118" t="str">
        <f>'Base Data'!DF46</f>
        <v/>
      </c>
      <c r="AB45" s="118" t="str">
        <f>'Base Data'!DG46</f>
        <v/>
      </c>
      <c r="AC45" s="118" t="str">
        <f>'Base Data'!DH46</f>
        <v/>
      </c>
      <c r="AD45" s="119" t="str">
        <f>IF('Base Data'!Y46 = "ots", "YES", "")</f>
        <v/>
      </c>
      <c r="AE45" s="119" t="str">
        <f>SWITCH('Base Data'!EE46, "? -&gt; ?", "pending", "--- -&gt; ---", "unranked", " -&gt; ", "", 'Base Data'!EE46)</f>
        <v/>
      </c>
      <c r="AF45" s="119" t="str">
        <f>IF(AND('Base Data'!EF46 &lt;&gt; "",'Base Data'!EF46 &lt;&gt; "?",'Base Data'!EF46 &lt;&gt; "---"), 'Base Data'!EF46, "")</f>
        <v/>
      </c>
    </row>
    <row r="46" ht="24.0" customHeight="1">
      <c r="A46" s="115"/>
      <c r="B46" s="115" t="str">
        <f>IF(HomePage!C58 &lt;&gt; "", HomePage!B58, "")</f>
        <v/>
      </c>
      <c r="C46" s="116" t="str">
        <f>'Base Data'!DW47</f>
        <v/>
      </c>
      <c r="D46" s="116" t="str">
        <f>IF(HomePage!C58 &lt;&gt; "", "vs", "")</f>
        <v/>
      </c>
      <c r="E46" s="117" t="str">
        <f>'Base Data'!DP47</f>
        <v/>
      </c>
      <c r="F46" s="118" t="str">
        <f>'Base Data'!DQ47</f>
        <v/>
      </c>
      <c r="G46" s="118" t="str">
        <f>'Base Data'!DR47</f>
        <v/>
      </c>
      <c r="H46" s="118" t="str">
        <f>'Base Data'!DS47</f>
        <v/>
      </c>
      <c r="I46" s="118" t="str">
        <f>'Base Data'!DT47</f>
        <v/>
      </c>
      <c r="J46" s="118" t="str">
        <f>'Base Data'!DU47</f>
        <v/>
      </c>
      <c r="K46" s="118" t="str">
        <f>'Base Data'!DV47</f>
        <v/>
      </c>
      <c r="L46" s="118"/>
      <c r="M46" s="118"/>
      <c r="N46" s="118"/>
      <c r="O46" s="118" t="str">
        <f>'Base Data'!CX47</f>
        <v/>
      </c>
      <c r="P46" s="118" t="str">
        <f>'Base Data'!CY47</f>
        <v/>
      </c>
      <c r="Q46" s="118" t="str">
        <f>'Base Data'!CV47</f>
        <v/>
      </c>
      <c r="R46" s="118" t="str">
        <f>'Base Data'!CW47</f>
        <v/>
      </c>
      <c r="S46" s="118"/>
      <c r="T46" s="118" t="str">
        <f>'Base Data'!CZ47</f>
        <v/>
      </c>
      <c r="U46" s="118" t="str">
        <f>'Base Data'!DA47</f>
        <v/>
      </c>
      <c r="V46" s="118" t="str">
        <f>'Base Data'!DB47</f>
        <v/>
      </c>
      <c r="W46" s="118" t="str">
        <f>'Base Data'!DC47</f>
        <v/>
      </c>
      <c r="X46" s="118"/>
      <c r="Y46" s="118"/>
      <c r="Z46" s="118" t="str">
        <f>'Base Data'!DE47</f>
        <v/>
      </c>
      <c r="AA46" s="118" t="str">
        <f>'Base Data'!DF47</f>
        <v/>
      </c>
      <c r="AB46" s="118" t="str">
        <f>'Base Data'!DG47</f>
        <v/>
      </c>
      <c r="AC46" s="118" t="str">
        <f>'Base Data'!DH47</f>
        <v/>
      </c>
      <c r="AD46" s="119" t="str">
        <f>IF('Base Data'!Y47 = "ots", "YES", "")</f>
        <v/>
      </c>
      <c r="AE46" s="119" t="str">
        <f>SWITCH('Base Data'!EE47, "? -&gt; ?", "pending", "--- -&gt; ---", "unranked", " -&gt; ", "", 'Base Data'!EE47)</f>
        <v/>
      </c>
      <c r="AF46" s="119" t="str">
        <f>IF(AND('Base Data'!EF47 &lt;&gt; "",'Base Data'!EF47 &lt;&gt; "?",'Base Data'!EF47 &lt;&gt; "---"), 'Base Data'!EF47, "")</f>
        <v/>
      </c>
    </row>
    <row r="47" ht="24.0" customHeight="1">
      <c r="A47" s="115"/>
      <c r="B47" s="115" t="str">
        <f>IF(HomePage!C59 &lt;&gt; "", HomePage!B59, "")</f>
        <v/>
      </c>
      <c r="C47" s="116" t="str">
        <f>'Base Data'!DW48</f>
        <v/>
      </c>
      <c r="D47" s="116" t="str">
        <f>IF(HomePage!C59 &lt;&gt; "", "vs", "")</f>
        <v/>
      </c>
      <c r="E47" s="117" t="str">
        <f>'Base Data'!DP48</f>
        <v/>
      </c>
      <c r="F47" s="118" t="str">
        <f>'Base Data'!DQ48</f>
        <v/>
      </c>
      <c r="G47" s="118" t="str">
        <f>'Base Data'!DR48</f>
        <v/>
      </c>
      <c r="H47" s="118" t="str">
        <f>'Base Data'!DS48</f>
        <v/>
      </c>
      <c r="I47" s="118" t="str">
        <f>'Base Data'!DT48</f>
        <v/>
      </c>
      <c r="J47" s="118" t="str">
        <f>'Base Data'!DU48</f>
        <v/>
      </c>
      <c r="K47" s="118" t="str">
        <f>'Base Data'!DV48</f>
        <v/>
      </c>
      <c r="L47" s="118"/>
      <c r="M47" s="118"/>
      <c r="N47" s="118"/>
      <c r="O47" s="118" t="str">
        <f>'Base Data'!CX48</f>
        <v/>
      </c>
      <c r="P47" s="118" t="str">
        <f>'Base Data'!CY48</f>
        <v/>
      </c>
      <c r="Q47" s="118" t="str">
        <f>'Base Data'!CV48</f>
        <v/>
      </c>
      <c r="R47" s="118" t="str">
        <f>'Base Data'!CW48</f>
        <v/>
      </c>
      <c r="S47" s="118"/>
      <c r="T47" s="118" t="str">
        <f>'Base Data'!CZ48</f>
        <v/>
      </c>
      <c r="U47" s="118" t="str">
        <f>'Base Data'!DA48</f>
        <v/>
      </c>
      <c r="V47" s="118" t="str">
        <f>'Base Data'!DB48</f>
        <v/>
      </c>
      <c r="W47" s="118" t="str">
        <f>'Base Data'!DC48</f>
        <v/>
      </c>
      <c r="X47" s="118"/>
      <c r="Y47" s="118"/>
      <c r="Z47" s="118" t="str">
        <f>'Base Data'!DE48</f>
        <v/>
      </c>
      <c r="AA47" s="118" t="str">
        <f>'Base Data'!DF48</f>
        <v/>
      </c>
      <c r="AB47" s="118" t="str">
        <f>'Base Data'!DG48</f>
        <v/>
      </c>
      <c r="AC47" s="118" t="str">
        <f>'Base Data'!DH48</f>
        <v/>
      </c>
      <c r="AD47" s="119" t="str">
        <f>IF('Base Data'!Y48 = "ots", "YES", "")</f>
        <v/>
      </c>
      <c r="AE47" s="119" t="str">
        <f>SWITCH('Base Data'!EE48, "? -&gt; ?", "pending", "--- -&gt; ---", "unranked", " -&gt; ", "", 'Base Data'!EE48)</f>
        <v/>
      </c>
      <c r="AF47" s="119" t="str">
        <f>IF(AND('Base Data'!EF48 &lt;&gt; "",'Base Data'!EF48 &lt;&gt; "?",'Base Data'!EF48 &lt;&gt; "---"), 'Base Data'!EF48, "")</f>
        <v/>
      </c>
    </row>
    <row r="48" ht="24.0" customHeight="1">
      <c r="A48" s="115"/>
      <c r="B48" s="115" t="str">
        <f>IF(HomePage!C60 &lt;&gt; "", HomePage!B60, "")</f>
        <v/>
      </c>
      <c r="C48" s="116" t="str">
        <f>'Base Data'!DW49</f>
        <v/>
      </c>
      <c r="D48" s="116" t="str">
        <f>IF(HomePage!C60 &lt;&gt; "", "vs", "")</f>
        <v/>
      </c>
      <c r="E48" s="117" t="str">
        <f>'Base Data'!DP49</f>
        <v/>
      </c>
      <c r="F48" s="118" t="str">
        <f>'Base Data'!DQ49</f>
        <v/>
      </c>
      <c r="G48" s="118" t="str">
        <f>'Base Data'!DR49</f>
        <v/>
      </c>
      <c r="H48" s="118" t="str">
        <f>'Base Data'!DS49</f>
        <v/>
      </c>
      <c r="I48" s="118" t="str">
        <f>'Base Data'!DT49</f>
        <v/>
      </c>
      <c r="J48" s="118" t="str">
        <f>'Base Data'!DU49</f>
        <v/>
      </c>
      <c r="K48" s="118" t="str">
        <f>'Base Data'!DV49</f>
        <v/>
      </c>
      <c r="L48" s="118"/>
      <c r="M48" s="118"/>
      <c r="N48" s="118"/>
      <c r="O48" s="118" t="str">
        <f>'Base Data'!CX49</f>
        <v/>
      </c>
      <c r="P48" s="118" t="str">
        <f>'Base Data'!CY49</f>
        <v/>
      </c>
      <c r="Q48" s="118" t="str">
        <f>'Base Data'!CV49</f>
        <v/>
      </c>
      <c r="R48" s="118" t="str">
        <f>'Base Data'!CW49</f>
        <v/>
      </c>
      <c r="S48" s="118"/>
      <c r="T48" s="118" t="str">
        <f>'Base Data'!CZ49</f>
        <v/>
      </c>
      <c r="U48" s="118" t="str">
        <f>'Base Data'!DA49</f>
        <v/>
      </c>
      <c r="V48" s="118" t="str">
        <f>'Base Data'!DB49</f>
        <v/>
      </c>
      <c r="W48" s="118" t="str">
        <f>'Base Data'!DC49</f>
        <v/>
      </c>
      <c r="X48" s="118"/>
      <c r="Y48" s="118"/>
      <c r="Z48" s="118" t="str">
        <f>'Base Data'!DE49</f>
        <v/>
      </c>
      <c r="AA48" s="118" t="str">
        <f>'Base Data'!DF49</f>
        <v/>
      </c>
      <c r="AB48" s="118" t="str">
        <f>'Base Data'!DG49</f>
        <v/>
      </c>
      <c r="AC48" s="118" t="str">
        <f>'Base Data'!DH49</f>
        <v/>
      </c>
      <c r="AD48" s="119" t="str">
        <f>IF('Base Data'!Y49 = "ots", "YES", "")</f>
        <v/>
      </c>
      <c r="AE48" s="119" t="str">
        <f>SWITCH('Base Data'!EE49, "? -&gt; ?", "pending", "--- -&gt; ---", "unranked", " -&gt; ", "", 'Base Data'!EE49)</f>
        <v/>
      </c>
      <c r="AF48" s="119" t="str">
        <f>IF(AND('Base Data'!EF49 &lt;&gt; "",'Base Data'!EF49 &lt;&gt; "?",'Base Data'!EF49 &lt;&gt; "---"), 'Base Data'!EF49, "")</f>
        <v/>
      </c>
    </row>
    <row r="49" ht="24.0" customHeight="1">
      <c r="A49" s="115"/>
      <c r="B49" s="115" t="str">
        <f>IF(HomePage!C61 &lt;&gt; "", HomePage!B61, "")</f>
        <v/>
      </c>
      <c r="C49" s="116" t="str">
        <f>'Base Data'!DW50</f>
        <v/>
      </c>
      <c r="D49" s="116" t="str">
        <f>IF(HomePage!C61 &lt;&gt; "", "vs", "")</f>
        <v/>
      </c>
      <c r="E49" s="117" t="str">
        <f>'Base Data'!DP50</f>
        <v/>
      </c>
      <c r="F49" s="118" t="str">
        <f>'Base Data'!DQ50</f>
        <v/>
      </c>
      <c r="G49" s="118" t="str">
        <f>'Base Data'!DR50</f>
        <v/>
      </c>
      <c r="H49" s="118" t="str">
        <f>'Base Data'!DS50</f>
        <v/>
      </c>
      <c r="I49" s="118" t="str">
        <f>'Base Data'!DT50</f>
        <v/>
      </c>
      <c r="J49" s="118" t="str">
        <f>'Base Data'!DU50</f>
        <v/>
      </c>
      <c r="K49" s="118" t="str">
        <f>'Base Data'!DV50</f>
        <v/>
      </c>
      <c r="L49" s="118"/>
      <c r="M49" s="118"/>
      <c r="N49" s="118"/>
      <c r="O49" s="118" t="str">
        <f>'Base Data'!CX50</f>
        <v/>
      </c>
      <c r="P49" s="118" t="str">
        <f>'Base Data'!CY50</f>
        <v/>
      </c>
      <c r="Q49" s="118" t="str">
        <f>'Base Data'!CV50</f>
        <v/>
      </c>
      <c r="R49" s="118" t="str">
        <f>'Base Data'!CW50</f>
        <v/>
      </c>
      <c r="S49" s="118"/>
      <c r="T49" s="118" t="str">
        <f>'Base Data'!CZ50</f>
        <v/>
      </c>
      <c r="U49" s="118" t="str">
        <f>'Base Data'!DA50</f>
        <v/>
      </c>
      <c r="V49" s="118" t="str">
        <f>'Base Data'!DB50</f>
        <v/>
      </c>
      <c r="W49" s="118" t="str">
        <f>'Base Data'!DC50</f>
        <v/>
      </c>
      <c r="X49" s="118"/>
      <c r="Y49" s="118"/>
      <c r="Z49" s="118" t="str">
        <f>'Base Data'!DE50</f>
        <v/>
      </c>
      <c r="AA49" s="118" t="str">
        <f>'Base Data'!DF50</f>
        <v/>
      </c>
      <c r="AB49" s="118" t="str">
        <f>'Base Data'!DG50</f>
        <v/>
      </c>
      <c r="AC49" s="118" t="str">
        <f>'Base Data'!DH50</f>
        <v/>
      </c>
      <c r="AD49" s="119" t="str">
        <f>IF('Base Data'!Y50 = "ots", "YES", "")</f>
        <v/>
      </c>
      <c r="AE49" s="119" t="str">
        <f>SWITCH('Base Data'!EE50, "? -&gt; ?", "pending", "--- -&gt; ---", "unranked", " -&gt; ", "", 'Base Data'!EE50)</f>
        <v/>
      </c>
      <c r="AF49" s="119" t="str">
        <f>IF(AND('Base Data'!EF50 &lt;&gt; "",'Base Data'!EF50 &lt;&gt; "?",'Base Data'!EF50 &lt;&gt; "---"), 'Base Data'!EF50, "")</f>
        <v/>
      </c>
    </row>
    <row r="50" ht="24.0" customHeight="1">
      <c r="A50" s="115"/>
      <c r="B50" s="115" t="str">
        <f>IF(HomePage!C62 &lt;&gt; "", HomePage!B62, "")</f>
        <v/>
      </c>
      <c r="C50" s="116" t="str">
        <f>'Base Data'!DW51</f>
        <v/>
      </c>
      <c r="D50" s="116" t="str">
        <f>IF(HomePage!C62 &lt;&gt; "", "vs", "")</f>
        <v/>
      </c>
      <c r="E50" s="117" t="str">
        <f>'Base Data'!DP51</f>
        <v/>
      </c>
      <c r="F50" s="118" t="str">
        <f>'Base Data'!DQ51</f>
        <v/>
      </c>
      <c r="G50" s="118" t="str">
        <f>'Base Data'!DR51</f>
        <v/>
      </c>
      <c r="H50" s="118" t="str">
        <f>'Base Data'!DS51</f>
        <v/>
      </c>
      <c r="I50" s="118" t="str">
        <f>'Base Data'!DT51</f>
        <v/>
      </c>
      <c r="J50" s="118" t="str">
        <f>'Base Data'!DU51</f>
        <v/>
      </c>
      <c r="K50" s="118" t="str">
        <f>'Base Data'!DV51</f>
        <v/>
      </c>
      <c r="L50" s="118"/>
      <c r="M50" s="118"/>
      <c r="N50" s="118"/>
      <c r="O50" s="118" t="str">
        <f>'Base Data'!CX51</f>
        <v/>
      </c>
      <c r="P50" s="118" t="str">
        <f>'Base Data'!CY51</f>
        <v/>
      </c>
      <c r="Q50" s="118" t="str">
        <f>'Base Data'!CV51</f>
        <v/>
      </c>
      <c r="R50" s="118" t="str">
        <f>'Base Data'!CW51</f>
        <v/>
      </c>
      <c r="S50" s="118"/>
      <c r="T50" s="118" t="str">
        <f>'Base Data'!CZ51</f>
        <v/>
      </c>
      <c r="U50" s="118" t="str">
        <f>'Base Data'!DA51</f>
        <v/>
      </c>
      <c r="V50" s="118" t="str">
        <f>'Base Data'!DB51</f>
        <v/>
      </c>
      <c r="W50" s="118" t="str">
        <f>'Base Data'!DC51</f>
        <v/>
      </c>
      <c r="X50" s="118"/>
      <c r="Y50" s="118"/>
      <c r="Z50" s="118" t="str">
        <f>'Base Data'!DE51</f>
        <v/>
      </c>
      <c r="AA50" s="118" t="str">
        <f>'Base Data'!DF51</f>
        <v/>
      </c>
      <c r="AB50" s="118" t="str">
        <f>'Base Data'!DG51</f>
        <v/>
      </c>
      <c r="AC50" s="118" t="str">
        <f>'Base Data'!DH51</f>
        <v/>
      </c>
      <c r="AD50" s="119" t="str">
        <f>IF('Base Data'!Y51 = "ots", "YES", "")</f>
        <v/>
      </c>
      <c r="AE50" s="119" t="str">
        <f>SWITCH('Base Data'!EE51, "? -&gt; ?", "pending", "--- -&gt; ---", "unranked", " -&gt; ", "", 'Base Data'!EE51)</f>
        <v/>
      </c>
      <c r="AF50" s="119" t="str">
        <f>IF(AND('Base Data'!EF51 &lt;&gt; "",'Base Data'!EF51 &lt;&gt; "?",'Base Data'!EF51 &lt;&gt; "---"), 'Base Data'!EF51, "")</f>
        <v/>
      </c>
    </row>
    <row r="51" ht="24.0" customHeight="1">
      <c r="A51" s="115"/>
      <c r="B51" s="115" t="str">
        <f>IF(HomePage!C63 &lt;&gt; "", HomePage!B63, "")</f>
        <v/>
      </c>
      <c r="C51" s="116" t="str">
        <f>'Base Data'!DW52</f>
        <v/>
      </c>
      <c r="D51" s="116" t="str">
        <f>IF(HomePage!C63 &lt;&gt; "", "vs", "")</f>
        <v/>
      </c>
      <c r="E51" s="117" t="str">
        <f>'Base Data'!DP52</f>
        <v/>
      </c>
      <c r="F51" s="118" t="str">
        <f>'Base Data'!DQ52</f>
        <v/>
      </c>
      <c r="G51" s="118" t="str">
        <f>'Base Data'!DR52</f>
        <v/>
      </c>
      <c r="H51" s="118" t="str">
        <f>'Base Data'!DS52</f>
        <v/>
      </c>
      <c r="I51" s="118" t="str">
        <f>'Base Data'!DT52</f>
        <v/>
      </c>
      <c r="J51" s="118" t="str">
        <f>'Base Data'!DU52</f>
        <v/>
      </c>
      <c r="K51" s="118" t="str">
        <f>'Base Data'!DV52</f>
        <v/>
      </c>
      <c r="L51" s="118"/>
      <c r="M51" s="118"/>
      <c r="N51" s="118"/>
      <c r="O51" s="118" t="str">
        <f>'Base Data'!CX52</f>
        <v/>
      </c>
      <c r="P51" s="118" t="str">
        <f>'Base Data'!CY52</f>
        <v/>
      </c>
      <c r="Q51" s="118" t="str">
        <f>'Base Data'!CV52</f>
        <v/>
      </c>
      <c r="R51" s="118" t="str">
        <f>'Base Data'!CW52</f>
        <v/>
      </c>
      <c r="S51" s="118"/>
      <c r="T51" s="118" t="str">
        <f>'Base Data'!CZ52</f>
        <v/>
      </c>
      <c r="U51" s="118" t="str">
        <f>'Base Data'!DA52</f>
        <v/>
      </c>
      <c r="V51" s="118" t="str">
        <f>'Base Data'!DB52</f>
        <v/>
      </c>
      <c r="W51" s="118" t="str">
        <f>'Base Data'!DC52</f>
        <v/>
      </c>
      <c r="X51" s="118"/>
      <c r="Y51" s="118"/>
      <c r="Z51" s="118" t="str">
        <f>'Base Data'!DE52</f>
        <v/>
      </c>
      <c r="AA51" s="118" t="str">
        <f>'Base Data'!DF52</f>
        <v/>
      </c>
      <c r="AB51" s="118" t="str">
        <f>'Base Data'!DG52</f>
        <v/>
      </c>
      <c r="AC51" s="118" t="str">
        <f>'Base Data'!DH52</f>
        <v/>
      </c>
      <c r="AD51" s="119" t="str">
        <f>IF('Base Data'!Y52 = "ots", "YES", "")</f>
        <v/>
      </c>
      <c r="AE51" s="119" t="str">
        <f>SWITCH('Base Data'!EE52, "? -&gt; ?", "pending", "--- -&gt; ---", "unranked", " -&gt; ", "", 'Base Data'!EE52)</f>
        <v/>
      </c>
      <c r="AF51" s="119" t="str">
        <f>IF(AND('Base Data'!EF52 &lt;&gt; "",'Base Data'!EF52 &lt;&gt; "?",'Base Data'!EF52 &lt;&gt; "---"), 'Base Data'!EF52, "")</f>
        <v/>
      </c>
    </row>
    <row r="52" ht="24.0" customHeight="1">
      <c r="A52" s="115"/>
      <c r="B52" s="115" t="str">
        <f>IF(HomePage!C64 &lt;&gt; "", HomePage!B64, "")</f>
        <v/>
      </c>
      <c r="C52" s="116" t="str">
        <f>'Base Data'!DW53</f>
        <v/>
      </c>
      <c r="D52" s="116" t="str">
        <f>IF(HomePage!C64 &lt;&gt; "", "vs", "")</f>
        <v/>
      </c>
      <c r="E52" s="117" t="str">
        <f>'Base Data'!DP53</f>
        <v/>
      </c>
      <c r="F52" s="118" t="str">
        <f>'Base Data'!DQ53</f>
        <v/>
      </c>
      <c r="G52" s="118" t="str">
        <f>'Base Data'!DR53</f>
        <v/>
      </c>
      <c r="H52" s="118" t="str">
        <f>'Base Data'!DS53</f>
        <v/>
      </c>
      <c r="I52" s="118" t="str">
        <f>'Base Data'!DT53</f>
        <v/>
      </c>
      <c r="J52" s="118" t="str">
        <f>'Base Data'!DU53</f>
        <v/>
      </c>
      <c r="K52" s="118" t="str">
        <f>'Base Data'!DV53</f>
        <v/>
      </c>
      <c r="L52" s="118"/>
      <c r="M52" s="120"/>
      <c r="N52" s="120"/>
      <c r="O52" s="118" t="str">
        <f>'Base Data'!CX53</f>
        <v/>
      </c>
      <c r="P52" s="118" t="str">
        <f>'Base Data'!CY53</f>
        <v/>
      </c>
      <c r="Q52" s="118" t="str">
        <f>'Base Data'!CV53</f>
        <v/>
      </c>
      <c r="R52" s="118" t="str">
        <f>'Base Data'!CW53</f>
        <v/>
      </c>
      <c r="S52" s="120"/>
      <c r="T52" s="118" t="str">
        <f>'Base Data'!CZ53</f>
        <v/>
      </c>
      <c r="U52" s="118" t="str">
        <f>'Base Data'!DA53</f>
        <v/>
      </c>
      <c r="V52" s="118" t="str">
        <f>'Base Data'!DB53</f>
        <v/>
      </c>
      <c r="W52" s="118" t="str">
        <f>'Base Data'!DC53</f>
        <v/>
      </c>
      <c r="X52" s="120"/>
      <c r="Y52" s="120"/>
      <c r="Z52" s="118" t="str">
        <f>'Base Data'!DE53</f>
        <v/>
      </c>
      <c r="AA52" s="118" t="str">
        <f>'Base Data'!DF53</f>
        <v/>
      </c>
      <c r="AB52" s="118" t="str">
        <f>'Base Data'!DG53</f>
        <v/>
      </c>
      <c r="AC52" s="118" t="str">
        <f>'Base Data'!DH53</f>
        <v/>
      </c>
      <c r="AD52" s="119" t="str">
        <f>IF('Base Data'!Y53 = "ots", "YES", "")</f>
        <v/>
      </c>
      <c r="AE52" s="119" t="str">
        <f>SWITCH('Base Data'!EE53, "? -&gt; ?", "pending", "--- -&gt; ---", "unranked", " -&gt; ", "", 'Base Data'!EE53)</f>
        <v/>
      </c>
      <c r="AF52" s="119" t="str">
        <f>IF(AND('Base Data'!EF53 &lt;&gt; "",'Base Data'!EF53 &lt;&gt; "?",'Base Data'!EF53 &lt;&gt; "---"), 'Base Data'!EF53, "")</f>
        <v/>
      </c>
    </row>
    <row r="53" ht="24.0" customHeight="1">
      <c r="A53" s="115"/>
      <c r="B53" s="115" t="str">
        <f>IF(HomePage!C65 &lt;&gt; "", HomePage!B65, "")</f>
        <v/>
      </c>
      <c r="C53" s="116" t="str">
        <f>'Base Data'!DW54</f>
        <v/>
      </c>
      <c r="D53" s="116" t="str">
        <f>IF(HomePage!C65 &lt;&gt; "", "vs", "")</f>
        <v/>
      </c>
      <c r="E53" s="117" t="str">
        <f>'Base Data'!DP54</f>
        <v/>
      </c>
      <c r="F53" s="118" t="str">
        <f>'Base Data'!DQ54</f>
        <v/>
      </c>
      <c r="G53" s="118" t="str">
        <f>'Base Data'!DR54</f>
        <v/>
      </c>
      <c r="H53" s="118" t="str">
        <f>'Base Data'!DS54</f>
        <v/>
      </c>
      <c r="I53" s="118" t="str">
        <f>'Base Data'!DT54</f>
        <v/>
      </c>
      <c r="J53" s="118" t="str">
        <f>'Base Data'!DU54</f>
        <v/>
      </c>
      <c r="K53" s="118" t="str">
        <f>'Base Data'!DV54</f>
        <v/>
      </c>
      <c r="L53" s="118"/>
      <c r="M53" s="118"/>
      <c r="N53" s="118"/>
      <c r="O53" s="118" t="str">
        <f>'Base Data'!CX54</f>
        <v/>
      </c>
      <c r="P53" s="118" t="str">
        <f>'Base Data'!CY54</f>
        <v/>
      </c>
      <c r="Q53" s="118" t="str">
        <f>'Base Data'!CV54</f>
        <v/>
      </c>
      <c r="R53" s="118" t="str">
        <f>'Base Data'!CW54</f>
        <v/>
      </c>
      <c r="S53" s="118"/>
      <c r="T53" s="118" t="str">
        <f>'Base Data'!CZ54</f>
        <v/>
      </c>
      <c r="U53" s="118" t="str">
        <f>'Base Data'!DA54</f>
        <v/>
      </c>
      <c r="V53" s="118" t="str">
        <f>'Base Data'!DB54</f>
        <v/>
      </c>
      <c r="W53" s="118" t="str">
        <f>'Base Data'!DC54</f>
        <v/>
      </c>
      <c r="X53" s="118"/>
      <c r="Y53" s="118"/>
      <c r="Z53" s="118" t="str">
        <f>'Base Data'!DE54</f>
        <v/>
      </c>
      <c r="AA53" s="118" t="str">
        <f>'Base Data'!DF54</f>
        <v/>
      </c>
      <c r="AB53" s="118" t="str">
        <f>'Base Data'!DG54</f>
        <v/>
      </c>
      <c r="AC53" s="118" t="str">
        <f>'Base Data'!DH54</f>
        <v/>
      </c>
      <c r="AD53" s="119" t="str">
        <f>IF('Base Data'!Y54 = "ots", "YES", "")</f>
        <v/>
      </c>
      <c r="AE53" s="119" t="str">
        <f>SWITCH('Base Data'!EE54, "? -&gt; ?", "pending", "--- -&gt; ---", "unranked", " -&gt; ", "", 'Base Data'!EE54)</f>
        <v/>
      </c>
      <c r="AF53" s="119" t="str">
        <f>IF(AND('Base Data'!EF54 &lt;&gt; "",'Base Data'!EF54 &lt;&gt; "?",'Base Data'!EF54 &lt;&gt; "---"), 'Base Data'!EF54, "")</f>
        <v/>
      </c>
    </row>
    <row r="54" ht="24.0" customHeight="1">
      <c r="A54" s="115"/>
      <c r="B54" s="115" t="str">
        <f>IF(HomePage!C66 &lt;&gt; "", HomePage!B66, "")</f>
        <v/>
      </c>
      <c r="C54" s="116" t="str">
        <f>'Base Data'!DW55</f>
        <v/>
      </c>
      <c r="D54" s="116" t="str">
        <f>IF(HomePage!C66 &lt;&gt; "", "vs", "")</f>
        <v/>
      </c>
      <c r="E54" s="117" t="str">
        <f>'Base Data'!DP55</f>
        <v/>
      </c>
      <c r="F54" s="118" t="str">
        <f>'Base Data'!DQ55</f>
        <v/>
      </c>
      <c r="G54" s="118" t="str">
        <f>'Base Data'!DR55</f>
        <v/>
      </c>
      <c r="H54" s="118" t="str">
        <f>'Base Data'!DS55</f>
        <v/>
      </c>
      <c r="I54" s="118" t="str">
        <f>'Base Data'!DT55</f>
        <v/>
      </c>
      <c r="J54" s="118" t="str">
        <f>'Base Data'!DU55</f>
        <v/>
      </c>
      <c r="K54" s="118" t="str">
        <f>'Base Data'!DV55</f>
        <v/>
      </c>
      <c r="L54" s="118"/>
      <c r="M54" s="118"/>
      <c r="N54" s="118"/>
      <c r="O54" s="118" t="str">
        <f>'Base Data'!CX55</f>
        <v/>
      </c>
      <c r="P54" s="118" t="str">
        <f>'Base Data'!CY55</f>
        <v/>
      </c>
      <c r="Q54" s="118" t="str">
        <f>'Base Data'!CV55</f>
        <v/>
      </c>
      <c r="R54" s="118" t="str">
        <f>'Base Data'!CW55</f>
        <v/>
      </c>
      <c r="S54" s="118"/>
      <c r="T54" s="118" t="str">
        <f>'Base Data'!CZ55</f>
        <v/>
      </c>
      <c r="U54" s="118" t="str">
        <f>'Base Data'!DA55</f>
        <v/>
      </c>
      <c r="V54" s="118" t="str">
        <f>'Base Data'!DB55</f>
        <v/>
      </c>
      <c r="W54" s="118" t="str">
        <f>'Base Data'!DC55</f>
        <v/>
      </c>
      <c r="X54" s="118"/>
      <c r="Y54" s="118"/>
      <c r="Z54" s="118" t="str">
        <f>'Base Data'!DE55</f>
        <v/>
      </c>
      <c r="AA54" s="118" t="str">
        <f>'Base Data'!DF55</f>
        <v/>
      </c>
      <c r="AB54" s="118" t="str">
        <f>'Base Data'!DG55</f>
        <v/>
      </c>
      <c r="AC54" s="118" t="str">
        <f>'Base Data'!DH55</f>
        <v/>
      </c>
      <c r="AD54" s="119" t="str">
        <f>IF('Base Data'!Y55 = "ots", "YES", "")</f>
        <v/>
      </c>
      <c r="AE54" s="119" t="str">
        <f>SWITCH('Base Data'!EE55, "? -&gt; ?", "pending", "--- -&gt; ---", "unranked", " -&gt; ", "", 'Base Data'!EE55)</f>
        <v/>
      </c>
      <c r="AF54" s="119" t="str">
        <f>IF(AND('Base Data'!EF55 &lt;&gt; "",'Base Data'!EF55 &lt;&gt; "?",'Base Data'!EF55 &lt;&gt; "---"), 'Base Data'!EF55, "")</f>
        <v/>
      </c>
    </row>
    <row r="55" ht="24.0" customHeight="1">
      <c r="A55" s="115"/>
      <c r="B55" s="115" t="str">
        <f>IF(HomePage!C67 &lt;&gt; "", HomePage!B67, "")</f>
        <v/>
      </c>
      <c r="C55" s="116" t="str">
        <f>'Base Data'!DW56</f>
        <v/>
      </c>
      <c r="D55" s="116" t="str">
        <f>IF(HomePage!C67 &lt;&gt; "", "vs", "")</f>
        <v/>
      </c>
      <c r="E55" s="117" t="str">
        <f>'Base Data'!DP56</f>
        <v/>
      </c>
      <c r="F55" s="118" t="str">
        <f>'Base Data'!DQ56</f>
        <v/>
      </c>
      <c r="G55" s="118" t="str">
        <f>'Base Data'!DR56</f>
        <v/>
      </c>
      <c r="H55" s="118" t="str">
        <f>'Base Data'!DS56</f>
        <v/>
      </c>
      <c r="I55" s="118" t="str">
        <f>'Base Data'!DT56</f>
        <v/>
      </c>
      <c r="J55" s="118" t="str">
        <f>'Base Data'!DU56</f>
        <v/>
      </c>
      <c r="K55" s="118" t="str">
        <f>'Base Data'!DV56</f>
        <v/>
      </c>
      <c r="L55" s="118"/>
      <c r="M55" s="118"/>
      <c r="N55" s="118"/>
      <c r="O55" s="118" t="str">
        <f>'Base Data'!CX56</f>
        <v/>
      </c>
      <c r="P55" s="118" t="str">
        <f>'Base Data'!CY56</f>
        <v/>
      </c>
      <c r="Q55" s="118" t="str">
        <f>'Base Data'!CV56</f>
        <v/>
      </c>
      <c r="R55" s="118" t="str">
        <f>'Base Data'!CW56</f>
        <v/>
      </c>
      <c r="S55" s="118"/>
      <c r="T55" s="118" t="str">
        <f>'Base Data'!CZ56</f>
        <v/>
      </c>
      <c r="U55" s="118" t="str">
        <f>'Base Data'!DA56</f>
        <v/>
      </c>
      <c r="V55" s="118" t="str">
        <f>'Base Data'!DB56</f>
        <v/>
      </c>
      <c r="W55" s="118" t="str">
        <f>'Base Data'!DC56</f>
        <v/>
      </c>
      <c r="X55" s="118"/>
      <c r="Y55" s="118"/>
      <c r="Z55" s="118" t="str">
        <f>'Base Data'!DE56</f>
        <v/>
      </c>
      <c r="AA55" s="118" t="str">
        <f>'Base Data'!DF56</f>
        <v/>
      </c>
      <c r="AB55" s="118" t="str">
        <f>'Base Data'!DG56</f>
        <v/>
      </c>
      <c r="AC55" s="118" t="str">
        <f>'Base Data'!DH56</f>
        <v/>
      </c>
      <c r="AD55" s="119" t="str">
        <f>IF('Base Data'!Y56 = "ots", "YES", "")</f>
        <v/>
      </c>
      <c r="AE55" s="119" t="str">
        <f>SWITCH('Base Data'!EE56, "? -&gt; ?", "pending", "--- -&gt; ---", "unranked", " -&gt; ", "", 'Base Data'!EE56)</f>
        <v/>
      </c>
      <c r="AF55" s="119" t="str">
        <f>IF(AND('Base Data'!EF56 &lt;&gt; "",'Base Data'!EF56 &lt;&gt; "?",'Base Data'!EF56 &lt;&gt; "---"), 'Base Data'!EF56, "")</f>
        <v/>
      </c>
    </row>
    <row r="56" ht="24.0" customHeight="1">
      <c r="A56" s="115"/>
      <c r="B56" s="115" t="str">
        <f>IF(HomePage!C68 &lt;&gt; "", HomePage!B68, "")</f>
        <v/>
      </c>
      <c r="C56" s="116" t="str">
        <f>'Base Data'!DW57</f>
        <v/>
      </c>
      <c r="D56" s="116" t="str">
        <f>IF(HomePage!C68 &lt;&gt; "", "vs", "")</f>
        <v/>
      </c>
      <c r="E56" s="117" t="str">
        <f>'Base Data'!DP57</f>
        <v/>
      </c>
      <c r="F56" s="118" t="str">
        <f>'Base Data'!DQ57</f>
        <v/>
      </c>
      <c r="G56" s="118" t="str">
        <f>'Base Data'!DR57</f>
        <v/>
      </c>
      <c r="H56" s="118" t="str">
        <f>'Base Data'!DS57</f>
        <v/>
      </c>
      <c r="I56" s="118" t="str">
        <f>'Base Data'!DT57</f>
        <v/>
      </c>
      <c r="J56" s="118" t="str">
        <f>'Base Data'!DU57</f>
        <v/>
      </c>
      <c r="K56" s="118" t="str">
        <f>'Base Data'!DV57</f>
        <v/>
      </c>
      <c r="L56" s="118"/>
      <c r="M56" s="118"/>
      <c r="N56" s="118"/>
      <c r="O56" s="118" t="str">
        <f>'Base Data'!CX57</f>
        <v/>
      </c>
      <c r="P56" s="118" t="str">
        <f>'Base Data'!CY57</f>
        <v/>
      </c>
      <c r="Q56" s="118" t="str">
        <f>'Base Data'!CV57</f>
        <v/>
      </c>
      <c r="R56" s="118" t="str">
        <f>'Base Data'!CW57</f>
        <v/>
      </c>
      <c r="S56" s="118"/>
      <c r="T56" s="118" t="str">
        <f>'Base Data'!CZ57</f>
        <v/>
      </c>
      <c r="U56" s="118" t="str">
        <f>'Base Data'!DA57</f>
        <v/>
      </c>
      <c r="V56" s="118" t="str">
        <f>'Base Data'!DB57</f>
        <v/>
      </c>
      <c r="W56" s="118" t="str">
        <f>'Base Data'!DC57</f>
        <v/>
      </c>
      <c r="X56" s="118"/>
      <c r="Y56" s="118"/>
      <c r="Z56" s="118" t="str">
        <f>'Base Data'!DE57</f>
        <v/>
      </c>
      <c r="AA56" s="118" t="str">
        <f>'Base Data'!DF57</f>
        <v/>
      </c>
      <c r="AB56" s="118" t="str">
        <f>'Base Data'!DG57</f>
        <v/>
      </c>
      <c r="AC56" s="118" t="str">
        <f>'Base Data'!DH57</f>
        <v/>
      </c>
      <c r="AD56" s="119" t="str">
        <f>IF('Base Data'!Y57 = "ots", "YES", "")</f>
        <v/>
      </c>
      <c r="AE56" s="119" t="str">
        <f>SWITCH('Base Data'!EE57, "? -&gt; ?", "pending", "--- -&gt; ---", "unranked", " -&gt; ", "", 'Base Data'!EE57)</f>
        <v/>
      </c>
      <c r="AF56" s="119" t="str">
        <f>IF(AND('Base Data'!EF57 &lt;&gt; "",'Base Data'!EF57 &lt;&gt; "?",'Base Data'!EF57 &lt;&gt; "---"), 'Base Data'!EF57, "")</f>
        <v/>
      </c>
    </row>
    <row r="57" ht="24.0" customHeight="1">
      <c r="A57" s="115"/>
      <c r="B57" s="115" t="str">
        <f>IF(HomePage!C69 &lt;&gt; "", HomePage!B69, "")</f>
        <v/>
      </c>
      <c r="C57" s="116" t="str">
        <f>'Base Data'!DW58</f>
        <v/>
      </c>
      <c r="D57" s="116" t="str">
        <f>IF(HomePage!C69 &lt;&gt; "", "vs", "")</f>
        <v/>
      </c>
      <c r="E57" s="117" t="str">
        <f>'Base Data'!DP58</f>
        <v/>
      </c>
      <c r="F57" s="118" t="str">
        <f>'Base Data'!DQ58</f>
        <v/>
      </c>
      <c r="G57" s="118" t="str">
        <f>'Base Data'!DR58</f>
        <v/>
      </c>
      <c r="H57" s="118" t="str">
        <f>'Base Data'!DS58</f>
        <v/>
      </c>
      <c r="I57" s="118" t="str">
        <f>'Base Data'!DT58</f>
        <v/>
      </c>
      <c r="J57" s="118" t="str">
        <f>'Base Data'!DU58</f>
        <v/>
      </c>
      <c r="K57" s="118" t="str">
        <f>'Base Data'!DV58</f>
        <v/>
      </c>
      <c r="L57" s="118"/>
      <c r="M57" s="118"/>
      <c r="N57" s="118"/>
      <c r="O57" s="118" t="str">
        <f>'Base Data'!CX58</f>
        <v/>
      </c>
      <c r="P57" s="118" t="str">
        <f>'Base Data'!CY58</f>
        <v/>
      </c>
      <c r="Q57" s="118" t="str">
        <f>'Base Data'!CV58</f>
        <v/>
      </c>
      <c r="R57" s="118" t="str">
        <f>'Base Data'!CW58</f>
        <v/>
      </c>
      <c r="S57" s="118"/>
      <c r="T57" s="118" t="str">
        <f>'Base Data'!CZ58</f>
        <v/>
      </c>
      <c r="U57" s="118" t="str">
        <f>'Base Data'!DA58</f>
        <v/>
      </c>
      <c r="V57" s="118" t="str">
        <f>'Base Data'!DB58</f>
        <v/>
      </c>
      <c r="W57" s="118" t="str">
        <f>'Base Data'!DC58</f>
        <v/>
      </c>
      <c r="X57" s="118"/>
      <c r="Y57" s="118"/>
      <c r="Z57" s="118" t="str">
        <f>'Base Data'!DE58</f>
        <v/>
      </c>
      <c r="AA57" s="118" t="str">
        <f>'Base Data'!DF58</f>
        <v/>
      </c>
      <c r="AB57" s="118" t="str">
        <f>'Base Data'!DG58</f>
        <v/>
      </c>
      <c r="AC57" s="118" t="str">
        <f>'Base Data'!DH58</f>
        <v/>
      </c>
      <c r="AD57" s="119" t="str">
        <f>IF('Base Data'!Y58 = "ots", "YES", "")</f>
        <v/>
      </c>
      <c r="AE57" s="119" t="str">
        <f>SWITCH('Base Data'!EE58, "? -&gt; ?", "pending", "--- -&gt; ---", "unranked", " -&gt; ", "", 'Base Data'!EE58)</f>
        <v/>
      </c>
      <c r="AF57" s="119" t="str">
        <f>IF(AND('Base Data'!EF58 &lt;&gt; "",'Base Data'!EF58 &lt;&gt; "?",'Base Data'!EF58 &lt;&gt; "---"), 'Base Data'!EF58, "")</f>
        <v/>
      </c>
    </row>
    <row r="58" ht="24.0" customHeight="1">
      <c r="A58" s="115"/>
      <c r="B58" s="115" t="str">
        <f>IF(HomePage!C70 &lt;&gt; "", HomePage!B70, "")</f>
        <v/>
      </c>
      <c r="C58" s="116" t="str">
        <f>'Base Data'!DW59</f>
        <v/>
      </c>
      <c r="D58" s="116" t="str">
        <f>IF(HomePage!C70 &lt;&gt; "", "vs", "")</f>
        <v/>
      </c>
      <c r="E58" s="117" t="str">
        <f>'Base Data'!DP59</f>
        <v/>
      </c>
      <c r="F58" s="118" t="str">
        <f>'Base Data'!DQ59</f>
        <v/>
      </c>
      <c r="G58" s="118" t="str">
        <f>'Base Data'!DR59</f>
        <v/>
      </c>
      <c r="H58" s="118" t="str">
        <f>'Base Data'!DS59</f>
        <v/>
      </c>
      <c r="I58" s="118" t="str">
        <f>'Base Data'!DT59</f>
        <v/>
      </c>
      <c r="J58" s="118" t="str">
        <f>'Base Data'!DU59</f>
        <v/>
      </c>
      <c r="K58" s="118" t="str">
        <f>'Base Data'!DV59</f>
        <v/>
      </c>
      <c r="L58" s="118"/>
      <c r="M58" s="118"/>
      <c r="N58" s="118"/>
      <c r="O58" s="118" t="str">
        <f>'Base Data'!CX59</f>
        <v/>
      </c>
      <c r="P58" s="118" t="str">
        <f>'Base Data'!CY59</f>
        <v/>
      </c>
      <c r="Q58" s="118" t="str">
        <f>'Base Data'!CV59</f>
        <v/>
      </c>
      <c r="R58" s="118" t="str">
        <f>'Base Data'!CW59</f>
        <v/>
      </c>
      <c r="S58" s="118"/>
      <c r="T58" s="118" t="str">
        <f>'Base Data'!CZ59</f>
        <v/>
      </c>
      <c r="U58" s="118" t="str">
        <f>'Base Data'!DA59</f>
        <v/>
      </c>
      <c r="V58" s="118" t="str">
        <f>'Base Data'!DB59</f>
        <v/>
      </c>
      <c r="W58" s="118" t="str">
        <f>'Base Data'!DC59</f>
        <v/>
      </c>
      <c r="X58" s="118"/>
      <c r="Y58" s="118"/>
      <c r="Z58" s="118" t="str">
        <f>'Base Data'!DE59</f>
        <v/>
      </c>
      <c r="AA58" s="118" t="str">
        <f>'Base Data'!DF59</f>
        <v/>
      </c>
      <c r="AB58" s="118" t="str">
        <f>'Base Data'!DG59</f>
        <v/>
      </c>
      <c r="AC58" s="118" t="str">
        <f>'Base Data'!DH59</f>
        <v/>
      </c>
      <c r="AD58" s="119" t="str">
        <f>IF('Base Data'!Y59 = "ots", "YES", "")</f>
        <v/>
      </c>
      <c r="AE58" s="119" t="str">
        <f>SWITCH('Base Data'!EE59, "? -&gt; ?", "pending", "--- -&gt; ---", "unranked", " -&gt; ", "", 'Base Data'!EE59)</f>
        <v/>
      </c>
      <c r="AF58" s="119" t="str">
        <f>IF(AND('Base Data'!EF59 &lt;&gt; "",'Base Data'!EF59 &lt;&gt; "?",'Base Data'!EF59 &lt;&gt; "---"), 'Base Data'!EF59, "")</f>
        <v/>
      </c>
    </row>
    <row r="59" ht="24.0" customHeight="1">
      <c r="A59" s="115"/>
      <c r="B59" s="115" t="str">
        <f>IF(HomePage!C71 &lt;&gt; "", HomePage!B71, "")</f>
        <v/>
      </c>
      <c r="C59" s="116" t="str">
        <f>'Base Data'!DW60</f>
        <v/>
      </c>
      <c r="D59" s="116" t="str">
        <f>IF(HomePage!C71 &lt;&gt; "", "vs", "")</f>
        <v/>
      </c>
      <c r="E59" s="117" t="str">
        <f>'Base Data'!DP60</f>
        <v/>
      </c>
      <c r="F59" s="118" t="str">
        <f>'Base Data'!DQ60</f>
        <v/>
      </c>
      <c r="G59" s="118" t="str">
        <f>'Base Data'!DR60</f>
        <v/>
      </c>
      <c r="H59" s="118" t="str">
        <f>'Base Data'!DS60</f>
        <v/>
      </c>
      <c r="I59" s="118" t="str">
        <f>'Base Data'!DT60</f>
        <v/>
      </c>
      <c r="J59" s="118" t="str">
        <f>'Base Data'!DU60</f>
        <v/>
      </c>
      <c r="K59" s="118" t="str">
        <f>'Base Data'!DV60</f>
        <v/>
      </c>
      <c r="L59" s="118"/>
      <c r="M59" s="118"/>
      <c r="N59" s="118"/>
      <c r="O59" s="118" t="str">
        <f>'Base Data'!CX60</f>
        <v/>
      </c>
      <c r="P59" s="118" t="str">
        <f>'Base Data'!CY60</f>
        <v/>
      </c>
      <c r="Q59" s="118" t="str">
        <f>'Base Data'!CV60</f>
        <v/>
      </c>
      <c r="R59" s="118" t="str">
        <f>'Base Data'!CW60</f>
        <v/>
      </c>
      <c r="S59" s="118"/>
      <c r="T59" s="118" t="str">
        <f>'Base Data'!CZ60</f>
        <v/>
      </c>
      <c r="U59" s="118" t="str">
        <f>'Base Data'!DA60</f>
        <v/>
      </c>
      <c r="V59" s="118" t="str">
        <f>'Base Data'!DB60</f>
        <v/>
      </c>
      <c r="W59" s="118" t="str">
        <f>'Base Data'!DC60</f>
        <v/>
      </c>
      <c r="X59" s="118"/>
      <c r="Y59" s="118"/>
      <c r="Z59" s="118" t="str">
        <f>'Base Data'!DE60</f>
        <v/>
      </c>
      <c r="AA59" s="118" t="str">
        <f>'Base Data'!DF60</f>
        <v/>
      </c>
      <c r="AB59" s="118" t="str">
        <f>'Base Data'!DG60</f>
        <v/>
      </c>
      <c r="AC59" s="118" t="str">
        <f>'Base Data'!DH60</f>
        <v/>
      </c>
      <c r="AD59" s="119" t="str">
        <f>IF('Base Data'!Y60 = "ots", "YES", "")</f>
        <v/>
      </c>
      <c r="AE59" s="119" t="str">
        <f>SWITCH('Base Data'!EE60, "? -&gt; ?", "pending", "--- -&gt; ---", "unranked", " -&gt; ", "", 'Base Data'!EE60)</f>
        <v/>
      </c>
      <c r="AF59" s="119" t="str">
        <f>IF(AND('Base Data'!EF60 &lt;&gt; "",'Base Data'!EF60 &lt;&gt; "?",'Base Data'!EF60 &lt;&gt; "---"), 'Base Data'!EF60, "")</f>
        <v/>
      </c>
    </row>
    <row r="60" ht="24.0" customHeight="1">
      <c r="A60" s="115"/>
      <c r="B60" s="115" t="str">
        <f>IF(HomePage!C72 &lt;&gt; "", HomePage!B72, "")</f>
        <v/>
      </c>
      <c r="C60" s="116" t="str">
        <f>'Base Data'!DW61</f>
        <v/>
      </c>
      <c r="D60" s="116" t="str">
        <f>IF(HomePage!C72 &lt;&gt; "", "vs", "")</f>
        <v/>
      </c>
      <c r="E60" s="117" t="str">
        <f>'Base Data'!DP61</f>
        <v/>
      </c>
      <c r="F60" s="118" t="str">
        <f>'Base Data'!DQ61</f>
        <v/>
      </c>
      <c r="G60" s="118" t="str">
        <f>'Base Data'!DR61</f>
        <v/>
      </c>
      <c r="H60" s="118" t="str">
        <f>'Base Data'!DS61</f>
        <v/>
      </c>
      <c r="I60" s="118" t="str">
        <f>'Base Data'!DT61</f>
        <v/>
      </c>
      <c r="J60" s="118" t="str">
        <f>'Base Data'!DU61</f>
        <v/>
      </c>
      <c r="K60" s="118" t="str">
        <f>'Base Data'!DV61</f>
        <v/>
      </c>
      <c r="L60" s="118"/>
      <c r="M60" s="118"/>
      <c r="N60" s="118"/>
      <c r="O60" s="118" t="str">
        <f>'Base Data'!CX61</f>
        <v/>
      </c>
      <c r="P60" s="118" t="str">
        <f>'Base Data'!CY61</f>
        <v/>
      </c>
      <c r="Q60" s="118" t="str">
        <f>'Base Data'!CV61</f>
        <v/>
      </c>
      <c r="R60" s="118" t="str">
        <f>'Base Data'!CW61</f>
        <v/>
      </c>
      <c r="S60" s="118"/>
      <c r="T60" s="118" t="str">
        <f>'Base Data'!CZ61</f>
        <v/>
      </c>
      <c r="U60" s="118" t="str">
        <f>'Base Data'!DA61</f>
        <v/>
      </c>
      <c r="V60" s="118" t="str">
        <f>'Base Data'!DB61</f>
        <v/>
      </c>
      <c r="W60" s="118" t="str">
        <f>'Base Data'!DC61</f>
        <v/>
      </c>
      <c r="X60" s="118"/>
      <c r="Y60" s="118"/>
      <c r="Z60" s="118" t="str">
        <f>'Base Data'!DE61</f>
        <v/>
      </c>
      <c r="AA60" s="118" t="str">
        <f>'Base Data'!DF61</f>
        <v/>
      </c>
      <c r="AB60" s="118" t="str">
        <f>'Base Data'!DG61</f>
        <v/>
      </c>
      <c r="AC60" s="118" t="str">
        <f>'Base Data'!DH61</f>
        <v/>
      </c>
      <c r="AD60" s="119" t="str">
        <f>IF('Base Data'!Y61 = "ots", "YES", "")</f>
        <v/>
      </c>
      <c r="AE60" s="119" t="str">
        <f>SWITCH('Base Data'!EE61, "? -&gt; ?", "pending", "--- -&gt; ---", "unranked", " -&gt; ", "", 'Base Data'!EE61)</f>
        <v/>
      </c>
      <c r="AF60" s="119" t="str">
        <f>IF(AND('Base Data'!EF61 &lt;&gt; "",'Base Data'!EF61 &lt;&gt; "?",'Base Data'!EF61 &lt;&gt; "---"), 'Base Data'!EF61, "")</f>
        <v/>
      </c>
    </row>
    <row r="61" ht="24.0" customHeight="1">
      <c r="A61" s="115"/>
      <c r="B61" s="115" t="str">
        <f>IF(HomePage!C73 &lt;&gt; "", HomePage!B73, "")</f>
        <v/>
      </c>
      <c r="C61" s="116" t="str">
        <f>'Base Data'!DW62</f>
        <v/>
      </c>
      <c r="D61" s="116" t="str">
        <f>IF(HomePage!C73 &lt;&gt; "", "vs", "")</f>
        <v/>
      </c>
      <c r="E61" s="117" t="str">
        <f>'Base Data'!DP62</f>
        <v/>
      </c>
      <c r="F61" s="118" t="str">
        <f>'Base Data'!DQ62</f>
        <v/>
      </c>
      <c r="G61" s="118" t="str">
        <f>'Base Data'!DR62</f>
        <v/>
      </c>
      <c r="H61" s="118" t="str">
        <f>'Base Data'!DS62</f>
        <v/>
      </c>
      <c r="I61" s="118" t="str">
        <f>'Base Data'!DT62</f>
        <v/>
      </c>
      <c r="J61" s="118" t="str">
        <f>'Base Data'!DU62</f>
        <v/>
      </c>
      <c r="K61" s="118" t="str">
        <f>'Base Data'!DV62</f>
        <v/>
      </c>
      <c r="L61" s="118"/>
      <c r="M61" s="118"/>
      <c r="N61" s="118"/>
      <c r="O61" s="118" t="str">
        <f>'Base Data'!CX62</f>
        <v/>
      </c>
      <c r="P61" s="118" t="str">
        <f>'Base Data'!CY62</f>
        <v/>
      </c>
      <c r="Q61" s="118" t="str">
        <f>'Base Data'!CV62</f>
        <v/>
      </c>
      <c r="R61" s="118" t="str">
        <f>'Base Data'!CW62</f>
        <v/>
      </c>
      <c r="S61" s="118"/>
      <c r="T61" s="118" t="str">
        <f>'Base Data'!CZ62</f>
        <v/>
      </c>
      <c r="U61" s="118" t="str">
        <f>'Base Data'!DA62</f>
        <v/>
      </c>
      <c r="V61" s="118" t="str">
        <f>'Base Data'!DB62</f>
        <v/>
      </c>
      <c r="W61" s="118" t="str">
        <f>'Base Data'!DC62</f>
        <v/>
      </c>
      <c r="X61" s="118"/>
      <c r="Y61" s="118"/>
      <c r="Z61" s="118" t="str">
        <f>'Base Data'!DE62</f>
        <v/>
      </c>
      <c r="AA61" s="118" t="str">
        <f>'Base Data'!DF62</f>
        <v/>
      </c>
      <c r="AB61" s="118" t="str">
        <f>'Base Data'!DG62</f>
        <v/>
      </c>
      <c r="AC61" s="118" t="str">
        <f>'Base Data'!DH62</f>
        <v/>
      </c>
      <c r="AD61" s="119" t="str">
        <f>IF('Base Data'!Y62 = "ots", "YES", "")</f>
        <v/>
      </c>
      <c r="AE61" s="119" t="str">
        <f>SWITCH('Base Data'!EE62, "? -&gt; ?", "pending", "--- -&gt; ---", "unranked", " -&gt; ", "", 'Base Data'!EE62)</f>
        <v/>
      </c>
      <c r="AF61" s="119" t="str">
        <f>IF(AND('Base Data'!EF62 &lt;&gt; "",'Base Data'!EF62 &lt;&gt; "?",'Base Data'!EF62 &lt;&gt; "---"), 'Base Data'!EF62, "")</f>
        <v/>
      </c>
    </row>
    <row r="62" ht="24.0" customHeight="1">
      <c r="A62" s="115"/>
      <c r="B62" s="115" t="str">
        <f>IF(HomePage!C74 &lt;&gt; "", HomePage!B74, "")</f>
        <v/>
      </c>
      <c r="C62" s="116" t="str">
        <f>'Base Data'!DW63</f>
        <v/>
      </c>
      <c r="D62" s="116" t="str">
        <f>IF(HomePage!C74 &lt;&gt; "", "vs", "")</f>
        <v/>
      </c>
      <c r="E62" s="117" t="str">
        <f>'Base Data'!DP63</f>
        <v/>
      </c>
      <c r="F62" s="118" t="str">
        <f>'Base Data'!DQ63</f>
        <v/>
      </c>
      <c r="G62" s="118" t="str">
        <f>'Base Data'!DR63</f>
        <v/>
      </c>
      <c r="H62" s="118" t="str">
        <f>'Base Data'!DS63</f>
        <v/>
      </c>
      <c r="I62" s="118" t="str">
        <f>'Base Data'!DT63</f>
        <v/>
      </c>
      <c r="J62" s="118" t="str">
        <f>'Base Data'!DU63</f>
        <v/>
      </c>
      <c r="K62" s="118" t="str">
        <f>'Base Data'!DV63</f>
        <v/>
      </c>
      <c r="L62" s="118"/>
      <c r="M62" s="118"/>
      <c r="N62" s="118"/>
      <c r="O62" s="118" t="str">
        <f>'Base Data'!CX63</f>
        <v/>
      </c>
      <c r="P62" s="118" t="str">
        <f>'Base Data'!CY63</f>
        <v/>
      </c>
      <c r="Q62" s="118" t="str">
        <f>'Base Data'!CV63</f>
        <v/>
      </c>
      <c r="R62" s="118" t="str">
        <f>'Base Data'!CW63</f>
        <v/>
      </c>
      <c r="S62" s="118"/>
      <c r="T62" s="118" t="str">
        <f>'Base Data'!CZ63</f>
        <v/>
      </c>
      <c r="U62" s="118" t="str">
        <f>'Base Data'!DA63</f>
        <v/>
      </c>
      <c r="V62" s="118" t="str">
        <f>'Base Data'!DB63</f>
        <v/>
      </c>
      <c r="W62" s="118" t="str">
        <f>'Base Data'!DC63</f>
        <v/>
      </c>
      <c r="X62" s="118"/>
      <c r="Y62" s="118"/>
      <c r="Z62" s="118" t="str">
        <f>'Base Data'!DE63</f>
        <v/>
      </c>
      <c r="AA62" s="118" t="str">
        <f>'Base Data'!DF63</f>
        <v/>
      </c>
      <c r="AB62" s="118" t="str">
        <f>'Base Data'!DG63</f>
        <v/>
      </c>
      <c r="AC62" s="118" t="str">
        <f>'Base Data'!DH63</f>
        <v/>
      </c>
      <c r="AD62" s="119" t="str">
        <f>IF('Base Data'!Y63 = "ots", "YES", "")</f>
        <v/>
      </c>
      <c r="AE62" s="119" t="str">
        <f>SWITCH('Base Data'!EE63, "? -&gt; ?", "pending", "--- -&gt; ---", "unranked", " -&gt; ", "", 'Base Data'!EE63)</f>
        <v/>
      </c>
      <c r="AF62" s="119" t="str">
        <f>IF(AND('Base Data'!EF63 &lt;&gt; "",'Base Data'!EF63 &lt;&gt; "?",'Base Data'!EF63 &lt;&gt; "---"), 'Base Data'!EF63, "")</f>
        <v/>
      </c>
    </row>
    <row r="63" ht="24.0" customHeight="1">
      <c r="A63" s="115"/>
      <c r="B63" s="115" t="str">
        <f>IF(HomePage!C75 &lt;&gt; "", HomePage!B75, "")</f>
        <v/>
      </c>
      <c r="C63" s="116" t="str">
        <f>'Base Data'!DW64</f>
        <v/>
      </c>
      <c r="D63" s="116" t="str">
        <f>IF(HomePage!C75 &lt;&gt; "", "vs", "")</f>
        <v/>
      </c>
      <c r="E63" s="117" t="str">
        <f>'Base Data'!DP64</f>
        <v/>
      </c>
      <c r="F63" s="118" t="str">
        <f>'Base Data'!DQ64</f>
        <v/>
      </c>
      <c r="G63" s="118" t="str">
        <f>'Base Data'!DR64</f>
        <v/>
      </c>
      <c r="H63" s="118" t="str">
        <f>'Base Data'!DS64</f>
        <v/>
      </c>
      <c r="I63" s="118" t="str">
        <f>'Base Data'!DT64</f>
        <v/>
      </c>
      <c r="J63" s="118" t="str">
        <f>'Base Data'!DU64</f>
        <v/>
      </c>
      <c r="K63" s="118" t="str">
        <f>'Base Data'!DV64</f>
        <v/>
      </c>
      <c r="L63" s="118"/>
      <c r="M63" s="118"/>
      <c r="N63" s="118"/>
      <c r="O63" s="118" t="str">
        <f>'Base Data'!CX64</f>
        <v/>
      </c>
      <c r="P63" s="118" t="str">
        <f>'Base Data'!CY64</f>
        <v/>
      </c>
      <c r="Q63" s="118" t="str">
        <f>'Base Data'!CV64</f>
        <v/>
      </c>
      <c r="R63" s="118" t="str">
        <f>'Base Data'!CW64</f>
        <v/>
      </c>
      <c r="S63" s="118"/>
      <c r="T63" s="118" t="str">
        <f>'Base Data'!CZ64</f>
        <v/>
      </c>
      <c r="U63" s="118" t="str">
        <f>'Base Data'!DA64</f>
        <v/>
      </c>
      <c r="V63" s="118" t="str">
        <f>'Base Data'!DB64</f>
        <v/>
      </c>
      <c r="W63" s="118" t="str">
        <f>'Base Data'!DC64</f>
        <v/>
      </c>
      <c r="X63" s="118"/>
      <c r="Y63" s="118"/>
      <c r="Z63" s="118" t="str">
        <f>'Base Data'!DE64</f>
        <v/>
      </c>
      <c r="AA63" s="118" t="str">
        <f>'Base Data'!DF64</f>
        <v/>
      </c>
      <c r="AB63" s="118" t="str">
        <f>'Base Data'!DG64</f>
        <v/>
      </c>
      <c r="AC63" s="118" t="str">
        <f>'Base Data'!DH64</f>
        <v/>
      </c>
      <c r="AD63" s="119" t="str">
        <f>IF('Base Data'!Y64 = "ots", "YES", "")</f>
        <v/>
      </c>
      <c r="AE63" s="119" t="str">
        <f>SWITCH('Base Data'!EE64, "? -&gt; ?", "pending", "--- -&gt; ---", "unranked", " -&gt; ", "", 'Base Data'!EE64)</f>
        <v/>
      </c>
      <c r="AF63" s="119" t="str">
        <f>IF(AND('Base Data'!EF64 &lt;&gt; "",'Base Data'!EF64 &lt;&gt; "?",'Base Data'!EF64 &lt;&gt; "---"), 'Base Data'!EF64, "")</f>
        <v/>
      </c>
    </row>
    <row r="64" ht="24.0" customHeight="1">
      <c r="A64" s="115"/>
      <c r="B64" s="115" t="str">
        <f>IF(HomePage!C76 &lt;&gt; "", HomePage!B76, "")</f>
        <v/>
      </c>
      <c r="C64" s="116" t="str">
        <f>'Base Data'!DW65</f>
        <v/>
      </c>
      <c r="D64" s="116" t="str">
        <f>IF(HomePage!C76 &lt;&gt; "", "vs", "")</f>
        <v/>
      </c>
      <c r="E64" s="117" t="str">
        <f>'Base Data'!DP65</f>
        <v/>
      </c>
      <c r="F64" s="118" t="str">
        <f>'Base Data'!DQ65</f>
        <v/>
      </c>
      <c r="G64" s="118" t="str">
        <f>'Base Data'!DR65</f>
        <v/>
      </c>
      <c r="H64" s="118" t="str">
        <f>'Base Data'!DS65</f>
        <v/>
      </c>
      <c r="I64" s="118" t="str">
        <f>'Base Data'!DT65</f>
        <v/>
      </c>
      <c r="J64" s="118" t="str">
        <f>'Base Data'!DU65</f>
        <v/>
      </c>
      <c r="K64" s="118" t="str">
        <f>'Base Data'!DV65</f>
        <v/>
      </c>
      <c r="L64" s="118"/>
      <c r="M64" s="118"/>
      <c r="N64" s="118"/>
      <c r="O64" s="118" t="str">
        <f>'Base Data'!CX65</f>
        <v/>
      </c>
      <c r="P64" s="118" t="str">
        <f>'Base Data'!CY65</f>
        <v/>
      </c>
      <c r="Q64" s="118" t="str">
        <f>'Base Data'!CV65</f>
        <v/>
      </c>
      <c r="R64" s="118" t="str">
        <f>'Base Data'!CW65</f>
        <v/>
      </c>
      <c r="S64" s="118"/>
      <c r="T64" s="118" t="str">
        <f>'Base Data'!CZ65</f>
        <v/>
      </c>
      <c r="U64" s="118" t="str">
        <f>'Base Data'!DA65</f>
        <v/>
      </c>
      <c r="V64" s="118" t="str">
        <f>'Base Data'!DB65</f>
        <v/>
      </c>
      <c r="W64" s="118" t="str">
        <f>'Base Data'!DC65</f>
        <v/>
      </c>
      <c r="X64" s="118"/>
      <c r="Y64" s="118"/>
      <c r="Z64" s="118" t="str">
        <f>'Base Data'!DE65</f>
        <v/>
      </c>
      <c r="AA64" s="118" t="str">
        <f>'Base Data'!DF65</f>
        <v/>
      </c>
      <c r="AB64" s="118" t="str">
        <f>'Base Data'!DG65</f>
        <v/>
      </c>
      <c r="AC64" s="118" t="str">
        <f>'Base Data'!DH65</f>
        <v/>
      </c>
      <c r="AD64" s="119" t="str">
        <f>IF('Base Data'!Y65 = "ots", "YES", "")</f>
        <v/>
      </c>
      <c r="AE64" s="119" t="str">
        <f>SWITCH('Base Data'!EE65, "? -&gt; ?", "pending", "--- -&gt; ---", "unranked", " -&gt; ", "", 'Base Data'!EE65)</f>
        <v/>
      </c>
      <c r="AF64" s="119" t="str">
        <f>IF(AND('Base Data'!EF65 &lt;&gt; "",'Base Data'!EF65 &lt;&gt; "?",'Base Data'!EF65 &lt;&gt; "---"), 'Base Data'!EF65, "")</f>
        <v/>
      </c>
    </row>
    <row r="65" ht="24.0" customHeight="1">
      <c r="A65" s="115"/>
      <c r="B65" s="115" t="str">
        <f>IF(HomePage!C77 &lt;&gt; "", HomePage!B77, "")</f>
        <v/>
      </c>
      <c r="C65" s="116" t="str">
        <f>'Base Data'!DW66</f>
        <v/>
      </c>
      <c r="D65" s="116" t="str">
        <f>IF(HomePage!C77 &lt;&gt; "", "vs", "")</f>
        <v/>
      </c>
      <c r="E65" s="117" t="str">
        <f>'Base Data'!DP66</f>
        <v/>
      </c>
      <c r="F65" s="118" t="str">
        <f>'Base Data'!DQ66</f>
        <v/>
      </c>
      <c r="G65" s="118" t="str">
        <f>'Base Data'!DR66</f>
        <v/>
      </c>
      <c r="H65" s="118" t="str">
        <f>'Base Data'!DS66</f>
        <v/>
      </c>
      <c r="I65" s="118" t="str">
        <f>'Base Data'!DT66</f>
        <v/>
      </c>
      <c r="J65" s="118" t="str">
        <f>'Base Data'!DU66</f>
        <v/>
      </c>
      <c r="K65" s="118" t="str">
        <f>'Base Data'!DV66</f>
        <v/>
      </c>
      <c r="L65" s="118"/>
      <c r="M65" s="118"/>
      <c r="N65" s="118"/>
      <c r="O65" s="118" t="str">
        <f>'Base Data'!CX66</f>
        <v/>
      </c>
      <c r="P65" s="118" t="str">
        <f>'Base Data'!CY66</f>
        <v/>
      </c>
      <c r="Q65" s="118" t="str">
        <f>'Base Data'!CV66</f>
        <v/>
      </c>
      <c r="R65" s="118" t="str">
        <f>'Base Data'!CW66</f>
        <v/>
      </c>
      <c r="S65" s="118"/>
      <c r="T65" s="118" t="str">
        <f>'Base Data'!CZ66</f>
        <v/>
      </c>
      <c r="U65" s="118" t="str">
        <f>'Base Data'!DA66</f>
        <v/>
      </c>
      <c r="V65" s="118" t="str">
        <f>'Base Data'!DB66</f>
        <v/>
      </c>
      <c r="W65" s="118" t="str">
        <f>'Base Data'!DC66</f>
        <v/>
      </c>
      <c r="X65" s="118"/>
      <c r="Y65" s="118"/>
      <c r="Z65" s="118" t="str">
        <f>'Base Data'!DE66</f>
        <v/>
      </c>
      <c r="AA65" s="118" t="str">
        <f>'Base Data'!DF66</f>
        <v/>
      </c>
      <c r="AB65" s="118" t="str">
        <f>'Base Data'!DG66</f>
        <v/>
      </c>
      <c r="AC65" s="118" t="str">
        <f>'Base Data'!DH66</f>
        <v/>
      </c>
      <c r="AD65" s="119" t="str">
        <f>IF('Base Data'!Y66 = "ots", "YES", "")</f>
        <v/>
      </c>
      <c r="AE65" s="119" t="str">
        <f>SWITCH('Base Data'!EE66, "? -&gt; ?", "pending", "--- -&gt; ---", "unranked", " -&gt; ", "", 'Base Data'!EE66)</f>
        <v/>
      </c>
      <c r="AF65" s="119" t="str">
        <f>IF(AND('Base Data'!EF66 &lt;&gt; "",'Base Data'!EF66 &lt;&gt; "?",'Base Data'!EF66 &lt;&gt; "---"), 'Base Data'!EF66, "")</f>
        <v/>
      </c>
    </row>
    <row r="66" ht="24.0" customHeight="1">
      <c r="A66" s="115"/>
      <c r="B66" s="115" t="str">
        <f>IF(HomePage!C78 &lt;&gt; "", HomePage!B78, "")</f>
        <v/>
      </c>
      <c r="C66" s="116" t="str">
        <f>'Base Data'!DW67</f>
        <v/>
      </c>
      <c r="D66" s="116" t="str">
        <f>IF(HomePage!C78 &lt;&gt; "", "vs", "")</f>
        <v/>
      </c>
      <c r="E66" s="117" t="str">
        <f>'Base Data'!DP67</f>
        <v/>
      </c>
      <c r="F66" s="118" t="str">
        <f>'Base Data'!DQ67</f>
        <v/>
      </c>
      <c r="G66" s="118" t="str">
        <f>'Base Data'!DR67</f>
        <v/>
      </c>
      <c r="H66" s="118" t="str">
        <f>'Base Data'!DS67</f>
        <v/>
      </c>
      <c r="I66" s="118" t="str">
        <f>'Base Data'!DT67</f>
        <v/>
      </c>
      <c r="J66" s="118" t="str">
        <f>'Base Data'!DU67</f>
        <v/>
      </c>
      <c r="K66" s="118" t="str">
        <f>'Base Data'!DV67</f>
        <v/>
      </c>
      <c r="L66" s="118"/>
      <c r="M66" s="118"/>
      <c r="N66" s="118"/>
      <c r="O66" s="118" t="str">
        <f>'Base Data'!CX67</f>
        <v/>
      </c>
      <c r="P66" s="118" t="str">
        <f>'Base Data'!CY67</f>
        <v/>
      </c>
      <c r="Q66" s="118" t="str">
        <f>'Base Data'!CV67</f>
        <v/>
      </c>
      <c r="R66" s="118" t="str">
        <f>'Base Data'!CW67</f>
        <v/>
      </c>
      <c r="S66" s="118"/>
      <c r="T66" s="118" t="str">
        <f>'Base Data'!CZ67</f>
        <v/>
      </c>
      <c r="U66" s="118" t="str">
        <f>'Base Data'!DA67</f>
        <v/>
      </c>
      <c r="V66" s="118" t="str">
        <f>'Base Data'!DB67</f>
        <v/>
      </c>
      <c r="W66" s="118" t="str">
        <f>'Base Data'!DC67</f>
        <v/>
      </c>
      <c r="X66" s="118"/>
      <c r="Y66" s="118"/>
      <c r="Z66" s="118" t="str">
        <f>'Base Data'!DE67</f>
        <v/>
      </c>
      <c r="AA66" s="118" t="str">
        <f>'Base Data'!DF67</f>
        <v/>
      </c>
      <c r="AB66" s="118" t="str">
        <f>'Base Data'!DG67</f>
        <v/>
      </c>
      <c r="AC66" s="118" t="str">
        <f>'Base Data'!DH67</f>
        <v/>
      </c>
      <c r="AD66" s="119" t="str">
        <f>IF('Base Data'!Y67 = "ots", "YES", "")</f>
        <v/>
      </c>
      <c r="AE66" s="119" t="str">
        <f>SWITCH('Base Data'!EE67, "? -&gt; ?", "pending", "--- -&gt; ---", "unranked", " -&gt; ", "", 'Base Data'!EE67)</f>
        <v/>
      </c>
      <c r="AF66" s="119" t="str">
        <f>IF(AND('Base Data'!EF67 &lt;&gt; "",'Base Data'!EF67 &lt;&gt; "?",'Base Data'!EF67 &lt;&gt; "---"), 'Base Data'!EF67, "")</f>
        <v/>
      </c>
    </row>
    <row r="67" ht="24.0" customHeight="1">
      <c r="A67" s="115"/>
      <c r="B67" s="115" t="str">
        <f>IF(HomePage!C79 &lt;&gt; "", HomePage!B79, "")</f>
        <v/>
      </c>
      <c r="C67" s="116" t="str">
        <f>'Base Data'!DW68</f>
        <v/>
      </c>
      <c r="D67" s="116" t="str">
        <f>IF(HomePage!C79 &lt;&gt; "", "vs", "")</f>
        <v/>
      </c>
      <c r="E67" s="117" t="str">
        <f>'Base Data'!DP68</f>
        <v/>
      </c>
      <c r="F67" s="118" t="str">
        <f>'Base Data'!DQ68</f>
        <v/>
      </c>
      <c r="G67" s="118" t="str">
        <f>'Base Data'!DR68</f>
        <v/>
      </c>
      <c r="H67" s="118" t="str">
        <f>'Base Data'!DS68</f>
        <v/>
      </c>
      <c r="I67" s="118" t="str">
        <f>'Base Data'!DT68</f>
        <v/>
      </c>
      <c r="J67" s="118" t="str">
        <f>'Base Data'!DU68</f>
        <v/>
      </c>
      <c r="K67" s="118" t="str">
        <f>'Base Data'!DV68</f>
        <v/>
      </c>
      <c r="L67" s="118"/>
      <c r="M67" s="118"/>
      <c r="N67" s="118"/>
      <c r="O67" s="118" t="str">
        <f>'Base Data'!CX68</f>
        <v/>
      </c>
      <c r="P67" s="118" t="str">
        <f>'Base Data'!CY68</f>
        <v/>
      </c>
      <c r="Q67" s="118" t="str">
        <f>'Base Data'!CV68</f>
        <v/>
      </c>
      <c r="R67" s="118" t="str">
        <f>'Base Data'!CW68</f>
        <v/>
      </c>
      <c r="S67" s="118"/>
      <c r="T67" s="118" t="str">
        <f>'Base Data'!CZ68</f>
        <v/>
      </c>
      <c r="U67" s="118" t="str">
        <f>'Base Data'!DA68</f>
        <v/>
      </c>
      <c r="V67" s="118" t="str">
        <f>'Base Data'!DB68</f>
        <v/>
      </c>
      <c r="W67" s="118" t="str">
        <f>'Base Data'!DC68</f>
        <v/>
      </c>
      <c r="X67" s="118"/>
      <c r="Y67" s="118"/>
      <c r="Z67" s="118" t="str">
        <f>'Base Data'!DE68</f>
        <v/>
      </c>
      <c r="AA67" s="118" t="str">
        <f>'Base Data'!DF68</f>
        <v/>
      </c>
      <c r="AB67" s="118" t="str">
        <f>'Base Data'!DG68</f>
        <v/>
      </c>
      <c r="AC67" s="118" t="str">
        <f>'Base Data'!DH68</f>
        <v/>
      </c>
      <c r="AD67" s="119" t="str">
        <f>IF('Base Data'!Y68 = "ots", "YES", "")</f>
        <v/>
      </c>
      <c r="AE67" s="119" t="str">
        <f>SWITCH('Base Data'!EE68, "? -&gt; ?", "pending", "--- -&gt; ---", "unranked", " -&gt; ", "", 'Base Data'!EE68)</f>
        <v/>
      </c>
      <c r="AF67" s="119" t="str">
        <f>IF(AND('Base Data'!EF68 &lt;&gt; "",'Base Data'!EF68 &lt;&gt; "?",'Base Data'!EF68 &lt;&gt; "---"), 'Base Data'!EF68, "")</f>
        <v/>
      </c>
    </row>
    <row r="68" ht="24.0" customHeight="1">
      <c r="A68" s="115"/>
      <c r="B68" s="115" t="str">
        <f>IF(HomePage!C80 &lt;&gt; "", HomePage!B80, "")</f>
        <v/>
      </c>
      <c r="C68" s="116" t="str">
        <f>'Base Data'!DW69</f>
        <v/>
      </c>
      <c r="D68" s="116" t="str">
        <f>IF(HomePage!C80 &lt;&gt; "", "vs", "")</f>
        <v/>
      </c>
      <c r="E68" s="117" t="str">
        <f>'Base Data'!DP69</f>
        <v/>
      </c>
      <c r="F68" s="118" t="str">
        <f>'Base Data'!DQ69</f>
        <v/>
      </c>
      <c r="G68" s="118" t="str">
        <f>'Base Data'!DR69</f>
        <v/>
      </c>
      <c r="H68" s="118" t="str">
        <f>'Base Data'!DS69</f>
        <v/>
      </c>
      <c r="I68" s="118" t="str">
        <f>'Base Data'!DT69</f>
        <v/>
      </c>
      <c r="J68" s="118" t="str">
        <f>'Base Data'!DU69</f>
        <v/>
      </c>
      <c r="K68" s="118" t="str">
        <f>'Base Data'!DV69</f>
        <v/>
      </c>
      <c r="L68" s="118"/>
      <c r="M68" s="118"/>
      <c r="N68" s="118"/>
      <c r="O68" s="118" t="str">
        <f>'Base Data'!CX69</f>
        <v/>
      </c>
      <c r="P68" s="118" t="str">
        <f>'Base Data'!CY69</f>
        <v/>
      </c>
      <c r="Q68" s="118" t="str">
        <f>'Base Data'!CV69</f>
        <v/>
      </c>
      <c r="R68" s="118" t="str">
        <f>'Base Data'!CW69</f>
        <v/>
      </c>
      <c r="S68" s="118"/>
      <c r="T68" s="118" t="str">
        <f>'Base Data'!CZ69</f>
        <v/>
      </c>
      <c r="U68" s="118" t="str">
        <f>'Base Data'!DA69</f>
        <v/>
      </c>
      <c r="V68" s="118" t="str">
        <f>'Base Data'!DB69</f>
        <v/>
      </c>
      <c r="W68" s="118" t="str">
        <f>'Base Data'!DC69</f>
        <v/>
      </c>
      <c r="X68" s="118"/>
      <c r="Y68" s="118"/>
      <c r="Z68" s="118" t="str">
        <f>'Base Data'!DE69</f>
        <v/>
      </c>
      <c r="AA68" s="118" t="str">
        <f>'Base Data'!DF69</f>
        <v/>
      </c>
      <c r="AB68" s="118" t="str">
        <f>'Base Data'!DG69</f>
        <v/>
      </c>
      <c r="AC68" s="118" t="str">
        <f>'Base Data'!DH69</f>
        <v/>
      </c>
      <c r="AD68" s="119" t="str">
        <f>IF('Base Data'!Y69 = "ots", "YES", "")</f>
        <v/>
      </c>
      <c r="AE68" s="119" t="str">
        <f>SWITCH('Base Data'!EE69, "? -&gt; ?", "pending", "--- -&gt; ---", "unranked", " -&gt; ", "", 'Base Data'!EE69)</f>
        <v/>
      </c>
      <c r="AF68" s="119" t="str">
        <f>IF(AND('Base Data'!EF69 &lt;&gt; "",'Base Data'!EF69 &lt;&gt; "?",'Base Data'!EF69 &lt;&gt; "---"), 'Base Data'!EF69, "")</f>
        <v/>
      </c>
    </row>
    <row r="69" ht="24.0" customHeight="1">
      <c r="A69" s="115"/>
      <c r="B69" s="115" t="str">
        <f>IF(HomePage!C81 &lt;&gt; "", HomePage!B81, "")</f>
        <v/>
      </c>
      <c r="C69" s="116" t="str">
        <f>'Base Data'!DW70</f>
        <v/>
      </c>
      <c r="D69" s="116" t="str">
        <f>IF(HomePage!C81 &lt;&gt; "", "vs", "")</f>
        <v/>
      </c>
      <c r="E69" s="117" t="str">
        <f>'Base Data'!DP70</f>
        <v/>
      </c>
      <c r="F69" s="118" t="str">
        <f>'Base Data'!DQ70</f>
        <v/>
      </c>
      <c r="G69" s="118" t="str">
        <f>'Base Data'!DR70</f>
        <v/>
      </c>
      <c r="H69" s="118" t="str">
        <f>'Base Data'!DS70</f>
        <v/>
      </c>
      <c r="I69" s="118" t="str">
        <f>'Base Data'!DT70</f>
        <v/>
      </c>
      <c r="J69" s="118" t="str">
        <f>'Base Data'!DU70</f>
        <v/>
      </c>
      <c r="K69" s="118" t="str">
        <f>'Base Data'!DV70</f>
        <v/>
      </c>
      <c r="L69" s="118"/>
      <c r="M69" s="118"/>
      <c r="N69" s="118"/>
      <c r="O69" s="118" t="str">
        <f>'Base Data'!CX70</f>
        <v/>
      </c>
      <c r="P69" s="118" t="str">
        <f>'Base Data'!CY70</f>
        <v/>
      </c>
      <c r="Q69" s="118" t="str">
        <f>'Base Data'!CV70</f>
        <v/>
      </c>
      <c r="R69" s="118" t="str">
        <f>'Base Data'!CW70</f>
        <v/>
      </c>
      <c r="S69" s="118"/>
      <c r="T69" s="118" t="str">
        <f>'Base Data'!CZ70</f>
        <v/>
      </c>
      <c r="U69" s="118" t="str">
        <f>'Base Data'!DA70</f>
        <v/>
      </c>
      <c r="V69" s="118" t="str">
        <f>'Base Data'!DB70</f>
        <v/>
      </c>
      <c r="W69" s="118" t="str">
        <f>'Base Data'!DC70</f>
        <v/>
      </c>
      <c r="X69" s="118"/>
      <c r="Y69" s="118"/>
      <c r="Z69" s="118" t="str">
        <f>'Base Data'!DE70</f>
        <v/>
      </c>
      <c r="AA69" s="118" t="str">
        <f>'Base Data'!DF70</f>
        <v/>
      </c>
      <c r="AB69" s="118" t="str">
        <f>'Base Data'!DG70</f>
        <v/>
      </c>
      <c r="AC69" s="118" t="str">
        <f>'Base Data'!DH70</f>
        <v/>
      </c>
      <c r="AD69" s="119" t="str">
        <f>IF('Base Data'!Y70 = "ots", "YES", "")</f>
        <v/>
      </c>
      <c r="AE69" s="119" t="str">
        <f>SWITCH('Base Data'!EE70, "? -&gt; ?", "pending", "--- -&gt; ---", "unranked", " -&gt; ", "", 'Base Data'!EE70)</f>
        <v/>
      </c>
      <c r="AF69" s="119" t="str">
        <f>IF(AND('Base Data'!EF70 &lt;&gt; "",'Base Data'!EF70 &lt;&gt; "?",'Base Data'!EF70 &lt;&gt; "---"), 'Base Data'!EF70, "")</f>
        <v/>
      </c>
    </row>
    <row r="70" ht="24.0" customHeight="1">
      <c r="A70" s="115"/>
      <c r="B70" s="115" t="str">
        <f>IF(HomePage!C82 &lt;&gt; "", HomePage!B82, "")</f>
        <v/>
      </c>
      <c r="C70" s="116" t="str">
        <f>'Base Data'!DW71</f>
        <v/>
      </c>
      <c r="D70" s="116" t="str">
        <f>IF(HomePage!C82 &lt;&gt; "", "vs", "")</f>
        <v/>
      </c>
      <c r="E70" s="117" t="str">
        <f>'Base Data'!DP71</f>
        <v/>
      </c>
      <c r="F70" s="118" t="str">
        <f>'Base Data'!DQ71</f>
        <v/>
      </c>
      <c r="G70" s="118" t="str">
        <f>'Base Data'!DR71</f>
        <v/>
      </c>
      <c r="H70" s="118" t="str">
        <f>'Base Data'!DS71</f>
        <v/>
      </c>
      <c r="I70" s="118" t="str">
        <f>'Base Data'!DT71</f>
        <v/>
      </c>
      <c r="J70" s="118" t="str">
        <f>'Base Data'!DU71</f>
        <v/>
      </c>
      <c r="K70" s="118" t="str">
        <f>'Base Data'!DV71</f>
        <v/>
      </c>
      <c r="L70" s="118"/>
      <c r="M70" s="118"/>
      <c r="N70" s="118"/>
      <c r="O70" s="118" t="str">
        <f>'Base Data'!CX71</f>
        <v/>
      </c>
      <c r="P70" s="118" t="str">
        <f>'Base Data'!CY71</f>
        <v/>
      </c>
      <c r="Q70" s="118" t="str">
        <f>'Base Data'!CV71</f>
        <v/>
      </c>
      <c r="R70" s="118" t="str">
        <f>'Base Data'!CW71</f>
        <v/>
      </c>
      <c r="S70" s="118"/>
      <c r="T70" s="118" t="str">
        <f>'Base Data'!CZ71</f>
        <v/>
      </c>
      <c r="U70" s="118" t="str">
        <f>'Base Data'!DA71</f>
        <v/>
      </c>
      <c r="V70" s="118" t="str">
        <f>'Base Data'!DB71</f>
        <v/>
      </c>
      <c r="W70" s="118" t="str">
        <f>'Base Data'!DC71</f>
        <v/>
      </c>
      <c r="X70" s="118"/>
      <c r="Y70" s="118"/>
      <c r="Z70" s="118" t="str">
        <f>'Base Data'!DE71</f>
        <v/>
      </c>
      <c r="AA70" s="118" t="str">
        <f>'Base Data'!DF71</f>
        <v/>
      </c>
      <c r="AB70" s="118" t="str">
        <f>'Base Data'!DG71</f>
        <v/>
      </c>
      <c r="AC70" s="118" t="str">
        <f>'Base Data'!DH71</f>
        <v/>
      </c>
      <c r="AD70" s="119" t="str">
        <f>IF('Base Data'!Y71 = "ots", "YES", "")</f>
        <v/>
      </c>
      <c r="AE70" s="119" t="str">
        <f>SWITCH('Base Data'!EE71, "? -&gt; ?", "pending", "--- -&gt; ---", "unranked", " -&gt; ", "", 'Base Data'!EE71)</f>
        <v/>
      </c>
      <c r="AF70" s="119" t="str">
        <f>IF(AND('Base Data'!EF71 &lt;&gt; "",'Base Data'!EF71 &lt;&gt; "?",'Base Data'!EF71 &lt;&gt; "---"), 'Base Data'!EF71, "")</f>
        <v/>
      </c>
    </row>
    <row r="71" ht="24.0" customHeight="1">
      <c r="A71" s="115"/>
      <c r="B71" s="115" t="str">
        <f>IF(HomePage!C83 &lt;&gt; "", HomePage!B83, "")</f>
        <v/>
      </c>
      <c r="C71" s="116" t="str">
        <f>'Base Data'!DW72</f>
        <v/>
      </c>
      <c r="D71" s="116" t="str">
        <f>IF(HomePage!C83 &lt;&gt; "", "vs", "")</f>
        <v/>
      </c>
      <c r="E71" s="117" t="str">
        <f>'Base Data'!DP72</f>
        <v/>
      </c>
      <c r="F71" s="118" t="str">
        <f>'Base Data'!DQ72</f>
        <v/>
      </c>
      <c r="G71" s="118" t="str">
        <f>'Base Data'!DR72</f>
        <v/>
      </c>
      <c r="H71" s="118" t="str">
        <f>'Base Data'!DS72</f>
        <v/>
      </c>
      <c r="I71" s="118" t="str">
        <f>'Base Data'!DT72</f>
        <v/>
      </c>
      <c r="J71" s="118" t="str">
        <f>'Base Data'!DU72</f>
        <v/>
      </c>
      <c r="K71" s="118" t="str">
        <f>'Base Data'!DV72</f>
        <v/>
      </c>
      <c r="L71" s="118"/>
      <c r="M71" s="118"/>
      <c r="N71" s="118"/>
      <c r="O71" s="118" t="str">
        <f>'Base Data'!CX72</f>
        <v/>
      </c>
      <c r="P71" s="118" t="str">
        <f>'Base Data'!CY72</f>
        <v/>
      </c>
      <c r="Q71" s="118" t="str">
        <f>'Base Data'!CV72</f>
        <v/>
      </c>
      <c r="R71" s="118" t="str">
        <f>'Base Data'!CW72</f>
        <v/>
      </c>
      <c r="S71" s="118"/>
      <c r="T71" s="118" t="str">
        <f>'Base Data'!CZ72</f>
        <v/>
      </c>
      <c r="U71" s="118" t="str">
        <f>'Base Data'!DA72</f>
        <v/>
      </c>
      <c r="V71" s="118" t="str">
        <f>'Base Data'!DB72</f>
        <v/>
      </c>
      <c r="W71" s="118" t="str">
        <f>'Base Data'!DC72</f>
        <v/>
      </c>
      <c r="X71" s="118"/>
      <c r="Y71" s="118"/>
      <c r="Z71" s="118" t="str">
        <f>'Base Data'!DE72</f>
        <v/>
      </c>
      <c r="AA71" s="118" t="str">
        <f>'Base Data'!DF72</f>
        <v/>
      </c>
      <c r="AB71" s="118" t="str">
        <f>'Base Data'!DG72</f>
        <v/>
      </c>
      <c r="AC71" s="118" t="str">
        <f>'Base Data'!DH72</f>
        <v/>
      </c>
      <c r="AD71" s="119" t="str">
        <f>IF('Base Data'!Y72 = "ots", "YES", "")</f>
        <v/>
      </c>
      <c r="AE71" s="119" t="str">
        <f>SWITCH('Base Data'!EE72, "? -&gt; ?", "pending", "--- -&gt; ---", "unranked", " -&gt; ", "", 'Base Data'!EE72)</f>
        <v/>
      </c>
      <c r="AF71" s="119" t="str">
        <f>IF(AND('Base Data'!EF72 &lt;&gt; "",'Base Data'!EF72 &lt;&gt; "?",'Base Data'!EF72 &lt;&gt; "---"), 'Base Data'!EF72, "")</f>
        <v/>
      </c>
    </row>
    <row r="72" ht="24.0" customHeight="1">
      <c r="A72" s="115"/>
      <c r="B72" s="115" t="str">
        <f>IF(HomePage!C84 &lt;&gt; "", HomePage!B84, "")</f>
        <v/>
      </c>
      <c r="C72" s="116" t="str">
        <f>'Base Data'!DW73</f>
        <v/>
      </c>
      <c r="D72" s="116" t="str">
        <f>IF(HomePage!C84 &lt;&gt; "", "vs", "")</f>
        <v/>
      </c>
      <c r="E72" s="117" t="str">
        <f>'Base Data'!DP73</f>
        <v/>
      </c>
      <c r="F72" s="118" t="str">
        <f>'Base Data'!DQ73</f>
        <v/>
      </c>
      <c r="G72" s="118" t="str">
        <f>'Base Data'!DR73</f>
        <v/>
      </c>
      <c r="H72" s="118" t="str">
        <f>'Base Data'!DS73</f>
        <v/>
      </c>
      <c r="I72" s="118" t="str">
        <f>'Base Data'!DT73</f>
        <v/>
      </c>
      <c r="J72" s="118" t="str">
        <f>'Base Data'!DU73</f>
        <v/>
      </c>
      <c r="K72" s="118" t="str">
        <f>'Base Data'!DV73</f>
        <v/>
      </c>
      <c r="L72" s="118"/>
      <c r="M72" s="118"/>
      <c r="N72" s="118"/>
      <c r="O72" s="118" t="str">
        <f>'Base Data'!CX73</f>
        <v/>
      </c>
      <c r="P72" s="118" t="str">
        <f>'Base Data'!CY73</f>
        <v/>
      </c>
      <c r="Q72" s="118" t="str">
        <f>'Base Data'!CV73</f>
        <v/>
      </c>
      <c r="R72" s="118" t="str">
        <f>'Base Data'!CW73</f>
        <v/>
      </c>
      <c r="S72" s="118"/>
      <c r="T72" s="118" t="str">
        <f>'Base Data'!CZ73</f>
        <v/>
      </c>
      <c r="U72" s="118" t="str">
        <f>'Base Data'!DA73</f>
        <v/>
      </c>
      <c r="V72" s="118" t="str">
        <f>'Base Data'!DB73</f>
        <v/>
      </c>
      <c r="W72" s="118" t="str">
        <f>'Base Data'!DC73</f>
        <v/>
      </c>
      <c r="X72" s="118"/>
      <c r="Y72" s="118"/>
      <c r="Z72" s="118" t="str">
        <f>'Base Data'!DE73</f>
        <v/>
      </c>
      <c r="AA72" s="118" t="str">
        <f>'Base Data'!DF73</f>
        <v/>
      </c>
      <c r="AB72" s="118" t="str">
        <f>'Base Data'!DG73</f>
        <v/>
      </c>
      <c r="AC72" s="118" t="str">
        <f>'Base Data'!DH73</f>
        <v/>
      </c>
      <c r="AD72" s="119" t="str">
        <f>IF('Base Data'!Y73 = "ots", "YES", "")</f>
        <v/>
      </c>
      <c r="AE72" s="119" t="str">
        <f>SWITCH('Base Data'!EE73, "? -&gt; ?", "pending", "--- -&gt; ---", "unranked", " -&gt; ", "", 'Base Data'!EE73)</f>
        <v/>
      </c>
      <c r="AF72" s="119" t="str">
        <f>IF(AND('Base Data'!EF73 &lt;&gt; "",'Base Data'!EF73 &lt;&gt; "?",'Base Data'!EF73 &lt;&gt; "---"), 'Base Data'!EF73, "")</f>
        <v/>
      </c>
    </row>
    <row r="73" ht="24.0" customHeight="1">
      <c r="A73" s="115"/>
      <c r="B73" s="115" t="str">
        <f>IF(HomePage!C85 &lt;&gt; "", HomePage!B85, "")</f>
        <v/>
      </c>
      <c r="C73" s="116" t="str">
        <f>'Base Data'!DW74</f>
        <v/>
      </c>
      <c r="D73" s="116" t="str">
        <f>IF(HomePage!C85 &lt;&gt; "", "vs", "")</f>
        <v/>
      </c>
      <c r="E73" s="117" t="str">
        <f>'Base Data'!DP74</f>
        <v/>
      </c>
      <c r="F73" s="118" t="str">
        <f>'Base Data'!DQ74</f>
        <v/>
      </c>
      <c r="G73" s="118" t="str">
        <f>'Base Data'!DR74</f>
        <v/>
      </c>
      <c r="H73" s="118" t="str">
        <f>'Base Data'!DS74</f>
        <v/>
      </c>
      <c r="I73" s="118" t="str">
        <f>'Base Data'!DT74</f>
        <v/>
      </c>
      <c r="J73" s="118" t="str">
        <f>'Base Data'!DU74</f>
        <v/>
      </c>
      <c r="K73" s="118" t="str">
        <f>'Base Data'!DV74</f>
        <v/>
      </c>
      <c r="L73" s="118"/>
      <c r="M73" s="118"/>
      <c r="N73" s="118"/>
      <c r="O73" s="118" t="str">
        <f>'Base Data'!CX74</f>
        <v/>
      </c>
      <c r="P73" s="118" t="str">
        <f>'Base Data'!CY74</f>
        <v/>
      </c>
      <c r="Q73" s="118" t="str">
        <f>'Base Data'!CV74</f>
        <v/>
      </c>
      <c r="R73" s="118" t="str">
        <f>'Base Data'!CW74</f>
        <v/>
      </c>
      <c r="S73" s="118"/>
      <c r="T73" s="118" t="str">
        <f>'Base Data'!CZ74</f>
        <v/>
      </c>
      <c r="U73" s="118" t="str">
        <f>'Base Data'!DA74</f>
        <v/>
      </c>
      <c r="V73" s="118" t="str">
        <f>'Base Data'!DB74</f>
        <v/>
      </c>
      <c r="W73" s="118" t="str">
        <f>'Base Data'!DC74</f>
        <v/>
      </c>
      <c r="X73" s="118"/>
      <c r="Y73" s="118"/>
      <c r="Z73" s="118" t="str">
        <f>'Base Data'!DE74</f>
        <v/>
      </c>
      <c r="AA73" s="118" t="str">
        <f>'Base Data'!DF74</f>
        <v/>
      </c>
      <c r="AB73" s="118" t="str">
        <f>'Base Data'!DG74</f>
        <v/>
      </c>
      <c r="AC73" s="118" t="str">
        <f>'Base Data'!DH74</f>
        <v/>
      </c>
      <c r="AD73" s="119" t="str">
        <f>IF('Base Data'!Y74 = "ots", "YES", "")</f>
        <v/>
      </c>
      <c r="AE73" s="119" t="str">
        <f>SWITCH('Base Data'!EE74, "? -&gt; ?", "pending", "--- -&gt; ---", "unranked", " -&gt; ", "", 'Base Data'!EE74)</f>
        <v/>
      </c>
      <c r="AF73" s="119" t="str">
        <f>IF(AND('Base Data'!EF74 &lt;&gt; "",'Base Data'!EF74 &lt;&gt; "?",'Base Data'!EF74 &lt;&gt; "---"), 'Base Data'!EF74, "")</f>
        <v/>
      </c>
    </row>
    <row r="74" ht="24.0" customHeight="1">
      <c r="A74" s="115"/>
      <c r="B74" s="115" t="str">
        <f>IF(HomePage!C86 &lt;&gt; "", HomePage!B86, "")</f>
        <v/>
      </c>
      <c r="C74" s="116" t="str">
        <f>'Base Data'!DW75</f>
        <v/>
      </c>
      <c r="D74" s="116" t="str">
        <f>IF(HomePage!C86 &lt;&gt; "", "vs", "")</f>
        <v/>
      </c>
      <c r="E74" s="117" t="str">
        <f>'Base Data'!DP75</f>
        <v/>
      </c>
      <c r="F74" s="118" t="str">
        <f>'Base Data'!DQ75</f>
        <v/>
      </c>
      <c r="G74" s="118" t="str">
        <f>'Base Data'!DR75</f>
        <v/>
      </c>
      <c r="H74" s="118" t="str">
        <f>'Base Data'!DS75</f>
        <v/>
      </c>
      <c r="I74" s="118" t="str">
        <f>'Base Data'!DT75</f>
        <v/>
      </c>
      <c r="J74" s="118" t="str">
        <f>'Base Data'!DU75</f>
        <v/>
      </c>
      <c r="K74" s="118" t="str">
        <f>'Base Data'!DV75</f>
        <v/>
      </c>
      <c r="L74" s="118"/>
      <c r="M74" s="118"/>
      <c r="N74" s="118"/>
      <c r="O74" s="118" t="str">
        <f>'Base Data'!CX75</f>
        <v/>
      </c>
      <c r="P74" s="118" t="str">
        <f>'Base Data'!CY75</f>
        <v/>
      </c>
      <c r="Q74" s="118" t="str">
        <f>'Base Data'!CV75</f>
        <v/>
      </c>
      <c r="R74" s="118" t="str">
        <f>'Base Data'!CW75</f>
        <v/>
      </c>
      <c r="S74" s="118"/>
      <c r="T74" s="118" t="str">
        <f>'Base Data'!CZ75</f>
        <v/>
      </c>
      <c r="U74" s="118" t="str">
        <f>'Base Data'!DA75</f>
        <v/>
      </c>
      <c r="V74" s="118" t="str">
        <f>'Base Data'!DB75</f>
        <v/>
      </c>
      <c r="W74" s="118" t="str">
        <f>'Base Data'!DC75</f>
        <v/>
      </c>
      <c r="X74" s="118"/>
      <c r="Y74" s="118"/>
      <c r="Z74" s="118" t="str">
        <f>'Base Data'!DE75</f>
        <v/>
      </c>
      <c r="AA74" s="118" t="str">
        <f>'Base Data'!DF75</f>
        <v/>
      </c>
      <c r="AB74" s="118" t="str">
        <f>'Base Data'!DG75</f>
        <v/>
      </c>
      <c r="AC74" s="118" t="str">
        <f>'Base Data'!DH75</f>
        <v/>
      </c>
      <c r="AD74" s="119" t="str">
        <f>IF('Base Data'!Y75 = "ots", "YES", "")</f>
        <v/>
      </c>
      <c r="AE74" s="119" t="str">
        <f>SWITCH('Base Data'!EE75, "? -&gt; ?", "pending", "--- -&gt; ---", "unranked", " -&gt; ", "", 'Base Data'!EE75)</f>
        <v/>
      </c>
      <c r="AF74" s="119" t="str">
        <f>IF(AND('Base Data'!EF75 &lt;&gt; "",'Base Data'!EF75 &lt;&gt; "?",'Base Data'!EF75 &lt;&gt; "---"), 'Base Data'!EF75, "")</f>
        <v/>
      </c>
    </row>
    <row r="75" ht="24.0" customHeight="1">
      <c r="A75" s="115"/>
      <c r="B75" s="115" t="str">
        <f>IF(HomePage!C87 &lt;&gt; "", HomePage!B87, "")</f>
        <v/>
      </c>
      <c r="C75" s="116" t="str">
        <f>'Base Data'!DW76</f>
        <v/>
      </c>
      <c r="D75" s="116" t="str">
        <f>IF(HomePage!C87 &lt;&gt; "", "vs", "")</f>
        <v/>
      </c>
      <c r="E75" s="117" t="str">
        <f>'Base Data'!DP76</f>
        <v/>
      </c>
      <c r="F75" s="118" t="str">
        <f>'Base Data'!DQ76</f>
        <v/>
      </c>
      <c r="G75" s="118" t="str">
        <f>'Base Data'!DR76</f>
        <v/>
      </c>
      <c r="H75" s="118" t="str">
        <f>'Base Data'!DS76</f>
        <v/>
      </c>
      <c r="I75" s="118" t="str">
        <f>'Base Data'!DT76</f>
        <v/>
      </c>
      <c r="J75" s="118" t="str">
        <f>'Base Data'!DU76</f>
        <v/>
      </c>
      <c r="K75" s="118" t="str">
        <f>'Base Data'!DV76</f>
        <v/>
      </c>
      <c r="L75" s="118"/>
      <c r="M75" s="118"/>
      <c r="N75" s="118"/>
      <c r="O75" s="118" t="str">
        <f>'Base Data'!CX76</f>
        <v/>
      </c>
      <c r="P75" s="118" t="str">
        <f>'Base Data'!CY76</f>
        <v/>
      </c>
      <c r="Q75" s="118" t="str">
        <f>'Base Data'!CV76</f>
        <v/>
      </c>
      <c r="R75" s="118" t="str">
        <f>'Base Data'!CW76</f>
        <v/>
      </c>
      <c r="S75" s="118"/>
      <c r="T75" s="118" t="str">
        <f>'Base Data'!CZ76</f>
        <v/>
      </c>
      <c r="U75" s="118" t="str">
        <f>'Base Data'!DA76</f>
        <v/>
      </c>
      <c r="V75" s="118" t="str">
        <f>'Base Data'!DB76</f>
        <v/>
      </c>
      <c r="W75" s="118" t="str">
        <f>'Base Data'!DC76</f>
        <v/>
      </c>
      <c r="X75" s="118"/>
      <c r="Y75" s="118"/>
      <c r="Z75" s="118" t="str">
        <f>'Base Data'!DE76</f>
        <v/>
      </c>
      <c r="AA75" s="118" t="str">
        <f>'Base Data'!DF76</f>
        <v/>
      </c>
      <c r="AB75" s="118" t="str">
        <f>'Base Data'!DG76</f>
        <v/>
      </c>
      <c r="AC75" s="118" t="str">
        <f>'Base Data'!DH76</f>
        <v/>
      </c>
      <c r="AD75" s="119" t="str">
        <f>IF('Base Data'!Y76 = "ots", "YES", "")</f>
        <v/>
      </c>
      <c r="AE75" s="119" t="str">
        <f>SWITCH('Base Data'!EE76, "? -&gt; ?", "pending", "--- -&gt; ---", "unranked", " -&gt; ", "", 'Base Data'!EE76)</f>
        <v/>
      </c>
      <c r="AF75" s="119" t="str">
        <f>IF(AND('Base Data'!EF76 &lt;&gt; "",'Base Data'!EF76 &lt;&gt; "?",'Base Data'!EF76 &lt;&gt; "---"), 'Base Data'!EF76, "")</f>
        <v/>
      </c>
    </row>
    <row r="76" ht="24.0" customHeight="1">
      <c r="A76" s="115"/>
      <c r="B76" s="115" t="str">
        <f>IF(HomePage!C88 &lt;&gt; "", HomePage!B88, "")</f>
        <v/>
      </c>
      <c r="C76" s="116" t="str">
        <f>'Base Data'!DW77</f>
        <v/>
      </c>
      <c r="D76" s="116" t="str">
        <f>IF(HomePage!C88 &lt;&gt; "", "vs", "")</f>
        <v/>
      </c>
      <c r="E76" s="117" t="str">
        <f>'Base Data'!DP77</f>
        <v/>
      </c>
      <c r="F76" s="118" t="str">
        <f>'Base Data'!DQ77</f>
        <v/>
      </c>
      <c r="G76" s="118" t="str">
        <f>'Base Data'!DR77</f>
        <v/>
      </c>
      <c r="H76" s="118" t="str">
        <f>'Base Data'!DS77</f>
        <v/>
      </c>
      <c r="I76" s="118" t="str">
        <f>'Base Data'!DT77</f>
        <v/>
      </c>
      <c r="J76" s="118" t="str">
        <f>'Base Data'!DU77</f>
        <v/>
      </c>
      <c r="K76" s="118" t="str">
        <f>'Base Data'!DV77</f>
        <v/>
      </c>
      <c r="L76" s="118"/>
      <c r="M76" s="118"/>
      <c r="N76" s="118"/>
      <c r="O76" s="118" t="str">
        <f>'Base Data'!CX77</f>
        <v/>
      </c>
      <c r="P76" s="118" t="str">
        <f>'Base Data'!CY77</f>
        <v/>
      </c>
      <c r="Q76" s="118" t="str">
        <f>'Base Data'!CV77</f>
        <v/>
      </c>
      <c r="R76" s="118" t="str">
        <f>'Base Data'!CW77</f>
        <v/>
      </c>
      <c r="S76" s="118"/>
      <c r="T76" s="118" t="str">
        <f>'Base Data'!CZ77</f>
        <v/>
      </c>
      <c r="U76" s="118" t="str">
        <f>'Base Data'!DA77</f>
        <v/>
      </c>
      <c r="V76" s="118" t="str">
        <f>'Base Data'!DB77</f>
        <v/>
      </c>
      <c r="W76" s="118" t="str">
        <f>'Base Data'!DC77</f>
        <v/>
      </c>
      <c r="X76" s="118"/>
      <c r="Y76" s="118"/>
      <c r="Z76" s="118" t="str">
        <f>'Base Data'!DE77</f>
        <v/>
      </c>
      <c r="AA76" s="118" t="str">
        <f>'Base Data'!DF77</f>
        <v/>
      </c>
      <c r="AB76" s="118" t="str">
        <f>'Base Data'!DG77</f>
        <v/>
      </c>
      <c r="AC76" s="118" t="str">
        <f>'Base Data'!DH77</f>
        <v/>
      </c>
      <c r="AD76" s="119" t="str">
        <f>IF('Base Data'!Y77 = "ots", "YES", "")</f>
        <v/>
      </c>
      <c r="AE76" s="119" t="str">
        <f>SWITCH('Base Data'!EE77, "? -&gt; ?", "pending", "--- -&gt; ---", "unranked", " -&gt; ", "", 'Base Data'!EE77)</f>
        <v/>
      </c>
      <c r="AF76" s="119" t="str">
        <f>IF(AND('Base Data'!EF77 &lt;&gt; "",'Base Data'!EF77 &lt;&gt; "?",'Base Data'!EF77 &lt;&gt; "---"), 'Base Data'!EF77, "")</f>
        <v/>
      </c>
    </row>
    <row r="77" ht="24.0" customHeight="1">
      <c r="A77" s="115"/>
      <c r="B77" s="115" t="str">
        <f>IF(HomePage!C89 &lt;&gt; "", HomePage!B89, "")</f>
        <v/>
      </c>
      <c r="C77" s="116" t="str">
        <f>'Base Data'!DW78</f>
        <v/>
      </c>
      <c r="D77" s="116" t="str">
        <f>IF(HomePage!C89 &lt;&gt; "", "vs", "")</f>
        <v/>
      </c>
      <c r="E77" s="117" t="str">
        <f>'Base Data'!DP78</f>
        <v/>
      </c>
      <c r="F77" s="118" t="str">
        <f>'Base Data'!DQ78</f>
        <v/>
      </c>
      <c r="G77" s="118" t="str">
        <f>'Base Data'!DR78</f>
        <v/>
      </c>
      <c r="H77" s="118" t="str">
        <f>'Base Data'!DS78</f>
        <v/>
      </c>
      <c r="I77" s="118" t="str">
        <f>'Base Data'!DT78</f>
        <v/>
      </c>
      <c r="J77" s="118" t="str">
        <f>'Base Data'!DU78</f>
        <v/>
      </c>
      <c r="K77" s="118" t="str">
        <f>'Base Data'!DV78</f>
        <v/>
      </c>
      <c r="L77" s="118"/>
      <c r="M77" s="118"/>
      <c r="N77" s="118"/>
      <c r="O77" s="118" t="str">
        <f>'Base Data'!CX78</f>
        <v/>
      </c>
      <c r="P77" s="118" t="str">
        <f>'Base Data'!CY78</f>
        <v/>
      </c>
      <c r="Q77" s="118" t="str">
        <f>'Base Data'!CV78</f>
        <v/>
      </c>
      <c r="R77" s="118" t="str">
        <f>'Base Data'!CW78</f>
        <v/>
      </c>
      <c r="S77" s="118"/>
      <c r="T77" s="118" t="str">
        <f>'Base Data'!CZ78</f>
        <v/>
      </c>
      <c r="U77" s="118" t="str">
        <f>'Base Data'!DA78</f>
        <v/>
      </c>
      <c r="V77" s="118" t="str">
        <f>'Base Data'!DB78</f>
        <v/>
      </c>
      <c r="W77" s="118" t="str">
        <f>'Base Data'!DC78</f>
        <v/>
      </c>
      <c r="X77" s="118"/>
      <c r="Y77" s="118"/>
      <c r="Z77" s="118" t="str">
        <f>'Base Data'!DE78</f>
        <v/>
      </c>
      <c r="AA77" s="118" t="str">
        <f>'Base Data'!DF78</f>
        <v/>
      </c>
      <c r="AB77" s="118" t="str">
        <f>'Base Data'!DG78</f>
        <v/>
      </c>
      <c r="AC77" s="118" t="str">
        <f>'Base Data'!DH78</f>
        <v/>
      </c>
      <c r="AD77" s="119" t="str">
        <f>IF('Base Data'!Y78 = "ots", "YES", "")</f>
        <v/>
      </c>
      <c r="AE77" s="119" t="str">
        <f>SWITCH('Base Data'!EE78, "? -&gt; ?", "pending", "--- -&gt; ---", "unranked", " -&gt; ", "", 'Base Data'!EE78)</f>
        <v/>
      </c>
      <c r="AF77" s="119" t="str">
        <f>IF(AND('Base Data'!EF78 &lt;&gt; "",'Base Data'!EF78 &lt;&gt; "?",'Base Data'!EF78 &lt;&gt; "---"), 'Base Data'!EF78, "")</f>
        <v/>
      </c>
    </row>
    <row r="78" ht="24.0" customHeight="1">
      <c r="A78" s="115"/>
      <c r="B78" s="115" t="str">
        <f>IF(HomePage!C90 &lt;&gt; "", HomePage!B90, "")</f>
        <v/>
      </c>
      <c r="C78" s="116" t="str">
        <f>'Base Data'!DW79</f>
        <v/>
      </c>
      <c r="D78" s="116" t="str">
        <f>IF(HomePage!C90 &lt;&gt; "", "vs", "")</f>
        <v/>
      </c>
      <c r="E78" s="117" t="str">
        <f>'Base Data'!DP79</f>
        <v/>
      </c>
      <c r="F78" s="118" t="str">
        <f>'Base Data'!DQ79</f>
        <v/>
      </c>
      <c r="G78" s="118" t="str">
        <f>'Base Data'!DR79</f>
        <v/>
      </c>
      <c r="H78" s="118" t="str">
        <f>'Base Data'!DS79</f>
        <v/>
      </c>
      <c r="I78" s="118" t="str">
        <f>'Base Data'!DT79</f>
        <v/>
      </c>
      <c r="J78" s="118" t="str">
        <f>'Base Data'!DU79</f>
        <v/>
      </c>
      <c r="K78" s="118" t="str">
        <f>'Base Data'!DV79</f>
        <v/>
      </c>
      <c r="L78" s="118"/>
      <c r="M78" s="118"/>
      <c r="N78" s="118"/>
      <c r="O78" s="118" t="str">
        <f>'Base Data'!CX79</f>
        <v/>
      </c>
      <c r="P78" s="118" t="str">
        <f>'Base Data'!CY79</f>
        <v/>
      </c>
      <c r="Q78" s="118" t="str">
        <f>'Base Data'!CV79</f>
        <v/>
      </c>
      <c r="R78" s="118" t="str">
        <f>'Base Data'!CW79</f>
        <v/>
      </c>
      <c r="S78" s="118"/>
      <c r="T78" s="118" t="str">
        <f>'Base Data'!CZ79</f>
        <v/>
      </c>
      <c r="U78" s="118" t="str">
        <f>'Base Data'!DA79</f>
        <v/>
      </c>
      <c r="V78" s="118" t="str">
        <f>'Base Data'!DB79</f>
        <v/>
      </c>
      <c r="W78" s="118" t="str">
        <f>'Base Data'!DC79</f>
        <v/>
      </c>
      <c r="X78" s="118"/>
      <c r="Y78" s="118"/>
      <c r="Z78" s="118" t="str">
        <f>'Base Data'!DE79</f>
        <v/>
      </c>
      <c r="AA78" s="118" t="str">
        <f>'Base Data'!DF79</f>
        <v/>
      </c>
      <c r="AB78" s="118" t="str">
        <f>'Base Data'!DG79</f>
        <v/>
      </c>
      <c r="AC78" s="118" t="str">
        <f>'Base Data'!DH79</f>
        <v/>
      </c>
      <c r="AD78" s="119" t="str">
        <f>IF('Base Data'!Y79 = "ots", "YES", "")</f>
        <v/>
      </c>
      <c r="AE78" s="119" t="str">
        <f>SWITCH('Base Data'!EE79, "? -&gt; ?", "pending", "--- -&gt; ---", "unranked", " -&gt; ", "", 'Base Data'!EE79)</f>
        <v/>
      </c>
      <c r="AF78" s="119" t="str">
        <f>IF(AND('Base Data'!EF79 &lt;&gt; "",'Base Data'!EF79 &lt;&gt; "?",'Base Data'!EF79 &lt;&gt; "---"), 'Base Data'!EF79, "")</f>
        <v/>
      </c>
    </row>
    <row r="79" ht="24.0" customHeight="1">
      <c r="A79" s="115"/>
      <c r="B79" s="115" t="str">
        <f>IF(HomePage!C91 &lt;&gt; "", HomePage!B91, "")</f>
        <v/>
      </c>
      <c r="C79" s="116" t="str">
        <f>'Base Data'!DW80</f>
        <v/>
      </c>
      <c r="D79" s="116" t="str">
        <f>IF(HomePage!C91 &lt;&gt; "", "vs", "")</f>
        <v/>
      </c>
      <c r="E79" s="117" t="str">
        <f>'Base Data'!DP80</f>
        <v/>
      </c>
      <c r="F79" s="118" t="str">
        <f>'Base Data'!DQ80</f>
        <v/>
      </c>
      <c r="G79" s="118" t="str">
        <f>'Base Data'!DR80</f>
        <v/>
      </c>
      <c r="H79" s="118" t="str">
        <f>'Base Data'!DS80</f>
        <v/>
      </c>
      <c r="I79" s="118" t="str">
        <f>'Base Data'!DT80</f>
        <v/>
      </c>
      <c r="J79" s="118" t="str">
        <f>'Base Data'!DU80</f>
        <v/>
      </c>
      <c r="K79" s="118" t="str">
        <f>'Base Data'!DV80</f>
        <v/>
      </c>
      <c r="L79" s="118"/>
      <c r="M79" s="118"/>
      <c r="N79" s="118"/>
      <c r="O79" s="118" t="str">
        <f>'Base Data'!CX80</f>
        <v/>
      </c>
      <c r="P79" s="118" t="str">
        <f>'Base Data'!CY80</f>
        <v/>
      </c>
      <c r="Q79" s="118" t="str">
        <f>'Base Data'!CV80</f>
        <v/>
      </c>
      <c r="R79" s="118" t="str">
        <f>'Base Data'!CW80</f>
        <v/>
      </c>
      <c r="S79" s="118"/>
      <c r="T79" s="118" t="str">
        <f>'Base Data'!CZ80</f>
        <v/>
      </c>
      <c r="U79" s="118" t="str">
        <f>'Base Data'!DA80</f>
        <v/>
      </c>
      <c r="V79" s="118" t="str">
        <f>'Base Data'!DB80</f>
        <v/>
      </c>
      <c r="W79" s="118" t="str">
        <f>'Base Data'!DC80</f>
        <v/>
      </c>
      <c r="X79" s="118"/>
      <c r="Y79" s="118"/>
      <c r="Z79" s="118" t="str">
        <f>'Base Data'!DE80</f>
        <v/>
      </c>
      <c r="AA79" s="118" t="str">
        <f>'Base Data'!DF80</f>
        <v/>
      </c>
      <c r="AB79" s="118" t="str">
        <f>'Base Data'!DG80</f>
        <v/>
      </c>
      <c r="AC79" s="118" t="str">
        <f>'Base Data'!DH80</f>
        <v/>
      </c>
      <c r="AD79" s="119" t="str">
        <f>IF('Base Data'!Y80 = "ots", "YES", "")</f>
        <v/>
      </c>
      <c r="AE79" s="119" t="str">
        <f>SWITCH('Base Data'!EE80, "? -&gt; ?", "pending", "--- -&gt; ---", "unranked", " -&gt; ", "", 'Base Data'!EE80)</f>
        <v/>
      </c>
      <c r="AF79" s="119" t="str">
        <f>IF(AND('Base Data'!EF80 &lt;&gt; "",'Base Data'!EF80 &lt;&gt; "?",'Base Data'!EF80 &lt;&gt; "---"), 'Base Data'!EF80, "")</f>
        <v/>
      </c>
    </row>
    <row r="80" ht="24.0" customHeight="1">
      <c r="A80" s="115"/>
      <c r="B80" s="115" t="str">
        <f>IF(HomePage!C92 &lt;&gt; "", HomePage!B92, "")</f>
        <v/>
      </c>
      <c r="C80" s="116" t="str">
        <f>'Base Data'!DW81</f>
        <v/>
      </c>
      <c r="D80" s="116" t="str">
        <f>IF(HomePage!C92 &lt;&gt; "", "vs", "")</f>
        <v/>
      </c>
      <c r="E80" s="117" t="str">
        <f>'Base Data'!DP81</f>
        <v/>
      </c>
      <c r="F80" s="118" t="str">
        <f>'Base Data'!DQ81</f>
        <v/>
      </c>
      <c r="G80" s="118" t="str">
        <f>'Base Data'!DR81</f>
        <v/>
      </c>
      <c r="H80" s="118" t="str">
        <f>'Base Data'!DS81</f>
        <v/>
      </c>
      <c r="I80" s="118" t="str">
        <f>'Base Data'!DT81</f>
        <v/>
      </c>
      <c r="J80" s="118" t="str">
        <f>'Base Data'!DU81</f>
        <v/>
      </c>
      <c r="K80" s="118" t="str">
        <f>'Base Data'!DV81</f>
        <v/>
      </c>
      <c r="L80" s="118"/>
      <c r="M80" s="118"/>
      <c r="N80" s="118"/>
      <c r="O80" s="118" t="str">
        <f>'Base Data'!CX81</f>
        <v/>
      </c>
      <c r="P80" s="118" t="str">
        <f>'Base Data'!CY81</f>
        <v/>
      </c>
      <c r="Q80" s="118" t="str">
        <f>'Base Data'!CV81</f>
        <v/>
      </c>
      <c r="R80" s="118" t="str">
        <f>'Base Data'!CW81</f>
        <v/>
      </c>
      <c r="S80" s="118"/>
      <c r="T80" s="118" t="str">
        <f>'Base Data'!CZ81</f>
        <v/>
      </c>
      <c r="U80" s="118" t="str">
        <f>'Base Data'!DA81</f>
        <v/>
      </c>
      <c r="V80" s="118" t="str">
        <f>'Base Data'!DB81</f>
        <v/>
      </c>
      <c r="W80" s="118" t="str">
        <f>'Base Data'!DC81</f>
        <v/>
      </c>
      <c r="X80" s="118"/>
      <c r="Y80" s="118"/>
      <c r="Z80" s="118" t="str">
        <f>'Base Data'!DE81</f>
        <v/>
      </c>
      <c r="AA80" s="118" t="str">
        <f>'Base Data'!DF81</f>
        <v/>
      </c>
      <c r="AB80" s="118" t="str">
        <f>'Base Data'!DG81</f>
        <v/>
      </c>
      <c r="AC80" s="118" t="str">
        <f>'Base Data'!DH81</f>
        <v/>
      </c>
      <c r="AD80" s="119" t="str">
        <f>IF('Base Data'!Y81 = "ots", "YES", "")</f>
        <v/>
      </c>
      <c r="AE80" s="119" t="str">
        <f>SWITCH('Base Data'!EE81, "? -&gt; ?", "pending", "--- -&gt; ---", "unranked", " -&gt; ", "", 'Base Data'!EE81)</f>
        <v/>
      </c>
      <c r="AF80" s="119" t="str">
        <f>IF(AND('Base Data'!EF81 &lt;&gt; "",'Base Data'!EF81 &lt;&gt; "?",'Base Data'!EF81 &lt;&gt; "---"), 'Base Data'!EF81, "")</f>
        <v/>
      </c>
    </row>
    <row r="81" ht="24.0" customHeight="1">
      <c r="A81" s="115"/>
      <c r="B81" s="115" t="str">
        <f>IF(HomePage!C93 &lt;&gt; "", HomePage!B93, "")</f>
        <v/>
      </c>
      <c r="C81" s="116" t="str">
        <f>'Base Data'!DW82</f>
        <v/>
      </c>
      <c r="D81" s="116" t="str">
        <f>IF(HomePage!C93 &lt;&gt; "", "vs", "")</f>
        <v/>
      </c>
      <c r="E81" s="117" t="str">
        <f>'Base Data'!DP82</f>
        <v/>
      </c>
      <c r="F81" s="118" t="str">
        <f>'Base Data'!DQ82</f>
        <v/>
      </c>
      <c r="G81" s="118" t="str">
        <f>'Base Data'!DR82</f>
        <v/>
      </c>
      <c r="H81" s="118" t="str">
        <f>'Base Data'!DS82</f>
        <v/>
      </c>
      <c r="I81" s="118" t="str">
        <f>'Base Data'!DT82</f>
        <v/>
      </c>
      <c r="J81" s="118" t="str">
        <f>'Base Data'!DU82</f>
        <v/>
      </c>
      <c r="K81" s="118" t="str">
        <f>'Base Data'!DV82</f>
        <v/>
      </c>
      <c r="L81" s="118"/>
      <c r="M81" s="118"/>
      <c r="N81" s="118"/>
      <c r="O81" s="118" t="str">
        <f>'Base Data'!CX82</f>
        <v/>
      </c>
      <c r="P81" s="118" t="str">
        <f>'Base Data'!CY82</f>
        <v/>
      </c>
      <c r="Q81" s="118" t="str">
        <f>'Base Data'!CV82</f>
        <v/>
      </c>
      <c r="R81" s="118" t="str">
        <f>'Base Data'!CW82</f>
        <v/>
      </c>
      <c r="S81" s="118"/>
      <c r="T81" s="118" t="str">
        <f>'Base Data'!CZ82</f>
        <v/>
      </c>
      <c r="U81" s="118" t="str">
        <f>'Base Data'!DA82</f>
        <v/>
      </c>
      <c r="V81" s="118" t="str">
        <f>'Base Data'!DB82</f>
        <v/>
      </c>
      <c r="W81" s="118" t="str">
        <f>'Base Data'!DC82</f>
        <v/>
      </c>
      <c r="X81" s="118"/>
      <c r="Y81" s="118"/>
      <c r="Z81" s="118" t="str">
        <f>'Base Data'!DE82</f>
        <v/>
      </c>
      <c r="AA81" s="118" t="str">
        <f>'Base Data'!DF82</f>
        <v/>
      </c>
      <c r="AB81" s="118" t="str">
        <f>'Base Data'!DG82</f>
        <v/>
      </c>
      <c r="AC81" s="118" t="str">
        <f>'Base Data'!DH82</f>
        <v/>
      </c>
      <c r="AD81" s="119" t="str">
        <f>IF('Base Data'!Y82 = "ots", "YES", "")</f>
        <v/>
      </c>
      <c r="AE81" s="119" t="str">
        <f>SWITCH('Base Data'!EE82, "? -&gt; ?", "pending", "--- -&gt; ---", "unranked", " -&gt; ", "", 'Base Data'!EE82)</f>
        <v/>
      </c>
      <c r="AF81" s="119" t="str">
        <f>IF(AND('Base Data'!EF82 &lt;&gt; "",'Base Data'!EF82 &lt;&gt; "?",'Base Data'!EF82 &lt;&gt; "---"), 'Base Data'!EF82, "")</f>
        <v/>
      </c>
    </row>
    <row r="82" ht="24.0" customHeight="1">
      <c r="A82" s="115"/>
      <c r="B82" s="115" t="str">
        <f>IF(HomePage!C94 &lt;&gt; "", HomePage!B94, "")</f>
        <v/>
      </c>
      <c r="C82" s="116" t="str">
        <f>'Base Data'!DW83</f>
        <v/>
      </c>
      <c r="D82" s="116" t="str">
        <f>IF(HomePage!C94 &lt;&gt; "", "vs", "")</f>
        <v/>
      </c>
      <c r="E82" s="117" t="str">
        <f>'Base Data'!DP83</f>
        <v/>
      </c>
      <c r="F82" s="118" t="str">
        <f>'Base Data'!DQ83</f>
        <v/>
      </c>
      <c r="G82" s="118" t="str">
        <f>'Base Data'!DR83</f>
        <v/>
      </c>
      <c r="H82" s="118" t="str">
        <f>'Base Data'!DS83</f>
        <v/>
      </c>
      <c r="I82" s="118" t="str">
        <f>'Base Data'!DT83</f>
        <v/>
      </c>
      <c r="J82" s="118" t="str">
        <f>'Base Data'!DU83</f>
        <v/>
      </c>
      <c r="K82" s="118" t="str">
        <f>'Base Data'!DV83</f>
        <v/>
      </c>
      <c r="L82" s="118"/>
      <c r="M82" s="118"/>
      <c r="N82" s="118"/>
      <c r="O82" s="118" t="str">
        <f>'Base Data'!CX83</f>
        <v/>
      </c>
      <c r="P82" s="118" t="str">
        <f>'Base Data'!CY83</f>
        <v/>
      </c>
      <c r="Q82" s="118" t="str">
        <f>'Base Data'!CV83</f>
        <v/>
      </c>
      <c r="R82" s="118" t="str">
        <f>'Base Data'!CW83</f>
        <v/>
      </c>
      <c r="S82" s="118"/>
      <c r="T82" s="118" t="str">
        <f>'Base Data'!CZ83</f>
        <v/>
      </c>
      <c r="U82" s="118" t="str">
        <f>'Base Data'!DA83</f>
        <v/>
      </c>
      <c r="V82" s="118" t="str">
        <f>'Base Data'!DB83</f>
        <v/>
      </c>
      <c r="W82" s="118" t="str">
        <f>'Base Data'!DC83</f>
        <v/>
      </c>
      <c r="X82" s="118"/>
      <c r="Y82" s="118"/>
      <c r="Z82" s="118" t="str">
        <f>'Base Data'!DE83</f>
        <v/>
      </c>
      <c r="AA82" s="118" t="str">
        <f>'Base Data'!DF83</f>
        <v/>
      </c>
      <c r="AB82" s="118" t="str">
        <f>'Base Data'!DG83</f>
        <v/>
      </c>
      <c r="AC82" s="118" t="str">
        <f>'Base Data'!DH83</f>
        <v/>
      </c>
      <c r="AD82" s="119" t="str">
        <f>IF('Base Data'!Y83 = "ots", "YES", "")</f>
        <v/>
      </c>
      <c r="AE82" s="119" t="str">
        <f>SWITCH('Base Data'!EE83, "? -&gt; ?", "pending", "--- -&gt; ---", "unranked", " -&gt; ", "", 'Base Data'!EE83)</f>
        <v/>
      </c>
      <c r="AF82" s="119" t="str">
        <f>IF(AND('Base Data'!EF83 &lt;&gt; "",'Base Data'!EF83 &lt;&gt; "?",'Base Data'!EF83 &lt;&gt; "---"), 'Base Data'!EF83, "")</f>
        <v/>
      </c>
    </row>
    <row r="83" ht="24.0" customHeight="1">
      <c r="A83" s="115"/>
      <c r="B83" s="115" t="str">
        <f>IF(HomePage!C95 &lt;&gt; "", HomePage!B95, "")</f>
        <v/>
      </c>
      <c r="C83" s="116" t="str">
        <f>'Base Data'!DW84</f>
        <v/>
      </c>
      <c r="D83" s="116" t="str">
        <f>IF(HomePage!C95 &lt;&gt; "", "vs", "")</f>
        <v/>
      </c>
      <c r="E83" s="117" t="str">
        <f>'Base Data'!DP84</f>
        <v/>
      </c>
      <c r="F83" s="118" t="str">
        <f>'Base Data'!DQ84</f>
        <v/>
      </c>
      <c r="G83" s="118" t="str">
        <f>'Base Data'!DR84</f>
        <v/>
      </c>
      <c r="H83" s="118" t="str">
        <f>'Base Data'!DS84</f>
        <v/>
      </c>
      <c r="I83" s="118" t="str">
        <f>'Base Data'!DT84</f>
        <v/>
      </c>
      <c r="J83" s="118" t="str">
        <f>'Base Data'!DU84</f>
        <v/>
      </c>
      <c r="K83" s="118" t="str">
        <f>'Base Data'!DV84</f>
        <v/>
      </c>
      <c r="L83" s="118"/>
      <c r="M83" s="118"/>
      <c r="N83" s="118"/>
      <c r="O83" s="118" t="str">
        <f>'Base Data'!CX84</f>
        <v/>
      </c>
      <c r="P83" s="118" t="str">
        <f>'Base Data'!CY84</f>
        <v/>
      </c>
      <c r="Q83" s="118" t="str">
        <f>'Base Data'!CV84</f>
        <v/>
      </c>
      <c r="R83" s="118" t="str">
        <f>'Base Data'!CW84</f>
        <v/>
      </c>
      <c r="S83" s="118"/>
      <c r="T83" s="118" t="str">
        <f>'Base Data'!CZ84</f>
        <v/>
      </c>
      <c r="U83" s="118" t="str">
        <f>'Base Data'!DA84</f>
        <v/>
      </c>
      <c r="V83" s="118" t="str">
        <f>'Base Data'!DB84</f>
        <v/>
      </c>
      <c r="W83" s="118" t="str">
        <f>'Base Data'!DC84</f>
        <v/>
      </c>
      <c r="X83" s="118"/>
      <c r="Y83" s="118"/>
      <c r="Z83" s="118" t="str">
        <f>'Base Data'!DE84</f>
        <v/>
      </c>
      <c r="AA83" s="118" t="str">
        <f>'Base Data'!DF84</f>
        <v/>
      </c>
      <c r="AB83" s="118" t="str">
        <f>'Base Data'!DG84</f>
        <v/>
      </c>
      <c r="AC83" s="118" t="str">
        <f>'Base Data'!DH84</f>
        <v/>
      </c>
      <c r="AD83" s="119" t="str">
        <f>IF('Base Data'!Y84 = "ots", "YES", "")</f>
        <v/>
      </c>
      <c r="AE83" s="119" t="str">
        <f>SWITCH('Base Data'!EE84, "? -&gt; ?", "pending", "--- -&gt; ---", "unranked", " -&gt; ", "", 'Base Data'!EE84)</f>
        <v/>
      </c>
      <c r="AF83" s="119" t="str">
        <f>IF(AND('Base Data'!EF84 &lt;&gt; "",'Base Data'!EF84 &lt;&gt; "?",'Base Data'!EF84 &lt;&gt; "---"), 'Base Data'!EF84, "")</f>
        <v/>
      </c>
    </row>
    <row r="84" ht="24.0" customHeight="1">
      <c r="A84" s="115"/>
      <c r="B84" s="115" t="str">
        <f>IF(HomePage!C96 &lt;&gt; "", HomePage!B96, "")</f>
        <v/>
      </c>
      <c r="C84" s="116" t="str">
        <f>'Base Data'!DW85</f>
        <v/>
      </c>
      <c r="D84" s="116" t="str">
        <f>IF(HomePage!C96 &lt;&gt; "", "vs", "")</f>
        <v/>
      </c>
      <c r="E84" s="117" t="str">
        <f>'Base Data'!DP85</f>
        <v/>
      </c>
      <c r="F84" s="118" t="str">
        <f>'Base Data'!DQ85</f>
        <v/>
      </c>
      <c r="G84" s="118" t="str">
        <f>'Base Data'!DR85</f>
        <v/>
      </c>
      <c r="H84" s="118" t="str">
        <f>'Base Data'!DS85</f>
        <v/>
      </c>
      <c r="I84" s="118" t="str">
        <f>'Base Data'!DT85</f>
        <v/>
      </c>
      <c r="J84" s="118" t="str">
        <f>'Base Data'!DU85</f>
        <v/>
      </c>
      <c r="K84" s="118" t="str">
        <f>'Base Data'!DV85</f>
        <v/>
      </c>
      <c r="L84" s="118"/>
      <c r="M84" s="118"/>
      <c r="N84" s="118"/>
      <c r="O84" s="118" t="str">
        <f>'Base Data'!CX85</f>
        <v/>
      </c>
      <c r="P84" s="118" t="str">
        <f>'Base Data'!CY85</f>
        <v/>
      </c>
      <c r="Q84" s="118" t="str">
        <f>'Base Data'!CV85</f>
        <v/>
      </c>
      <c r="R84" s="118" t="str">
        <f>'Base Data'!CW85</f>
        <v/>
      </c>
      <c r="S84" s="118"/>
      <c r="T84" s="118" t="str">
        <f>'Base Data'!CZ85</f>
        <v/>
      </c>
      <c r="U84" s="118" t="str">
        <f>'Base Data'!DA85</f>
        <v/>
      </c>
      <c r="V84" s="118" t="str">
        <f>'Base Data'!DB85</f>
        <v/>
      </c>
      <c r="W84" s="118" t="str">
        <f>'Base Data'!DC85</f>
        <v/>
      </c>
      <c r="X84" s="118"/>
      <c r="Y84" s="118"/>
      <c r="Z84" s="118" t="str">
        <f>'Base Data'!DE85</f>
        <v/>
      </c>
      <c r="AA84" s="118" t="str">
        <f>'Base Data'!DF85</f>
        <v/>
      </c>
      <c r="AB84" s="118" t="str">
        <f>'Base Data'!DG85</f>
        <v/>
      </c>
      <c r="AC84" s="118" t="str">
        <f>'Base Data'!DH85</f>
        <v/>
      </c>
      <c r="AD84" s="119" t="str">
        <f>IF('Base Data'!Y85 = "ots", "YES", "")</f>
        <v/>
      </c>
      <c r="AE84" s="119" t="str">
        <f>SWITCH('Base Data'!EE85, "? -&gt; ?", "pending", "--- -&gt; ---", "unranked", " -&gt; ", "", 'Base Data'!EE85)</f>
        <v/>
      </c>
      <c r="AF84" s="119" t="str">
        <f>IF(AND('Base Data'!EF85 &lt;&gt; "",'Base Data'!EF85 &lt;&gt; "?",'Base Data'!EF85 &lt;&gt; "---"), 'Base Data'!EF85, "")</f>
        <v/>
      </c>
    </row>
    <row r="85" ht="24.0" customHeight="1">
      <c r="A85" s="115"/>
      <c r="B85" s="115" t="str">
        <f>IF(HomePage!C97 &lt;&gt; "", HomePage!B97, "")</f>
        <v/>
      </c>
      <c r="C85" s="116" t="str">
        <f>'Base Data'!DW86</f>
        <v/>
      </c>
      <c r="D85" s="116" t="str">
        <f>IF(HomePage!C97 &lt;&gt; "", "vs", "")</f>
        <v/>
      </c>
      <c r="E85" s="117" t="str">
        <f>'Base Data'!DP86</f>
        <v/>
      </c>
      <c r="F85" s="118" t="str">
        <f>'Base Data'!DQ86</f>
        <v/>
      </c>
      <c r="G85" s="118" t="str">
        <f>'Base Data'!DR86</f>
        <v/>
      </c>
      <c r="H85" s="118" t="str">
        <f>'Base Data'!DS86</f>
        <v/>
      </c>
      <c r="I85" s="118" t="str">
        <f>'Base Data'!DT86</f>
        <v/>
      </c>
      <c r="J85" s="118" t="str">
        <f>'Base Data'!DU86</f>
        <v/>
      </c>
      <c r="K85" s="118" t="str">
        <f>'Base Data'!DV86</f>
        <v/>
      </c>
      <c r="L85" s="118"/>
      <c r="M85" s="118"/>
      <c r="N85" s="118"/>
      <c r="O85" s="118" t="str">
        <f>'Base Data'!CX86</f>
        <v/>
      </c>
      <c r="P85" s="118" t="str">
        <f>'Base Data'!CY86</f>
        <v/>
      </c>
      <c r="Q85" s="118" t="str">
        <f>'Base Data'!CV86</f>
        <v/>
      </c>
      <c r="R85" s="118" t="str">
        <f>'Base Data'!CW86</f>
        <v/>
      </c>
      <c r="S85" s="118"/>
      <c r="T85" s="118" t="str">
        <f>'Base Data'!CZ86</f>
        <v/>
      </c>
      <c r="U85" s="118" t="str">
        <f>'Base Data'!DA86</f>
        <v/>
      </c>
      <c r="V85" s="118" t="str">
        <f>'Base Data'!DB86</f>
        <v/>
      </c>
      <c r="W85" s="118" t="str">
        <f>'Base Data'!DC86</f>
        <v/>
      </c>
      <c r="X85" s="118"/>
      <c r="Y85" s="118"/>
      <c r="Z85" s="118" t="str">
        <f>'Base Data'!DE86</f>
        <v/>
      </c>
      <c r="AA85" s="118" t="str">
        <f>'Base Data'!DF86</f>
        <v/>
      </c>
      <c r="AB85" s="118" t="str">
        <f>'Base Data'!DG86</f>
        <v/>
      </c>
      <c r="AC85" s="118" t="str">
        <f>'Base Data'!DH86</f>
        <v/>
      </c>
      <c r="AD85" s="119" t="str">
        <f>IF('Base Data'!Y86 = "ots", "YES", "")</f>
        <v/>
      </c>
      <c r="AE85" s="119" t="str">
        <f>SWITCH('Base Data'!EE86, "? -&gt; ?", "pending", "--- -&gt; ---", "unranked", " -&gt; ", "", 'Base Data'!EE86)</f>
        <v/>
      </c>
      <c r="AF85" s="119" t="str">
        <f>IF(AND('Base Data'!EF86 &lt;&gt; "",'Base Data'!EF86 &lt;&gt; "?",'Base Data'!EF86 &lt;&gt; "---"), 'Base Data'!EF86, "")</f>
        <v/>
      </c>
    </row>
    <row r="86" ht="24.0" customHeight="1">
      <c r="A86" s="115"/>
      <c r="B86" s="115" t="str">
        <f>IF(HomePage!C98 &lt;&gt; "", HomePage!B98, "")</f>
        <v/>
      </c>
      <c r="C86" s="116" t="str">
        <f>'Base Data'!DW87</f>
        <v/>
      </c>
      <c r="D86" s="116" t="str">
        <f>IF(HomePage!C98 &lt;&gt; "", "vs", "")</f>
        <v/>
      </c>
      <c r="E86" s="117" t="str">
        <f>'Base Data'!DP87</f>
        <v/>
      </c>
      <c r="F86" s="118" t="str">
        <f>'Base Data'!DQ87</f>
        <v/>
      </c>
      <c r="G86" s="118" t="str">
        <f>'Base Data'!DR87</f>
        <v/>
      </c>
      <c r="H86" s="118" t="str">
        <f>'Base Data'!DS87</f>
        <v/>
      </c>
      <c r="I86" s="118" t="str">
        <f>'Base Data'!DT87</f>
        <v/>
      </c>
      <c r="J86" s="118" t="str">
        <f>'Base Data'!DU87</f>
        <v/>
      </c>
      <c r="K86" s="118" t="str">
        <f>'Base Data'!DV87</f>
        <v/>
      </c>
      <c r="L86" s="118"/>
      <c r="M86" s="118"/>
      <c r="N86" s="118"/>
      <c r="O86" s="118" t="str">
        <f>'Base Data'!CX87</f>
        <v/>
      </c>
      <c r="P86" s="118" t="str">
        <f>'Base Data'!CY87</f>
        <v/>
      </c>
      <c r="Q86" s="118" t="str">
        <f>'Base Data'!CV87</f>
        <v/>
      </c>
      <c r="R86" s="118" t="str">
        <f>'Base Data'!CW87</f>
        <v/>
      </c>
      <c r="S86" s="118"/>
      <c r="T86" s="118" t="str">
        <f>'Base Data'!CZ87</f>
        <v/>
      </c>
      <c r="U86" s="118" t="str">
        <f>'Base Data'!DA87</f>
        <v/>
      </c>
      <c r="V86" s="118" t="str">
        <f>'Base Data'!DB87</f>
        <v/>
      </c>
      <c r="W86" s="118" t="str">
        <f>'Base Data'!DC87</f>
        <v/>
      </c>
      <c r="X86" s="118"/>
      <c r="Y86" s="118"/>
      <c r="Z86" s="118" t="str">
        <f>'Base Data'!DE87</f>
        <v/>
      </c>
      <c r="AA86" s="118" t="str">
        <f>'Base Data'!DF87</f>
        <v/>
      </c>
      <c r="AB86" s="118" t="str">
        <f>'Base Data'!DG87</f>
        <v/>
      </c>
      <c r="AC86" s="118" t="str">
        <f>'Base Data'!DH87</f>
        <v/>
      </c>
      <c r="AD86" s="119" t="str">
        <f>IF('Base Data'!Y87 = "ots", "YES", "")</f>
        <v/>
      </c>
      <c r="AE86" s="119" t="str">
        <f>SWITCH('Base Data'!EE87, "? -&gt; ?", "pending", "--- -&gt; ---", "unranked", " -&gt; ", "", 'Base Data'!EE87)</f>
        <v/>
      </c>
      <c r="AF86" s="119" t="str">
        <f>IF(AND('Base Data'!EF87 &lt;&gt; "",'Base Data'!EF87 &lt;&gt; "?",'Base Data'!EF87 &lt;&gt; "---"), 'Base Data'!EF87, "")</f>
        <v/>
      </c>
    </row>
    <row r="87" ht="24.0" customHeight="1">
      <c r="A87" s="115"/>
      <c r="B87" s="115" t="str">
        <f>IF(HomePage!C99 &lt;&gt; "", HomePage!B99, "")</f>
        <v/>
      </c>
      <c r="C87" s="116" t="str">
        <f>'Base Data'!DW88</f>
        <v/>
      </c>
      <c r="D87" s="116" t="str">
        <f>IF(HomePage!C99 &lt;&gt; "", "vs", "")</f>
        <v/>
      </c>
      <c r="E87" s="117" t="str">
        <f>'Base Data'!DP88</f>
        <v/>
      </c>
      <c r="F87" s="118" t="str">
        <f>'Base Data'!DQ88</f>
        <v/>
      </c>
      <c r="G87" s="118" t="str">
        <f>'Base Data'!DR88</f>
        <v/>
      </c>
      <c r="H87" s="118" t="str">
        <f>'Base Data'!DS88</f>
        <v/>
      </c>
      <c r="I87" s="118" t="str">
        <f>'Base Data'!DT88</f>
        <v/>
      </c>
      <c r="J87" s="118" t="str">
        <f>'Base Data'!DU88</f>
        <v/>
      </c>
      <c r="K87" s="118" t="str">
        <f>'Base Data'!DV88</f>
        <v/>
      </c>
      <c r="L87" s="118"/>
      <c r="M87" s="118"/>
      <c r="N87" s="118"/>
      <c r="O87" s="118" t="str">
        <f>'Base Data'!CX88</f>
        <v/>
      </c>
      <c r="P87" s="118" t="str">
        <f>'Base Data'!CY88</f>
        <v/>
      </c>
      <c r="Q87" s="118" t="str">
        <f>'Base Data'!CV88</f>
        <v/>
      </c>
      <c r="R87" s="118" t="str">
        <f>'Base Data'!CW88</f>
        <v/>
      </c>
      <c r="S87" s="118"/>
      <c r="T87" s="118" t="str">
        <f>'Base Data'!CZ88</f>
        <v/>
      </c>
      <c r="U87" s="118" t="str">
        <f>'Base Data'!DA88</f>
        <v/>
      </c>
      <c r="V87" s="118" t="str">
        <f>'Base Data'!DB88</f>
        <v/>
      </c>
      <c r="W87" s="118" t="str">
        <f>'Base Data'!DC88</f>
        <v/>
      </c>
      <c r="X87" s="118"/>
      <c r="Y87" s="118"/>
      <c r="Z87" s="118" t="str">
        <f>'Base Data'!DE88</f>
        <v/>
      </c>
      <c r="AA87" s="118" t="str">
        <f>'Base Data'!DF88</f>
        <v/>
      </c>
      <c r="AB87" s="118" t="str">
        <f>'Base Data'!DG88</f>
        <v/>
      </c>
      <c r="AC87" s="118" t="str">
        <f>'Base Data'!DH88</f>
        <v/>
      </c>
      <c r="AD87" s="119" t="str">
        <f>IF('Base Data'!Y88 = "ots", "YES", "")</f>
        <v/>
      </c>
      <c r="AE87" s="119" t="str">
        <f>SWITCH('Base Data'!EE88, "? -&gt; ?", "pending", "--- -&gt; ---", "unranked", " -&gt; ", "", 'Base Data'!EE88)</f>
        <v/>
      </c>
      <c r="AF87" s="119" t="str">
        <f>IF(AND('Base Data'!EF88 &lt;&gt; "",'Base Data'!EF88 &lt;&gt; "?",'Base Data'!EF88 &lt;&gt; "---"), 'Base Data'!EF88, "")</f>
        <v/>
      </c>
    </row>
    <row r="88" ht="24.0" customHeight="1">
      <c r="A88" s="115"/>
      <c r="B88" s="115" t="str">
        <f>IF(HomePage!C100 &lt;&gt; "", HomePage!B100, "")</f>
        <v/>
      </c>
      <c r="C88" s="116" t="str">
        <f>'Base Data'!DW89</f>
        <v/>
      </c>
      <c r="D88" s="116" t="str">
        <f>IF(HomePage!C100 &lt;&gt; "", "vs", "")</f>
        <v/>
      </c>
      <c r="E88" s="117" t="str">
        <f>'Base Data'!DP89</f>
        <v/>
      </c>
      <c r="F88" s="118" t="str">
        <f>'Base Data'!DQ89</f>
        <v/>
      </c>
      <c r="G88" s="118" t="str">
        <f>'Base Data'!DR89</f>
        <v/>
      </c>
      <c r="H88" s="118" t="str">
        <f>'Base Data'!DS89</f>
        <v/>
      </c>
      <c r="I88" s="118" t="str">
        <f>'Base Data'!DT89</f>
        <v/>
      </c>
      <c r="J88" s="118" t="str">
        <f>'Base Data'!DU89</f>
        <v/>
      </c>
      <c r="K88" s="118" t="str">
        <f>'Base Data'!DV89</f>
        <v/>
      </c>
      <c r="L88" s="118"/>
      <c r="M88" s="118"/>
      <c r="N88" s="118"/>
      <c r="O88" s="118" t="str">
        <f>'Base Data'!CX89</f>
        <v/>
      </c>
      <c r="P88" s="118" t="str">
        <f>'Base Data'!CY89</f>
        <v/>
      </c>
      <c r="Q88" s="118" t="str">
        <f>'Base Data'!CV89</f>
        <v/>
      </c>
      <c r="R88" s="118" t="str">
        <f>'Base Data'!CW89</f>
        <v/>
      </c>
      <c r="S88" s="118"/>
      <c r="T88" s="118" t="str">
        <f>'Base Data'!CZ89</f>
        <v/>
      </c>
      <c r="U88" s="118" t="str">
        <f>'Base Data'!DA89</f>
        <v/>
      </c>
      <c r="V88" s="118" t="str">
        <f>'Base Data'!DB89</f>
        <v/>
      </c>
      <c r="W88" s="118" t="str">
        <f>'Base Data'!DC89</f>
        <v/>
      </c>
      <c r="X88" s="118"/>
      <c r="Y88" s="118"/>
      <c r="Z88" s="118" t="str">
        <f>'Base Data'!DE89</f>
        <v/>
      </c>
      <c r="AA88" s="118" t="str">
        <f>'Base Data'!DF89</f>
        <v/>
      </c>
      <c r="AB88" s="118" t="str">
        <f>'Base Data'!DG89</f>
        <v/>
      </c>
      <c r="AC88" s="118" t="str">
        <f>'Base Data'!DH89</f>
        <v/>
      </c>
      <c r="AD88" s="119" t="str">
        <f>IF('Base Data'!Y89 = "ots", "YES", "")</f>
        <v/>
      </c>
      <c r="AE88" s="119" t="str">
        <f>SWITCH('Base Data'!EE89, "? -&gt; ?", "pending", "--- -&gt; ---", "unranked", " -&gt; ", "", 'Base Data'!EE89)</f>
        <v/>
      </c>
      <c r="AF88" s="119" t="str">
        <f>IF(AND('Base Data'!EF89 &lt;&gt; "",'Base Data'!EF89 &lt;&gt; "?",'Base Data'!EF89 &lt;&gt; "---"), 'Base Data'!EF89, "")</f>
        <v/>
      </c>
    </row>
    <row r="89" ht="24.0" customHeight="1">
      <c r="A89" s="115"/>
      <c r="B89" s="115" t="str">
        <f>IF(HomePage!C101 &lt;&gt; "", HomePage!B101, "")</f>
        <v/>
      </c>
      <c r="C89" s="116" t="str">
        <f>'Base Data'!DW90</f>
        <v/>
      </c>
      <c r="D89" s="116" t="str">
        <f>IF(HomePage!C101 &lt;&gt; "", "vs", "")</f>
        <v/>
      </c>
      <c r="E89" s="117" t="str">
        <f>'Base Data'!DP90</f>
        <v/>
      </c>
      <c r="F89" s="118" t="str">
        <f>'Base Data'!DQ90</f>
        <v/>
      </c>
      <c r="G89" s="118" t="str">
        <f>'Base Data'!DR90</f>
        <v/>
      </c>
      <c r="H89" s="118" t="str">
        <f>'Base Data'!DS90</f>
        <v/>
      </c>
      <c r="I89" s="118" t="str">
        <f>'Base Data'!DT90</f>
        <v/>
      </c>
      <c r="J89" s="118" t="str">
        <f>'Base Data'!DU90</f>
        <v/>
      </c>
      <c r="K89" s="118" t="str">
        <f>'Base Data'!DV90</f>
        <v/>
      </c>
      <c r="L89" s="118"/>
      <c r="M89" s="118"/>
      <c r="N89" s="118"/>
      <c r="O89" s="118" t="str">
        <f>'Base Data'!CX90</f>
        <v/>
      </c>
      <c r="P89" s="118" t="str">
        <f>'Base Data'!CY90</f>
        <v/>
      </c>
      <c r="Q89" s="118" t="str">
        <f>'Base Data'!CV90</f>
        <v/>
      </c>
      <c r="R89" s="118" t="str">
        <f>'Base Data'!CW90</f>
        <v/>
      </c>
      <c r="S89" s="118"/>
      <c r="T89" s="118" t="str">
        <f>'Base Data'!CZ90</f>
        <v/>
      </c>
      <c r="U89" s="118" t="str">
        <f>'Base Data'!DA90</f>
        <v/>
      </c>
      <c r="V89" s="118" t="str">
        <f>'Base Data'!DB90</f>
        <v/>
      </c>
      <c r="W89" s="118" t="str">
        <f>'Base Data'!DC90</f>
        <v/>
      </c>
      <c r="X89" s="118"/>
      <c r="Y89" s="118"/>
      <c r="Z89" s="118" t="str">
        <f>'Base Data'!DE90</f>
        <v/>
      </c>
      <c r="AA89" s="118" t="str">
        <f>'Base Data'!DF90</f>
        <v/>
      </c>
      <c r="AB89" s="118" t="str">
        <f>'Base Data'!DG90</f>
        <v/>
      </c>
      <c r="AC89" s="118" t="str">
        <f>'Base Data'!DH90</f>
        <v/>
      </c>
      <c r="AD89" s="119" t="str">
        <f>IF('Base Data'!Y90 = "ots", "YES", "")</f>
        <v/>
      </c>
      <c r="AE89" s="119" t="str">
        <f>SWITCH('Base Data'!EE90, "? -&gt; ?", "pending", "--- -&gt; ---", "unranked", " -&gt; ", "", 'Base Data'!EE90)</f>
        <v/>
      </c>
      <c r="AF89" s="119" t="str">
        <f>IF(AND('Base Data'!EF90 &lt;&gt; "",'Base Data'!EF90 &lt;&gt; "?",'Base Data'!EF90 &lt;&gt; "---"), 'Base Data'!EF90, "")</f>
        <v/>
      </c>
    </row>
    <row r="90" ht="24.0" customHeight="1">
      <c r="A90" s="115"/>
      <c r="B90" s="115" t="str">
        <f>IF(HomePage!C102 &lt;&gt; "", HomePage!B102, "")</f>
        <v/>
      </c>
      <c r="C90" s="116" t="str">
        <f>'Base Data'!DW91</f>
        <v/>
      </c>
      <c r="D90" s="116" t="str">
        <f>IF(HomePage!C102 &lt;&gt; "", "vs", "")</f>
        <v/>
      </c>
      <c r="E90" s="117" t="str">
        <f>'Base Data'!DP91</f>
        <v/>
      </c>
      <c r="F90" s="118" t="str">
        <f>'Base Data'!DQ91</f>
        <v/>
      </c>
      <c r="G90" s="118" t="str">
        <f>'Base Data'!DR91</f>
        <v/>
      </c>
      <c r="H90" s="118" t="str">
        <f>'Base Data'!DS91</f>
        <v/>
      </c>
      <c r="I90" s="118" t="str">
        <f>'Base Data'!DT91</f>
        <v/>
      </c>
      <c r="J90" s="118" t="str">
        <f>'Base Data'!DU91</f>
        <v/>
      </c>
      <c r="K90" s="118" t="str">
        <f>'Base Data'!DV91</f>
        <v/>
      </c>
      <c r="L90" s="118"/>
      <c r="M90" s="118"/>
      <c r="N90" s="118"/>
      <c r="O90" s="118" t="str">
        <f>'Base Data'!CX91</f>
        <v/>
      </c>
      <c r="P90" s="118" t="str">
        <f>'Base Data'!CY91</f>
        <v/>
      </c>
      <c r="Q90" s="118" t="str">
        <f>'Base Data'!CV91</f>
        <v/>
      </c>
      <c r="R90" s="118" t="str">
        <f>'Base Data'!CW91</f>
        <v/>
      </c>
      <c r="S90" s="118"/>
      <c r="T90" s="118" t="str">
        <f>'Base Data'!CZ91</f>
        <v/>
      </c>
      <c r="U90" s="118" t="str">
        <f>'Base Data'!DA91</f>
        <v/>
      </c>
      <c r="V90" s="118" t="str">
        <f>'Base Data'!DB91</f>
        <v/>
      </c>
      <c r="W90" s="118" t="str">
        <f>'Base Data'!DC91</f>
        <v/>
      </c>
      <c r="X90" s="118"/>
      <c r="Y90" s="118"/>
      <c r="Z90" s="118" t="str">
        <f>'Base Data'!DE91</f>
        <v/>
      </c>
      <c r="AA90" s="118" t="str">
        <f>'Base Data'!DF91</f>
        <v/>
      </c>
      <c r="AB90" s="118" t="str">
        <f>'Base Data'!DG91</f>
        <v/>
      </c>
      <c r="AC90" s="118" t="str">
        <f>'Base Data'!DH91</f>
        <v/>
      </c>
      <c r="AD90" s="119" t="str">
        <f>IF('Base Data'!Y91 = "ots", "YES", "")</f>
        <v/>
      </c>
      <c r="AE90" s="119" t="str">
        <f>SWITCH('Base Data'!EE91, "? -&gt; ?", "pending", "--- -&gt; ---", "unranked", " -&gt; ", "", 'Base Data'!EE91)</f>
        <v/>
      </c>
      <c r="AF90" s="119" t="str">
        <f>IF(AND('Base Data'!EF91 &lt;&gt; "",'Base Data'!EF91 &lt;&gt; "?",'Base Data'!EF91 &lt;&gt; "---"), 'Base Data'!EF91, "")</f>
        <v/>
      </c>
    </row>
    <row r="91" ht="24.0" customHeight="1">
      <c r="A91" s="115"/>
      <c r="B91" s="115" t="str">
        <f>IF(HomePage!C103 &lt;&gt; "", HomePage!B103, "")</f>
        <v/>
      </c>
      <c r="C91" s="116" t="str">
        <f>'Base Data'!DW92</f>
        <v/>
      </c>
      <c r="D91" s="116" t="str">
        <f>IF(HomePage!C103 &lt;&gt; "", "vs", "")</f>
        <v/>
      </c>
      <c r="E91" s="117" t="str">
        <f>'Base Data'!DP92</f>
        <v/>
      </c>
      <c r="F91" s="118" t="str">
        <f>'Base Data'!DQ92</f>
        <v/>
      </c>
      <c r="G91" s="118" t="str">
        <f>'Base Data'!DR92</f>
        <v/>
      </c>
      <c r="H91" s="118" t="str">
        <f>'Base Data'!DS92</f>
        <v/>
      </c>
      <c r="I91" s="118" t="str">
        <f>'Base Data'!DT92</f>
        <v/>
      </c>
      <c r="J91" s="118" t="str">
        <f>'Base Data'!DU92</f>
        <v/>
      </c>
      <c r="K91" s="118" t="str">
        <f>'Base Data'!DV92</f>
        <v/>
      </c>
      <c r="L91" s="118"/>
      <c r="M91" s="118"/>
      <c r="N91" s="118"/>
      <c r="O91" s="118" t="str">
        <f>'Base Data'!CX92</f>
        <v/>
      </c>
      <c r="P91" s="118" t="str">
        <f>'Base Data'!CY92</f>
        <v/>
      </c>
      <c r="Q91" s="118" t="str">
        <f>'Base Data'!CV92</f>
        <v/>
      </c>
      <c r="R91" s="118" t="str">
        <f>'Base Data'!CW92</f>
        <v/>
      </c>
      <c r="S91" s="118"/>
      <c r="T91" s="118" t="str">
        <f>'Base Data'!CZ92</f>
        <v/>
      </c>
      <c r="U91" s="118" t="str">
        <f>'Base Data'!DA92</f>
        <v/>
      </c>
      <c r="V91" s="118" t="str">
        <f>'Base Data'!DB92</f>
        <v/>
      </c>
      <c r="W91" s="118" t="str">
        <f>'Base Data'!DC92</f>
        <v/>
      </c>
      <c r="X91" s="118"/>
      <c r="Y91" s="118"/>
      <c r="Z91" s="118" t="str">
        <f>'Base Data'!DE92</f>
        <v/>
      </c>
      <c r="AA91" s="118" t="str">
        <f>'Base Data'!DF92</f>
        <v/>
      </c>
      <c r="AB91" s="118" t="str">
        <f>'Base Data'!DG92</f>
        <v/>
      </c>
      <c r="AC91" s="118" t="str">
        <f>'Base Data'!DH92</f>
        <v/>
      </c>
      <c r="AD91" s="119" t="str">
        <f>IF('Base Data'!Y92 = "ots", "YES", "")</f>
        <v/>
      </c>
      <c r="AE91" s="119" t="str">
        <f>SWITCH('Base Data'!EE92, "? -&gt; ?", "pending", "--- -&gt; ---", "unranked", " -&gt; ", "", 'Base Data'!EE92)</f>
        <v/>
      </c>
      <c r="AF91" s="119" t="str">
        <f>IF(AND('Base Data'!EF92 &lt;&gt; "",'Base Data'!EF92 &lt;&gt; "?",'Base Data'!EF92 &lt;&gt; "---"), 'Base Data'!EF92, "")</f>
        <v/>
      </c>
    </row>
    <row r="92" ht="24.0" customHeight="1">
      <c r="A92" s="115"/>
      <c r="B92" s="115" t="str">
        <f>IF(HomePage!C104 &lt;&gt; "", HomePage!B104, "")</f>
        <v/>
      </c>
      <c r="C92" s="116" t="str">
        <f>'Base Data'!DW93</f>
        <v/>
      </c>
      <c r="D92" s="116" t="str">
        <f>IF(HomePage!C104 &lt;&gt; "", "vs", "")</f>
        <v/>
      </c>
      <c r="E92" s="117" t="str">
        <f>'Base Data'!DP93</f>
        <v/>
      </c>
      <c r="F92" s="118" t="str">
        <f>'Base Data'!DQ93</f>
        <v/>
      </c>
      <c r="G92" s="118" t="str">
        <f>'Base Data'!DR93</f>
        <v/>
      </c>
      <c r="H92" s="118" t="str">
        <f>'Base Data'!DS93</f>
        <v/>
      </c>
      <c r="I92" s="118" t="str">
        <f>'Base Data'!DT93</f>
        <v/>
      </c>
      <c r="J92" s="118" t="str">
        <f>'Base Data'!DU93</f>
        <v/>
      </c>
      <c r="K92" s="118" t="str">
        <f>'Base Data'!DV93</f>
        <v/>
      </c>
      <c r="L92" s="118"/>
      <c r="M92" s="118"/>
      <c r="N92" s="118"/>
      <c r="O92" s="118" t="str">
        <f>'Base Data'!CX93</f>
        <v/>
      </c>
      <c r="P92" s="118" t="str">
        <f>'Base Data'!CY93</f>
        <v/>
      </c>
      <c r="Q92" s="118" t="str">
        <f>'Base Data'!CV93</f>
        <v/>
      </c>
      <c r="R92" s="118" t="str">
        <f>'Base Data'!CW93</f>
        <v/>
      </c>
      <c r="S92" s="118"/>
      <c r="T92" s="118" t="str">
        <f>'Base Data'!CZ93</f>
        <v/>
      </c>
      <c r="U92" s="118" t="str">
        <f>'Base Data'!DA93</f>
        <v/>
      </c>
      <c r="V92" s="118" t="str">
        <f>'Base Data'!DB93</f>
        <v/>
      </c>
      <c r="W92" s="118" t="str">
        <f>'Base Data'!DC93</f>
        <v/>
      </c>
      <c r="X92" s="118"/>
      <c r="Y92" s="118"/>
      <c r="Z92" s="118" t="str">
        <f>'Base Data'!DE93</f>
        <v/>
      </c>
      <c r="AA92" s="118" t="str">
        <f>'Base Data'!DF93</f>
        <v/>
      </c>
      <c r="AB92" s="118" t="str">
        <f>'Base Data'!DG93</f>
        <v/>
      </c>
      <c r="AC92" s="118" t="str">
        <f>'Base Data'!DH93</f>
        <v/>
      </c>
      <c r="AD92" s="119" t="str">
        <f>IF('Base Data'!Y93 = "ots", "YES", "")</f>
        <v/>
      </c>
      <c r="AE92" s="119" t="str">
        <f>SWITCH('Base Data'!EE93, "? -&gt; ?", "pending", "--- -&gt; ---", "unranked", " -&gt; ", "", 'Base Data'!EE93)</f>
        <v/>
      </c>
      <c r="AF92" s="119" t="str">
        <f>IF(AND('Base Data'!EF93 &lt;&gt; "",'Base Data'!EF93 &lt;&gt; "?",'Base Data'!EF93 &lt;&gt; "---"), 'Base Data'!EF93, "")</f>
        <v/>
      </c>
    </row>
    <row r="93" ht="24.0" customHeight="1">
      <c r="A93" s="115"/>
      <c r="B93" s="115" t="str">
        <f>IF(HomePage!C105 &lt;&gt; "", HomePage!B105, "")</f>
        <v/>
      </c>
      <c r="C93" s="116" t="str">
        <f>'Base Data'!DW94</f>
        <v/>
      </c>
      <c r="D93" s="116" t="str">
        <f>IF(HomePage!C105 &lt;&gt; "", "vs", "")</f>
        <v/>
      </c>
      <c r="E93" s="117" t="str">
        <f>'Base Data'!DP94</f>
        <v/>
      </c>
      <c r="F93" s="118" t="str">
        <f>'Base Data'!DQ94</f>
        <v/>
      </c>
      <c r="G93" s="118" t="str">
        <f>'Base Data'!DR94</f>
        <v/>
      </c>
      <c r="H93" s="118" t="str">
        <f>'Base Data'!DS94</f>
        <v/>
      </c>
      <c r="I93" s="118" t="str">
        <f>'Base Data'!DT94</f>
        <v/>
      </c>
      <c r="J93" s="118" t="str">
        <f>'Base Data'!DU94</f>
        <v/>
      </c>
      <c r="K93" s="118" t="str">
        <f>'Base Data'!DV94</f>
        <v/>
      </c>
      <c r="L93" s="118"/>
      <c r="M93" s="118"/>
      <c r="N93" s="118"/>
      <c r="O93" s="118" t="str">
        <f>'Base Data'!CX94</f>
        <v/>
      </c>
      <c r="P93" s="118" t="str">
        <f>'Base Data'!CY94</f>
        <v/>
      </c>
      <c r="Q93" s="118" t="str">
        <f>'Base Data'!CV94</f>
        <v/>
      </c>
      <c r="R93" s="118" t="str">
        <f>'Base Data'!CW94</f>
        <v/>
      </c>
      <c r="S93" s="118"/>
      <c r="T93" s="118" t="str">
        <f>'Base Data'!CZ94</f>
        <v/>
      </c>
      <c r="U93" s="118" t="str">
        <f>'Base Data'!DA94</f>
        <v/>
      </c>
      <c r="V93" s="118" t="str">
        <f>'Base Data'!DB94</f>
        <v/>
      </c>
      <c r="W93" s="118" t="str">
        <f>'Base Data'!DC94</f>
        <v/>
      </c>
      <c r="X93" s="118"/>
      <c r="Y93" s="118"/>
      <c r="Z93" s="118" t="str">
        <f>'Base Data'!DE94</f>
        <v/>
      </c>
      <c r="AA93" s="118" t="str">
        <f>'Base Data'!DF94</f>
        <v/>
      </c>
      <c r="AB93" s="118" t="str">
        <f>'Base Data'!DG94</f>
        <v/>
      </c>
      <c r="AC93" s="118" t="str">
        <f>'Base Data'!DH94</f>
        <v/>
      </c>
      <c r="AD93" s="119" t="str">
        <f>IF('Base Data'!Y94 = "ots", "YES", "")</f>
        <v/>
      </c>
      <c r="AE93" s="119" t="str">
        <f>SWITCH('Base Data'!EE94, "? -&gt; ?", "pending", "--- -&gt; ---", "unranked", " -&gt; ", "", 'Base Data'!EE94)</f>
        <v/>
      </c>
      <c r="AF93" s="119" t="str">
        <f>IF(AND('Base Data'!EF94 &lt;&gt; "",'Base Data'!EF94 &lt;&gt; "?",'Base Data'!EF94 &lt;&gt; "---"), 'Base Data'!EF94, "")</f>
        <v/>
      </c>
    </row>
    <row r="94" ht="24.0" customHeight="1">
      <c r="A94" s="115"/>
      <c r="B94" s="115" t="str">
        <f>IF(HomePage!C106 &lt;&gt; "", HomePage!B106, "")</f>
        <v/>
      </c>
      <c r="C94" s="116" t="str">
        <f>'Base Data'!DW95</f>
        <v/>
      </c>
      <c r="D94" s="116" t="str">
        <f>IF(HomePage!C106 &lt;&gt; "", "vs", "")</f>
        <v/>
      </c>
      <c r="E94" s="117" t="str">
        <f>'Base Data'!DP95</f>
        <v/>
      </c>
      <c r="F94" s="118" t="str">
        <f>'Base Data'!DQ95</f>
        <v/>
      </c>
      <c r="G94" s="118" t="str">
        <f>'Base Data'!DR95</f>
        <v/>
      </c>
      <c r="H94" s="118" t="str">
        <f>'Base Data'!DS95</f>
        <v/>
      </c>
      <c r="I94" s="118" t="str">
        <f>'Base Data'!DT95</f>
        <v/>
      </c>
      <c r="J94" s="118" t="str">
        <f>'Base Data'!DU95</f>
        <v/>
      </c>
      <c r="K94" s="118" t="str">
        <f>'Base Data'!DV95</f>
        <v/>
      </c>
      <c r="L94" s="118"/>
      <c r="M94" s="118"/>
      <c r="N94" s="118"/>
      <c r="O94" s="118" t="str">
        <f>'Base Data'!CX95</f>
        <v/>
      </c>
      <c r="P94" s="118" t="str">
        <f>'Base Data'!CY95</f>
        <v/>
      </c>
      <c r="Q94" s="118" t="str">
        <f>'Base Data'!CV95</f>
        <v/>
      </c>
      <c r="R94" s="118" t="str">
        <f>'Base Data'!CW95</f>
        <v/>
      </c>
      <c r="S94" s="118"/>
      <c r="T94" s="118" t="str">
        <f>'Base Data'!CZ95</f>
        <v/>
      </c>
      <c r="U94" s="118" t="str">
        <f>'Base Data'!DA95</f>
        <v/>
      </c>
      <c r="V94" s="118" t="str">
        <f>'Base Data'!DB95</f>
        <v/>
      </c>
      <c r="W94" s="118" t="str">
        <f>'Base Data'!DC95</f>
        <v/>
      </c>
      <c r="X94" s="118"/>
      <c r="Y94" s="118"/>
      <c r="Z94" s="118" t="str">
        <f>'Base Data'!DE95</f>
        <v/>
      </c>
      <c r="AA94" s="118" t="str">
        <f>'Base Data'!DF95</f>
        <v/>
      </c>
      <c r="AB94" s="118" t="str">
        <f>'Base Data'!DG95</f>
        <v/>
      </c>
      <c r="AC94" s="118" t="str">
        <f>'Base Data'!DH95</f>
        <v/>
      </c>
      <c r="AD94" s="119" t="str">
        <f>IF('Base Data'!Y95 = "ots", "YES", "")</f>
        <v/>
      </c>
      <c r="AE94" s="119" t="str">
        <f>SWITCH('Base Data'!EE95, "? -&gt; ?", "pending", "--- -&gt; ---", "unranked", " -&gt; ", "", 'Base Data'!EE95)</f>
        <v/>
      </c>
      <c r="AF94" s="119" t="str">
        <f>IF(AND('Base Data'!EF95 &lt;&gt; "",'Base Data'!EF95 &lt;&gt; "?",'Base Data'!EF95 &lt;&gt; "---"), 'Base Data'!EF95, "")</f>
        <v/>
      </c>
    </row>
    <row r="95" ht="24.0" customHeight="1">
      <c r="A95" s="115"/>
      <c r="B95" s="115" t="str">
        <f>IF(HomePage!C107 &lt;&gt; "", HomePage!B107, "")</f>
        <v/>
      </c>
      <c r="C95" s="116" t="str">
        <f>'Base Data'!DW96</f>
        <v/>
      </c>
      <c r="D95" s="116" t="str">
        <f>IF(HomePage!C107 &lt;&gt; "", "vs", "")</f>
        <v/>
      </c>
      <c r="E95" s="117" t="str">
        <f>'Base Data'!DP96</f>
        <v/>
      </c>
      <c r="F95" s="118" t="str">
        <f>'Base Data'!DQ96</f>
        <v/>
      </c>
      <c r="G95" s="118" t="str">
        <f>'Base Data'!DR96</f>
        <v/>
      </c>
      <c r="H95" s="118" t="str">
        <f>'Base Data'!DS96</f>
        <v/>
      </c>
      <c r="I95" s="118" t="str">
        <f>'Base Data'!DT96</f>
        <v/>
      </c>
      <c r="J95" s="118" t="str">
        <f>'Base Data'!DU96</f>
        <v/>
      </c>
      <c r="K95" s="118" t="str">
        <f>'Base Data'!DV96</f>
        <v/>
      </c>
      <c r="L95" s="118"/>
      <c r="M95" s="118"/>
      <c r="N95" s="118"/>
      <c r="O95" s="118" t="str">
        <f>'Base Data'!CX96</f>
        <v/>
      </c>
      <c r="P95" s="118" t="str">
        <f>'Base Data'!CY96</f>
        <v/>
      </c>
      <c r="Q95" s="118" t="str">
        <f>'Base Data'!CV96</f>
        <v/>
      </c>
      <c r="R95" s="118" t="str">
        <f>'Base Data'!CW96</f>
        <v/>
      </c>
      <c r="S95" s="118"/>
      <c r="T95" s="118" t="str">
        <f>'Base Data'!CZ96</f>
        <v/>
      </c>
      <c r="U95" s="118" t="str">
        <f>'Base Data'!DA96</f>
        <v/>
      </c>
      <c r="V95" s="118" t="str">
        <f>'Base Data'!DB96</f>
        <v/>
      </c>
      <c r="W95" s="118" t="str">
        <f>'Base Data'!DC96</f>
        <v/>
      </c>
      <c r="X95" s="118"/>
      <c r="Y95" s="118"/>
      <c r="Z95" s="118" t="str">
        <f>'Base Data'!DE96</f>
        <v/>
      </c>
      <c r="AA95" s="118" t="str">
        <f>'Base Data'!DF96</f>
        <v/>
      </c>
      <c r="AB95" s="118" t="str">
        <f>'Base Data'!DG96</f>
        <v/>
      </c>
      <c r="AC95" s="118" t="str">
        <f>'Base Data'!DH96</f>
        <v/>
      </c>
      <c r="AD95" s="119" t="str">
        <f>IF('Base Data'!Y96 = "ots", "YES", "")</f>
        <v/>
      </c>
      <c r="AE95" s="119" t="str">
        <f>SWITCH('Base Data'!EE96, "? -&gt; ?", "pending", "--- -&gt; ---", "unranked", " -&gt; ", "", 'Base Data'!EE96)</f>
        <v/>
      </c>
      <c r="AF95" s="119" t="str">
        <f>IF(AND('Base Data'!EF96 &lt;&gt; "",'Base Data'!EF96 &lt;&gt; "?",'Base Data'!EF96 &lt;&gt; "---"), 'Base Data'!EF96, "")</f>
        <v/>
      </c>
    </row>
    <row r="96" ht="24.0" customHeight="1">
      <c r="A96" s="115"/>
      <c r="B96" s="115" t="str">
        <f>IF(HomePage!C108 &lt;&gt; "", HomePage!B108, "")</f>
        <v/>
      </c>
      <c r="C96" s="116" t="str">
        <f>'Base Data'!DW97</f>
        <v/>
      </c>
      <c r="D96" s="116" t="str">
        <f>IF(HomePage!C108 &lt;&gt; "", "vs", "")</f>
        <v/>
      </c>
      <c r="E96" s="117" t="str">
        <f>'Base Data'!DP97</f>
        <v/>
      </c>
      <c r="F96" s="118" t="str">
        <f>'Base Data'!DQ97</f>
        <v/>
      </c>
      <c r="G96" s="118" t="str">
        <f>'Base Data'!DR97</f>
        <v/>
      </c>
      <c r="H96" s="118" t="str">
        <f>'Base Data'!DS97</f>
        <v/>
      </c>
      <c r="I96" s="118" t="str">
        <f>'Base Data'!DT97</f>
        <v/>
      </c>
      <c r="J96" s="118" t="str">
        <f>'Base Data'!DU97</f>
        <v/>
      </c>
      <c r="K96" s="118" t="str">
        <f>'Base Data'!DV97</f>
        <v/>
      </c>
      <c r="L96" s="118"/>
      <c r="M96" s="118"/>
      <c r="N96" s="118"/>
      <c r="O96" s="118" t="str">
        <f>'Base Data'!CX97</f>
        <v/>
      </c>
      <c r="P96" s="118" t="str">
        <f>'Base Data'!CY97</f>
        <v/>
      </c>
      <c r="Q96" s="118" t="str">
        <f>'Base Data'!CV97</f>
        <v/>
      </c>
      <c r="R96" s="118" t="str">
        <f>'Base Data'!CW97</f>
        <v/>
      </c>
      <c r="S96" s="118"/>
      <c r="T96" s="118" t="str">
        <f>'Base Data'!CZ97</f>
        <v/>
      </c>
      <c r="U96" s="118" t="str">
        <f>'Base Data'!DA97</f>
        <v/>
      </c>
      <c r="V96" s="118" t="str">
        <f>'Base Data'!DB97</f>
        <v/>
      </c>
      <c r="W96" s="118" t="str">
        <f>'Base Data'!DC97</f>
        <v/>
      </c>
      <c r="X96" s="118"/>
      <c r="Y96" s="118"/>
      <c r="Z96" s="118" t="str">
        <f>'Base Data'!DE97</f>
        <v/>
      </c>
      <c r="AA96" s="118" t="str">
        <f>'Base Data'!DF97</f>
        <v/>
      </c>
      <c r="AB96" s="118" t="str">
        <f>'Base Data'!DG97</f>
        <v/>
      </c>
      <c r="AC96" s="118" t="str">
        <f>'Base Data'!DH97</f>
        <v/>
      </c>
      <c r="AD96" s="119" t="str">
        <f>IF('Base Data'!Y97 = "ots", "YES", "")</f>
        <v/>
      </c>
      <c r="AE96" s="119" t="str">
        <f>SWITCH('Base Data'!EE97, "? -&gt; ?", "pending", "--- -&gt; ---", "unranked", " -&gt; ", "", 'Base Data'!EE97)</f>
        <v/>
      </c>
      <c r="AF96" s="119" t="str">
        <f>IF(AND('Base Data'!EF97 &lt;&gt; "",'Base Data'!EF97 &lt;&gt; "?",'Base Data'!EF97 &lt;&gt; "---"), 'Base Data'!EF97, "")</f>
        <v/>
      </c>
    </row>
    <row r="97" ht="24.0" customHeight="1">
      <c r="A97" s="115"/>
      <c r="B97" s="115" t="str">
        <f>IF(HomePage!C109 &lt;&gt; "", HomePage!B109, "")</f>
        <v/>
      </c>
      <c r="C97" s="116" t="str">
        <f>'Base Data'!DW98</f>
        <v/>
      </c>
      <c r="D97" s="116" t="str">
        <f>IF(HomePage!C109 &lt;&gt; "", "vs", "")</f>
        <v/>
      </c>
      <c r="E97" s="117" t="str">
        <f>'Base Data'!DP98</f>
        <v/>
      </c>
      <c r="F97" s="118" t="str">
        <f>'Base Data'!DQ98</f>
        <v/>
      </c>
      <c r="G97" s="118" t="str">
        <f>'Base Data'!DR98</f>
        <v/>
      </c>
      <c r="H97" s="118" t="str">
        <f>'Base Data'!DS98</f>
        <v/>
      </c>
      <c r="I97" s="118" t="str">
        <f>'Base Data'!DT98</f>
        <v/>
      </c>
      <c r="J97" s="118" t="str">
        <f>'Base Data'!DU98</f>
        <v/>
      </c>
      <c r="K97" s="118" t="str">
        <f>'Base Data'!DV98</f>
        <v/>
      </c>
      <c r="L97" s="118"/>
      <c r="M97" s="118"/>
      <c r="N97" s="118"/>
      <c r="O97" s="118" t="str">
        <f>'Base Data'!CX98</f>
        <v/>
      </c>
      <c r="P97" s="118" t="str">
        <f>'Base Data'!CY98</f>
        <v/>
      </c>
      <c r="Q97" s="118" t="str">
        <f>'Base Data'!CV98</f>
        <v/>
      </c>
      <c r="R97" s="118" t="str">
        <f>'Base Data'!CW98</f>
        <v/>
      </c>
      <c r="S97" s="118"/>
      <c r="T97" s="118" t="str">
        <f>'Base Data'!CZ98</f>
        <v/>
      </c>
      <c r="U97" s="118" t="str">
        <f>'Base Data'!DA98</f>
        <v/>
      </c>
      <c r="V97" s="118" t="str">
        <f>'Base Data'!DB98</f>
        <v/>
      </c>
      <c r="W97" s="118" t="str">
        <f>'Base Data'!DC98</f>
        <v/>
      </c>
      <c r="X97" s="118"/>
      <c r="Y97" s="118"/>
      <c r="Z97" s="118" t="str">
        <f>'Base Data'!DE98</f>
        <v/>
      </c>
      <c r="AA97" s="118" t="str">
        <f>'Base Data'!DF98</f>
        <v/>
      </c>
      <c r="AB97" s="118" t="str">
        <f>'Base Data'!DG98</f>
        <v/>
      </c>
      <c r="AC97" s="118" t="str">
        <f>'Base Data'!DH98</f>
        <v/>
      </c>
      <c r="AD97" s="119" t="str">
        <f>IF('Base Data'!Y98 = "ots", "YES", "")</f>
        <v/>
      </c>
      <c r="AE97" s="119" t="str">
        <f>SWITCH('Base Data'!EE98, "? -&gt; ?", "pending", "--- -&gt; ---", "unranked", " -&gt; ", "", 'Base Data'!EE98)</f>
        <v/>
      </c>
      <c r="AF97" s="119" t="str">
        <f>IF(AND('Base Data'!EF98 &lt;&gt; "",'Base Data'!EF98 &lt;&gt; "?",'Base Data'!EF98 &lt;&gt; "---"), 'Base Data'!EF98, "")</f>
        <v/>
      </c>
    </row>
    <row r="98" ht="24.0" customHeight="1">
      <c r="A98" s="115"/>
      <c r="B98" s="115" t="str">
        <f>IF(HomePage!C110 &lt;&gt; "", HomePage!B110, "")</f>
        <v/>
      </c>
      <c r="C98" s="116" t="str">
        <f>'Base Data'!DW99</f>
        <v/>
      </c>
      <c r="D98" s="116" t="str">
        <f>IF(HomePage!C110 &lt;&gt; "", "vs", "")</f>
        <v/>
      </c>
      <c r="E98" s="117" t="str">
        <f>'Base Data'!DP99</f>
        <v/>
      </c>
      <c r="F98" s="118" t="str">
        <f>'Base Data'!DQ99</f>
        <v/>
      </c>
      <c r="G98" s="118" t="str">
        <f>'Base Data'!DR99</f>
        <v/>
      </c>
      <c r="H98" s="118" t="str">
        <f>'Base Data'!DS99</f>
        <v/>
      </c>
      <c r="I98" s="118" t="str">
        <f>'Base Data'!DT99</f>
        <v/>
      </c>
      <c r="J98" s="118" t="str">
        <f>'Base Data'!DU99</f>
        <v/>
      </c>
      <c r="K98" s="118" t="str">
        <f>'Base Data'!DV99</f>
        <v/>
      </c>
      <c r="L98" s="118"/>
      <c r="M98" s="118"/>
      <c r="N98" s="118"/>
      <c r="O98" s="118" t="str">
        <f>'Base Data'!CX99</f>
        <v/>
      </c>
      <c r="P98" s="118" t="str">
        <f>'Base Data'!CY99</f>
        <v/>
      </c>
      <c r="Q98" s="118" t="str">
        <f>'Base Data'!CV99</f>
        <v/>
      </c>
      <c r="R98" s="118" t="str">
        <f>'Base Data'!CW99</f>
        <v/>
      </c>
      <c r="S98" s="118"/>
      <c r="T98" s="118" t="str">
        <f>'Base Data'!CZ99</f>
        <v/>
      </c>
      <c r="U98" s="118" t="str">
        <f>'Base Data'!DA99</f>
        <v/>
      </c>
      <c r="V98" s="118" t="str">
        <f>'Base Data'!DB99</f>
        <v/>
      </c>
      <c r="W98" s="118" t="str">
        <f>'Base Data'!DC99</f>
        <v/>
      </c>
      <c r="X98" s="118"/>
      <c r="Y98" s="118"/>
      <c r="Z98" s="118" t="str">
        <f>'Base Data'!DE99</f>
        <v/>
      </c>
      <c r="AA98" s="118" t="str">
        <f>'Base Data'!DF99</f>
        <v/>
      </c>
      <c r="AB98" s="118" t="str">
        <f>'Base Data'!DG99</f>
        <v/>
      </c>
      <c r="AC98" s="118" t="str">
        <f>'Base Data'!DH99</f>
        <v/>
      </c>
      <c r="AD98" s="119" t="str">
        <f>IF('Base Data'!Y99 = "ots", "YES", "")</f>
        <v/>
      </c>
      <c r="AE98" s="119" t="str">
        <f>SWITCH('Base Data'!EE99, "? -&gt; ?", "pending", "--- -&gt; ---", "unranked", " -&gt; ", "", 'Base Data'!EE99)</f>
        <v/>
      </c>
      <c r="AF98" s="119" t="str">
        <f>IF(AND('Base Data'!EF99 &lt;&gt; "",'Base Data'!EF99 &lt;&gt; "?",'Base Data'!EF99 &lt;&gt; "---"), 'Base Data'!EF99, "")</f>
        <v/>
      </c>
    </row>
    <row r="99" ht="24.0" customHeight="1">
      <c r="A99" s="115"/>
      <c r="B99" s="115" t="str">
        <f>IF(HomePage!C111 &lt;&gt; "", HomePage!B111, "")</f>
        <v/>
      </c>
      <c r="C99" s="116" t="str">
        <f>'Base Data'!DW100</f>
        <v/>
      </c>
      <c r="D99" s="116" t="str">
        <f>IF(HomePage!C111 &lt;&gt; "", "vs", "")</f>
        <v/>
      </c>
      <c r="E99" s="117" t="str">
        <f>'Base Data'!DP100</f>
        <v/>
      </c>
      <c r="F99" s="118" t="str">
        <f>'Base Data'!DQ100</f>
        <v/>
      </c>
      <c r="G99" s="118" t="str">
        <f>'Base Data'!DR100</f>
        <v/>
      </c>
      <c r="H99" s="118" t="str">
        <f>'Base Data'!DS100</f>
        <v/>
      </c>
      <c r="I99" s="118" t="str">
        <f>'Base Data'!DT100</f>
        <v/>
      </c>
      <c r="J99" s="118" t="str">
        <f>'Base Data'!DU100</f>
        <v/>
      </c>
      <c r="K99" s="118" t="str">
        <f>'Base Data'!DV100</f>
        <v/>
      </c>
      <c r="L99" s="118"/>
      <c r="M99" s="118"/>
      <c r="N99" s="118"/>
      <c r="O99" s="118" t="str">
        <f>'Base Data'!CX100</f>
        <v/>
      </c>
      <c r="P99" s="118" t="str">
        <f>'Base Data'!CY100</f>
        <v/>
      </c>
      <c r="Q99" s="118" t="str">
        <f>'Base Data'!CV100</f>
        <v/>
      </c>
      <c r="R99" s="118" t="str">
        <f>'Base Data'!CW100</f>
        <v/>
      </c>
      <c r="S99" s="118"/>
      <c r="T99" s="118" t="str">
        <f>'Base Data'!CZ100</f>
        <v/>
      </c>
      <c r="U99" s="118" t="str">
        <f>'Base Data'!DA100</f>
        <v/>
      </c>
      <c r="V99" s="118" t="str">
        <f>'Base Data'!DB100</f>
        <v/>
      </c>
      <c r="W99" s="118" t="str">
        <f>'Base Data'!DC100</f>
        <v/>
      </c>
      <c r="X99" s="118"/>
      <c r="Y99" s="118"/>
      <c r="Z99" s="118" t="str">
        <f>'Base Data'!DE100</f>
        <v/>
      </c>
      <c r="AA99" s="118" t="str">
        <f>'Base Data'!DF100</f>
        <v/>
      </c>
      <c r="AB99" s="118" t="str">
        <f>'Base Data'!DG100</f>
        <v/>
      </c>
      <c r="AC99" s="118" t="str">
        <f>'Base Data'!DH100</f>
        <v/>
      </c>
      <c r="AD99" s="119" t="str">
        <f>IF('Base Data'!Y100 = "ots", "YES", "")</f>
        <v/>
      </c>
      <c r="AE99" s="119" t="str">
        <f>SWITCH('Base Data'!EE100, "? -&gt; ?", "pending", "--- -&gt; ---", "unranked", " -&gt; ", "", 'Base Data'!EE100)</f>
        <v/>
      </c>
      <c r="AF99" s="119" t="str">
        <f>IF(AND('Base Data'!EF100 &lt;&gt; "",'Base Data'!EF100 &lt;&gt; "?",'Base Data'!EF100 &lt;&gt; "---"), 'Base Data'!EF100, "")</f>
        <v/>
      </c>
    </row>
    <row r="100" ht="24.0" customHeight="1">
      <c r="A100" s="115"/>
      <c r="B100" s="115" t="str">
        <f>IF(HomePage!C112 &lt;&gt; "", HomePage!B112, "")</f>
        <v/>
      </c>
      <c r="C100" s="116" t="str">
        <f>'Base Data'!DW101</f>
        <v/>
      </c>
      <c r="D100" s="116" t="str">
        <f>IF(HomePage!C112 &lt;&gt; "", "vs", "")</f>
        <v/>
      </c>
      <c r="E100" s="117" t="str">
        <f>'Base Data'!DP101</f>
        <v/>
      </c>
      <c r="F100" s="118" t="str">
        <f>'Base Data'!DQ101</f>
        <v/>
      </c>
      <c r="G100" s="118" t="str">
        <f>'Base Data'!DR101</f>
        <v/>
      </c>
      <c r="H100" s="118" t="str">
        <f>'Base Data'!DS101</f>
        <v/>
      </c>
      <c r="I100" s="118" t="str">
        <f>'Base Data'!DT101</f>
        <v/>
      </c>
      <c r="J100" s="118" t="str">
        <f>'Base Data'!DU101</f>
        <v/>
      </c>
      <c r="K100" s="118" t="str">
        <f>'Base Data'!DV101</f>
        <v/>
      </c>
      <c r="L100" s="118"/>
      <c r="M100" s="118"/>
      <c r="N100" s="118"/>
      <c r="O100" s="118" t="str">
        <f>'Base Data'!CX101</f>
        <v/>
      </c>
      <c r="P100" s="118" t="str">
        <f>'Base Data'!CY101</f>
        <v/>
      </c>
      <c r="Q100" s="118" t="str">
        <f>'Base Data'!CV101</f>
        <v/>
      </c>
      <c r="R100" s="118" t="str">
        <f>'Base Data'!CW101</f>
        <v/>
      </c>
      <c r="S100" s="118"/>
      <c r="T100" s="118" t="str">
        <f>'Base Data'!CZ101</f>
        <v/>
      </c>
      <c r="U100" s="118" t="str">
        <f>'Base Data'!DA101</f>
        <v/>
      </c>
      <c r="V100" s="118" t="str">
        <f>'Base Data'!DB101</f>
        <v/>
      </c>
      <c r="W100" s="118" t="str">
        <f>'Base Data'!DC101</f>
        <v/>
      </c>
      <c r="X100" s="118"/>
      <c r="Y100" s="118"/>
      <c r="Z100" s="118" t="str">
        <f>'Base Data'!DE101</f>
        <v/>
      </c>
      <c r="AA100" s="118" t="str">
        <f>'Base Data'!DF101</f>
        <v/>
      </c>
      <c r="AB100" s="118" t="str">
        <f>'Base Data'!DG101</f>
        <v/>
      </c>
      <c r="AC100" s="118" t="str">
        <f>'Base Data'!DH101</f>
        <v/>
      </c>
      <c r="AD100" s="119" t="str">
        <f>IF('Base Data'!Y101 = "ots", "YES", "")</f>
        <v/>
      </c>
      <c r="AE100" s="119" t="str">
        <f>SWITCH('Base Data'!EE101, "? -&gt; ?", "pending", "--- -&gt; ---", "unranked", " -&gt; ", "", 'Base Data'!EE101)</f>
        <v/>
      </c>
      <c r="AF100" s="119" t="str">
        <f>IF(AND('Base Data'!EF101 &lt;&gt; "",'Base Data'!EF101 &lt;&gt; "?",'Base Data'!EF101 &lt;&gt; "---"), 'Base Data'!EF101, "")</f>
        <v/>
      </c>
    </row>
    <row r="101" ht="24.0" customHeight="1">
      <c r="A101" s="115"/>
      <c r="B101" s="115" t="str">
        <f>IF(HomePage!C113 &lt;&gt; "", HomePage!B113, "")</f>
        <v/>
      </c>
      <c r="C101" s="116" t="str">
        <f>'Base Data'!DW102</f>
        <v/>
      </c>
      <c r="D101" s="116" t="str">
        <f>IF(HomePage!C113 &lt;&gt; "", "vs", "")</f>
        <v/>
      </c>
      <c r="E101" s="117" t="str">
        <f>'Base Data'!DP102</f>
        <v/>
      </c>
      <c r="F101" s="118" t="str">
        <f>'Base Data'!DQ102</f>
        <v/>
      </c>
      <c r="G101" s="118" t="str">
        <f>'Base Data'!DR102</f>
        <v/>
      </c>
      <c r="H101" s="118" t="str">
        <f>'Base Data'!DS102</f>
        <v/>
      </c>
      <c r="I101" s="118" t="str">
        <f>'Base Data'!DT102</f>
        <v/>
      </c>
      <c r="J101" s="118" t="str">
        <f>'Base Data'!DU102</f>
        <v/>
      </c>
      <c r="K101" s="118" t="str">
        <f>'Base Data'!DV102</f>
        <v/>
      </c>
      <c r="L101" s="118"/>
      <c r="M101" s="118"/>
      <c r="N101" s="118"/>
      <c r="O101" s="118" t="str">
        <f>'Base Data'!CX102</f>
        <v/>
      </c>
      <c r="P101" s="118" t="str">
        <f>'Base Data'!CY102</f>
        <v/>
      </c>
      <c r="Q101" s="118" t="str">
        <f>'Base Data'!CV102</f>
        <v/>
      </c>
      <c r="R101" s="118" t="str">
        <f>'Base Data'!CW102</f>
        <v/>
      </c>
      <c r="S101" s="118"/>
      <c r="T101" s="118" t="str">
        <f>'Base Data'!CZ102</f>
        <v/>
      </c>
      <c r="U101" s="118" t="str">
        <f>'Base Data'!DA102</f>
        <v/>
      </c>
      <c r="V101" s="118" t="str">
        <f>'Base Data'!DB102</f>
        <v/>
      </c>
      <c r="W101" s="118" t="str">
        <f>'Base Data'!DC102</f>
        <v/>
      </c>
      <c r="X101" s="118"/>
      <c r="Y101" s="118"/>
      <c r="Z101" s="118" t="str">
        <f>'Base Data'!DE102</f>
        <v/>
      </c>
      <c r="AA101" s="118" t="str">
        <f>'Base Data'!DF102</f>
        <v/>
      </c>
      <c r="AB101" s="118" t="str">
        <f>'Base Data'!DG102</f>
        <v/>
      </c>
      <c r="AC101" s="118" t="str">
        <f>'Base Data'!DH102</f>
        <v/>
      </c>
      <c r="AD101" s="119" t="str">
        <f>IF('Base Data'!Y102 = "ots", "YES", "")</f>
        <v/>
      </c>
      <c r="AE101" s="119" t="str">
        <f>SWITCH('Base Data'!EE102, "? -&gt; ?", "pending", "--- -&gt; ---", "unranked", " -&gt; ", "", 'Base Data'!EE102)</f>
        <v/>
      </c>
      <c r="AF101" s="119" t="str">
        <f>IF(AND('Base Data'!EF102 &lt;&gt; "",'Base Data'!EF102 &lt;&gt; "?",'Base Data'!EF102 &lt;&gt; "---"), 'Base Data'!EF102, "")</f>
        <v/>
      </c>
    </row>
    <row r="102" ht="7.5" customHeight="1">
      <c r="A102" s="121"/>
      <c r="B102" s="121"/>
      <c r="C102" s="122"/>
      <c r="D102" s="123"/>
      <c r="E102" s="124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</sheetData>
  <conditionalFormatting sqref="F2:K101">
    <cfRule type="notContainsBlanks" dxfId="2" priority="1">
      <formula>LEN(TRIM(F2))&gt;0</formula>
    </cfRule>
  </conditionalFormatting>
  <conditionalFormatting sqref="N2:N51 O2:R101">
    <cfRule type="notContainsBlanks" dxfId="3" priority="2">
      <formula>LEN(TRIM(N2))&gt;0</formula>
    </cfRule>
  </conditionalFormatting>
  <conditionalFormatting sqref="Q2:R101">
    <cfRule type="notContainsBlanks" dxfId="4" priority="3">
      <formula>LEN(TRIM(Q2))&gt;0</formula>
    </cfRule>
  </conditionalFormatting>
  <conditionalFormatting sqref="T2:W101">
    <cfRule type="notContainsBlanks" dxfId="3" priority="4">
      <formula>LEN(TRIM(T2))&gt;0</formula>
    </cfRule>
  </conditionalFormatting>
  <conditionalFormatting sqref="V2:W101">
    <cfRule type="notContainsBlanks" dxfId="2" priority="5">
      <formula>LEN(TRIM(V2))&gt;0</formula>
    </cfRule>
  </conditionalFormatting>
  <conditionalFormatting sqref="C2:C101">
    <cfRule type="cellIs" dxfId="4" priority="6" operator="equal">
      <formula>"Win"</formula>
    </cfRule>
  </conditionalFormatting>
  <conditionalFormatting sqref="C2:C101">
    <cfRule type="cellIs" dxfId="5" priority="7" operator="equal">
      <formula>"Loss"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.5"/>
    <col customWidth="1" min="12" max="12" width="1.38"/>
    <col customWidth="1" min="13" max="13" width="1.75"/>
    <col customWidth="1" min="23" max="23" width="1.63"/>
    <col customWidth="1" min="24" max="24" width="1.88"/>
  </cols>
  <sheetData>
    <row r="1">
      <c r="A1" s="63" t="str">
        <f>IFERROR(__xludf.DUMMYFUNCTION("QUERY(ARRAYFORMULA(TO_TEXT('GBG Data'!B1:AF101)) ,""SELECT * WHERE Col1 != ''""&amp;ResultQuery&amp;OppTeamQuery&amp;OppLeadQuery&amp;OppBackQuery&amp;PlayerLeadQuery&amp;PlayerBackQuery&amp;PlayerTeraQuery&amp;OTSQuery,1)"),"Game Num")</f>
        <v>Game Num</v>
      </c>
      <c r="B1" s="63" t="str">
        <f>IFERROR(__xludf.DUMMYFUNCTION("""COMPUTED_VALUE"""),"Result")</f>
        <v>Result</v>
      </c>
      <c r="C1" s="63" t="str">
        <f>IFERROR(__xludf.DUMMYFUNCTION("""COMPUTED_VALUE"""),"VS")</f>
        <v>VS</v>
      </c>
      <c r="D1" s="63" t="str">
        <f>IFERROR(__xludf.DUMMYFUNCTION("""COMPUTED_VALUE"""),"Opp Name")</f>
        <v>Opp Name</v>
      </c>
      <c r="E1" s="63" t="str">
        <f>IFERROR(__xludf.DUMMYFUNCTION("""COMPUTED_VALUE"""),"OppMon1")</f>
        <v>OppMon1</v>
      </c>
      <c r="F1" s="63" t="str">
        <f>IFERROR(__xludf.DUMMYFUNCTION("""COMPUTED_VALUE"""),"OppMon2")</f>
        <v>OppMon2</v>
      </c>
      <c r="G1" s="63" t="str">
        <f>IFERROR(__xludf.DUMMYFUNCTION("""COMPUTED_VALUE"""),"OppMon3")</f>
        <v>OppMon3</v>
      </c>
      <c r="H1" s="63" t="str">
        <f>IFERROR(__xludf.DUMMYFUNCTION("""COMPUTED_VALUE"""),"OppMon4")</f>
        <v>OppMon4</v>
      </c>
      <c r="I1" s="63" t="str">
        <f>IFERROR(__xludf.DUMMYFUNCTION("""COMPUTED_VALUE"""),"OppMon5")</f>
        <v>OppMon5</v>
      </c>
      <c r="J1" s="63" t="str">
        <f>IFERROR(__xludf.DUMMYFUNCTION("""COMPUTED_VALUE"""),"OppMon6")</f>
        <v>OppMon6</v>
      </c>
      <c r="K1" s="63" t="str">
        <f>IFERROR(__xludf.DUMMYFUNCTION("""COMPUTED_VALUE"""),"")</f>
        <v/>
      </c>
      <c r="L1" s="63" t="str">
        <f>IFERROR(__xludf.DUMMYFUNCTION("""COMPUTED_VALUE"""),"")</f>
        <v/>
      </c>
      <c r="M1" s="63" t="str">
        <f>IFERROR(__xludf.DUMMYFUNCTION("""COMPUTED_VALUE"""),"")</f>
        <v/>
      </c>
      <c r="N1" s="63" t="str">
        <f>IFERROR(__xludf.DUMMYFUNCTION("""COMPUTED_VALUE"""),"PlayerLead1")</f>
        <v>PlayerLead1</v>
      </c>
      <c r="O1" s="63" t="str">
        <f>IFERROR(__xludf.DUMMYFUNCTION("""COMPUTED_VALUE"""),"PlayerLead2")</f>
        <v>PlayerLead2</v>
      </c>
      <c r="P1" s="63" t="str">
        <f>IFERROR(__xludf.DUMMYFUNCTION("""COMPUTED_VALUE"""),"PlayerBack1")</f>
        <v>PlayerBack1</v>
      </c>
      <c r="Q1" s="63" t="str">
        <f>IFERROR(__xludf.DUMMYFUNCTION("""COMPUTED_VALUE"""),"PlayerBack2")</f>
        <v>PlayerBack2</v>
      </c>
      <c r="R1" s="63" t="str">
        <f>IFERROR(__xludf.DUMMYFUNCTION("""COMPUTED_VALUE"""),"")</f>
        <v/>
      </c>
      <c r="S1" s="63" t="str">
        <f>IFERROR(__xludf.DUMMYFUNCTION("""COMPUTED_VALUE"""),"OppLead1")</f>
        <v>OppLead1</v>
      </c>
      <c r="T1" s="63" t="str">
        <f>IFERROR(__xludf.DUMMYFUNCTION("""COMPUTED_VALUE"""),"OppLead2")</f>
        <v>OppLead2</v>
      </c>
      <c r="U1" s="63" t="str">
        <f>IFERROR(__xludf.DUMMYFUNCTION("""COMPUTED_VALUE"""),"OppBack1")</f>
        <v>OppBack1</v>
      </c>
      <c r="V1" s="63" t="str">
        <f>IFERROR(__xludf.DUMMYFUNCTION("""COMPUTED_VALUE"""),"OppBack2")</f>
        <v>OppBack2</v>
      </c>
      <c r="W1" s="63" t="str">
        <f>IFERROR(__xludf.DUMMYFUNCTION("""COMPUTED_VALUE"""),"")</f>
        <v/>
      </c>
      <c r="X1" s="63" t="str">
        <f>IFERROR(__xludf.DUMMYFUNCTION("""COMPUTED_VALUE"""),"")</f>
        <v/>
      </c>
      <c r="Y1" s="63" t="str">
        <f>IFERROR(__xludf.DUMMYFUNCTION("""COMPUTED_VALUE"""),"PlayerTeraMon")</f>
        <v>PlayerTeraMon</v>
      </c>
      <c r="Z1" s="63" t="str">
        <f>IFERROR(__xludf.DUMMYFUNCTION("""COMPUTED_VALUE"""),"PlayerTeraType")</f>
        <v>PlayerTeraType</v>
      </c>
      <c r="AA1" s="63" t="str">
        <f>IFERROR(__xludf.DUMMYFUNCTION("""COMPUTED_VALUE"""),"OppTeraMon")</f>
        <v>OppTeraMon</v>
      </c>
      <c r="AB1" s="63" t="str">
        <f>IFERROR(__xludf.DUMMYFUNCTION("""COMPUTED_VALUE"""),"OppTeraType")</f>
        <v>OppTeraType</v>
      </c>
      <c r="AC1" s="63" t="str">
        <f>IFERROR(__xludf.DUMMYFUNCTION("""COMPUTED_VALUE"""),"OTS")</f>
        <v>OTS</v>
      </c>
      <c r="AD1" s="63" t="str">
        <f>IFERROR(__xludf.DUMMYFUNCTION("""COMPUTED_VALUE"""),"ELO")</f>
        <v>ELO</v>
      </c>
      <c r="AE1" s="63" t="str">
        <f>IFERROR(__xludf.DUMMYFUNCTION("""COMPUTED_VALUE"""),"Opp ELO")</f>
        <v>Opp ELO</v>
      </c>
    </row>
    <row r="2">
      <c r="A2" s="63" t="str">
        <f>IFERROR(__xludf.DUMMYFUNCTION("""COMPUTED_VALUE"""),"1")</f>
        <v>1</v>
      </c>
      <c r="B2" s="63" t="str">
        <f>IFERROR(__xludf.DUMMYFUNCTION("""COMPUTED_VALUE"""),"Loss")</f>
        <v>Loss</v>
      </c>
      <c r="C2" s="63" t="str">
        <f>IFERROR(__xludf.DUMMYFUNCTION("""COMPUTED_VALUE"""),"vs")</f>
        <v>vs</v>
      </c>
      <c r="D2" s="63" t="str">
        <f>IFERROR(__xludf.DUMMYFUNCTION("""COMPUTED_VALUE"""),"DoByG")</f>
        <v>DoByG</v>
      </c>
      <c r="E2" s="63" t="str">
        <f>IFERROR(__xludf.DUMMYFUNCTION("""COMPUTED_VALUE"""),"Clefable")</f>
        <v>Clefable</v>
      </c>
      <c r="F2" s="63" t="str">
        <f>IFERROR(__xludf.DUMMYFUNCTION("""COMPUTED_VALUE"""),"Exeggutor")</f>
        <v>Exeggutor</v>
      </c>
      <c r="G2" s="63" t="str">
        <f>IFERROR(__xludf.DUMMYFUNCTION("""COMPUTED_VALUE"""),"Snorlax")</f>
        <v>Snorlax</v>
      </c>
      <c r="H2" s="63" t="str">
        <f>IFERROR(__xludf.DUMMYFUNCTION("""COMPUTED_VALUE"""),"Dragonite")</f>
        <v>Dragonite</v>
      </c>
      <c r="I2" s="63" t="str">
        <f>IFERROR(__xludf.DUMMYFUNCTION("""COMPUTED_VALUE"""),"Gyarados")</f>
        <v>Gyarados</v>
      </c>
      <c r="J2" s="63" t="str">
        <f>IFERROR(__xludf.DUMMYFUNCTION("""COMPUTED_VALUE"""),"Hitmonlee")</f>
        <v>Hitmonlee</v>
      </c>
      <c r="K2" s="63"/>
      <c r="L2" s="63"/>
      <c r="M2" s="63"/>
      <c r="N2" s="63" t="str">
        <f>IFERROR(__xludf.DUMMYFUNCTION("""COMPUTED_VALUE"""),"Alcremie-Matcha-Cream")</f>
        <v>Alcremie-Matcha-Cream</v>
      </c>
      <c r="O2" s="63" t="str">
        <f>IFERROR(__xludf.DUMMYFUNCTION("""COMPUTED_VALUE"""),"Skeledirge")</f>
        <v>Skeledirge</v>
      </c>
      <c r="P2" s="63" t="str">
        <f>IFERROR(__xludf.DUMMYFUNCTION("""COMPUTED_VALUE"""),"Salamence")</f>
        <v>Salamence</v>
      </c>
      <c r="Q2" s="63" t="str">
        <f>IFERROR(__xludf.DUMMYFUNCTION("""COMPUTED_VALUE"""),"Weavile")</f>
        <v>Weavile</v>
      </c>
      <c r="R2" s="63"/>
      <c r="S2" s="63" t="str">
        <f>IFERROR(__xludf.DUMMYFUNCTION("""COMPUTED_VALUE"""),"Hitmonlee")</f>
        <v>Hitmonlee</v>
      </c>
      <c r="T2" s="63" t="str">
        <f>IFERROR(__xludf.DUMMYFUNCTION("""COMPUTED_VALUE"""),"Gyarados")</f>
        <v>Gyarados</v>
      </c>
      <c r="U2" s="63" t="str">
        <f>IFERROR(__xludf.DUMMYFUNCTION("""COMPUTED_VALUE"""),"Clefable")</f>
        <v>Clefable</v>
      </c>
      <c r="V2" s="63" t="str">
        <f>IFERROR(__xludf.DUMMYFUNCTION("""COMPUTED_VALUE"""),"Dragonite")</f>
        <v>Dragonite</v>
      </c>
      <c r="W2" s="63"/>
      <c r="X2" s="63"/>
      <c r="Y2" s="63" t="str">
        <f>IFERROR(__xludf.DUMMYFUNCTION("""COMPUTED_VALUE"""),"Skeledirge")</f>
        <v>Skeledirge</v>
      </c>
      <c r="Z2" s="63" t="str">
        <f>IFERROR(__xludf.DUMMYFUNCTION("""COMPUTED_VALUE"""),"Grass")</f>
        <v>Grass</v>
      </c>
      <c r="AA2" s="63" t="str">
        <f>IFERROR(__xludf.DUMMYFUNCTION("""COMPUTED_VALUE"""),"Gyarados")</f>
        <v>Gyarados</v>
      </c>
      <c r="AB2" s="63" t="str">
        <f>IFERROR(__xludf.DUMMYFUNCTION("""COMPUTED_VALUE"""),"Flying")</f>
        <v>Flying</v>
      </c>
      <c r="AC2" s="63"/>
      <c r="AD2" s="63" t="str">
        <f>IFERROR(__xludf.DUMMYFUNCTION("""COMPUTED_VALUE"""),"1032 -&gt; 1017")</f>
        <v>1032 -&gt; 1017</v>
      </c>
      <c r="AE2" s="63" t="str">
        <f>IFERROR(__xludf.DUMMYFUNCTION("""COMPUTED_VALUE"""),"1037")</f>
        <v>1037</v>
      </c>
    </row>
    <row r="3">
      <c r="A3" s="63" t="str">
        <f>IFERROR(__xludf.DUMMYFUNCTION("""COMPUTED_VALUE"""),"2")</f>
        <v>2</v>
      </c>
      <c r="B3" s="63" t="str">
        <f>IFERROR(__xludf.DUMMYFUNCTION("""COMPUTED_VALUE"""),"Loss")</f>
        <v>Loss</v>
      </c>
      <c r="C3" s="63" t="str">
        <f>IFERROR(__xludf.DUMMYFUNCTION("""COMPUTED_VALUE"""),"vs")</f>
        <v>vs</v>
      </c>
      <c r="D3" s="63" t="str">
        <f>IFERROR(__xludf.DUMMYFUNCTION("""COMPUTED_VALUE"""),"diogo10egas")</f>
        <v>diogo10egas</v>
      </c>
      <c r="E3" s="63" t="str">
        <f>IFERROR(__xludf.DUMMYFUNCTION("""COMPUTED_VALUE"""),"Annihilape")</f>
        <v>Annihilape</v>
      </c>
      <c r="F3" s="63" t="str">
        <f>IFERROR(__xludf.DUMMYFUNCTION("""COMPUTED_VALUE"""),"Maushold")</f>
        <v>Maushold</v>
      </c>
      <c r="G3" s="63" t="str">
        <f>IFERROR(__xludf.DUMMYFUNCTION("""COMPUTED_VALUE"""),"Pelipper")</f>
        <v>Pelipper</v>
      </c>
      <c r="H3" s="63" t="str">
        <f>IFERROR(__xludf.DUMMYFUNCTION("""COMPUTED_VALUE"""),"Archaludon")</f>
        <v>Archaludon</v>
      </c>
      <c r="I3" s="63" t="str">
        <f>IFERROR(__xludf.DUMMYFUNCTION("""COMPUTED_VALUE"""),"Ogerpon-Wellspring")</f>
        <v>Ogerpon-Wellspring</v>
      </c>
      <c r="J3" s="63" t="str">
        <f>IFERROR(__xludf.DUMMYFUNCTION("""COMPUTED_VALUE"""),"Umbreon")</f>
        <v>Umbreon</v>
      </c>
      <c r="K3" s="63"/>
      <c r="L3" s="63"/>
      <c r="M3" s="63"/>
      <c r="N3" s="63" t="str">
        <f>IFERROR(__xludf.DUMMYFUNCTION("""COMPUTED_VALUE"""),"Alcremie-Matcha-Cream")</f>
        <v>Alcremie-Matcha-Cream</v>
      </c>
      <c r="O3" s="63" t="str">
        <f>IFERROR(__xludf.DUMMYFUNCTION("""COMPUTED_VALUE"""),"Salamence")</f>
        <v>Salamence</v>
      </c>
      <c r="P3" s="63" t="str">
        <f>IFERROR(__xludf.DUMMYFUNCTION("""COMPUTED_VALUE"""),"Gholdengo")</f>
        <v>Gholdengo</v>
      </c>
      <c r="Q3" s="63" t="str">
        <f>IFERROR(__xludf.DUMMYFUNCTION("""COMPUTED_VALUE"""),"Weavile")</f>
        <v>Weavile</v>
      </c>
      <c r="R3" s="63"/>
      <c r="S3" s="63" t="str">
        <f>IFERROR(__xludf.DUMMYFUNCTION("""COMPUTED_VALUE"""),"Annihilape")</f>
        <v>Annihilape</v>
      </c>
      <c r="T3" s="63" t="str">
        <f>IFERROR(__xludf.DUMMYFUNCTION("""COMPUTED_VALUE"""),"Umbreon")</f>
        <v>Umbreon</v>
      </c>
      <c r="U3" s="63" t="str">
        <f>IFERROR(__xludf.DUMMYFUNCTION("""COMPUTED_VALUE"""),"Archaludon")</f>
        <v>Archaludon</v>
      </c>
      <c r="V3" s="63" t="str">
        <f>IFERROR(__xludf.DUMMYFUNCTION("""COMPUTED_VALUE"""),"Ogerpon-Wellspring")</f>
        <v>Ogerpon-Wellspring</v>
      </c>
      <c r="W3" s="63"/>
      <c r="X3" s="63"/>
      <c r="Y3" s="63" t="str">
        <f>IFERROR(__xludf.DUMMYFUNCTION("""COMPUTED_VALUE"""),"Gholdengo")</f>
        <v>Gholdengo</v>
      </c>
      <c r="Z3" s="63" t="str">
        <f>IFERROR(__xludf.DUMMYFUNCTION("""COMPUTED_VALUE"""),"Steel")</f>
        <v>Steel</v>
      </c>
      <c r="AA3" s="63" t="str">
        <f>IFERROR(__xludf.DUMMYFUNCTION("""COMPUTED_VALUE"""),"Umbreon")</f>
        <v>Umbreon</v>
      </c>
      <c r="AB3" s="63" t="str">
        <f>IFERROR(__xludf.DUMMYFUNCTION("""COMPUTED_VALUE"""),"Fairy")</f>
        <v>Fairy</v>
      </c>
      <c r="AC3" s="63"/>
      <c r="AD3" s="63" t="str">
        <f>IFERROR(__xludf.DUMMYFUNCTION("""COMPUTED_VALUE"""),"1017 -&gt; 1007")</f>
        <v>1017 -&gt; 1007</v>
      </c>
      <c r="AE3" s="63" t="str">
        <f>IFERROR(__xludf.DUMMYFUNCTION("""COMPUTED_VALUE"""),"1076")</f>
        <v>1076</v>
      </c>
    </row>
    <row r="4">
      <c r="A4" s="63" t="str">
        <f>IFERROR(__xludf.DUMMYFUNCTION("""COMPUTED_VALUE"""),"3")</f>
        <v>3</v>
      </c>
      <c r="B4" s="63" t="str">
        <f>IFERROR(__xludf.DUMMYFUNCTION("""COMPUTED_VALUE"""),"Loss")</f>
        <v>Loss</v>
      </c>
      <c r="C4" s="63" t="str">
        <f>IFERROR(__xludf.DUMMYFUNCTION("""COMPUTED_VALUE"""),"vs")</f>
        <v>vs</v>
      </c>
      <c r="D4" s="63" t="str">
        <f>IFERROR(__xludf.DUMMYFUNCTION("""COMPUTED_VALUE"""),"Larateamo")</f>
        <v>Larateamo</v>
      </c>
      <c r="E4" s="63" t="str">
        <f>IFERROR(__xludf.DUMMYFUNCTION("""COMPUTED_VALUE"""),"Chien-Pao")</f>
        <v>Chien-Pao</v>
      </c>
      <c r="F4" s="63" t="str">
        <f>IFERROR(__xludf.DUMMYFUNCTION("""COMPUTED_VALUE"""),"Urshifu-*")</f>
        <v>Urshifu-*</v>
      </c>
      <c r="G4" s="63" t="str">
        <f>IFERROR(__xludf.DUMMYFUNCTION("""COMPUTED_VALUE"""),"Raging Bolt")</f>
        <v>Raging Bolt</v>
      </c>
      <c r="H4" s="63" t="str">
        <f>IFERROR(__xludf.DUMMYFUNCTION("""COMPUTED_VALUE"""),"Incineroar")</f>
        <v>Incineroar</v>
      </c>
      <c r="I4" s="63" t="str">
        <f>IFERROR(__xludf.DUMMYFUNCTION("""COMPUTED_VALUE"""),"Amoonguss")</f>
        <v>Amoonguss</v>
      </c>
      <c r="J4" s="63" t="str">
        <f>IFERROR(__xludf.DUMMYFUNCTION("""COMPUTED_VALUE"""),"Gholdengo")</f>
        <v>Gholdengo</v>
      </c>
      <c r="K4" s="63"/>
      <c r="L4" s="63"/>
      <c r="M4" s="63"/>
      <c r="N4" s="63" t="str">
        <f>IFERROR(__xludf.DUMMYFUNCTION("""COMPUTED_VALUE"""),"Alcremie-Matcha-Cream")</f>
        <v>Alcremie-Matcha-Cream</v>
      </c>
      <c r="O4" s="63" t="str">
        <f>IFERROR(__xludf.DUMMYFUNCTION("""COMPUTED_VALUE"""),"Skeledirge")</f>
        <v>Skeledirge</v>
      </c>
      <c r="P4" s="63" t="str">
        <f>IFERROR(__xludf.DUMMYFUNCTION("""COMPUTED_VALUE"""),"Exeggutor-Alola")</f>
        <v>Exeggutor-Alola</v>
      </c>
      <c r="Q4" s="63" t="str">
        <f>IFERROR(__xludf.DUMMYFUNCTION("""COMPUTED_VALUE"""),"Weavile")</f>
        <v>Weavile</v>
      </c>
      <c r="R4" s="63"/>
      <c r="S4" s="63" t="str">
        <f>IFERROR(__xludf.DUMMYFUNCTION("""COMPUTED_VALUE"""),"Raging Bolt")</f>
        <v>Raging Bolt</v>
      </c>
      <c r="T4" s="63" t="str">
        <f>IFERROR(__xludf.DUMMYFUNCTION("""COMPUTED_VALUE"""),"Urshifu-Rapid-Strike")</f>
        <v>Urshifu-Rapid-Strike</v>
      </c>
      <c r="U4" s="63" t="str">
        <f>IFERROR(__xludf.DUMMYFUNCTION("""COMPUTED_VALUE"""),"Incineroar")</f>
        <v>Incineroar</v>
      </c>
      <c r="V4" s="63" t="str">
        <f>IFERROR(__xludf.DUMMYFUNCTION("""COMPUTED_VALUE"""),"Amoonguss")</f>
        <v>Amoonguss</v>
      </c>
      <c r="W4" s="63"/>
      <c r="X4" s="63"/>
      <c r="Y4" s="63" t="str">
        <f>IFERROR(__xludf.DUMMYFUNCTION("""COMPUTED_VALUE"""),"Skeledirge")</f>
        <v>Skeledirge</v>
      </c>
      <c r="Z4" s="63" t="str">
        <f>IFERROR(__xludf.DUMMYFUNCTION("""COMPUTED_VALUE"""),"Grass")</f>
        <v>Grass</v>
      </c>
      <c r="AA4" s="63" t="str">
        <f>IFERROR(__xludf.DUMMYFUNCTION("""COMPUTED_VALUE"""),"Amoonguss")</f>
        <v>Amoonguss</v>
      </c>
      <c r="AB4" s="63" t="str">
        <f>IFERROR(__xludf.DUMMYFUNCTION("""COMPUTED_VALUE"""),"Water")</f>
        <v>Water</v>
      </c>
      <c r="AC4" s="63"/>
      <c r="AD4" s="63" t="str">
        <f>IFERROR(__xludf.DUMMYFUNCTION("""COMPUTED_VALUE"""),"1007 -&gt; 1000")</f>
        <v>1007 -&gt; 1000</v>
      </c>
      <c r="AE4" s="63" t="str">
        <f>IFERROR(__xludf.DUMMYFUNCTION("""COMPUTED_VALUE"""),"1000")</f>
        <v>1000</v>
      </c>
    </row>
    <row r="5">
      <c r="A5" s="63" t="str">
        <f>IFERROR(__xludf.DUMMYFUNCTION("""COMPUTED_VALUE"""),"4")</f>
        <v>4</v>
      </c>
      <c r="B5" s="63" t="str">
        <f>IFERROR(__xludf.DUMMYFUNCTION("""COMPUTED_VALUE"""),"Loss")</f>
        <v>Loss</v>
      </c>
      <c r="C5" s="63" t="str">
        <f>IFERROR(__xludf.DUMMYFUNCTION("""COMPUTED_VALUE"""),"vs")</f>
        <v>vs</v>
      </c>
      <c r="D5" s="63" t="str">
        <f>IFERROR(__xludf.DUMMYFUNCTION("""COMPUTED_VALUE"""),"thaoss")</f>
        <v>thaoss</v>
      </c>
      <c r="E5" s="63" t="str">
        <f>IFERROR(__xludf.DUMMYFUNCTION("""COMPUTED_VALUE"""),"Incineroar")</f>
        <v>Incineroar</v>
      </c>
      <c r="F5" s="63" t="str">
        <f>IFERROR(__xludf.DUMMYFUNCTION("""COMPUTED_VALUE"""),"Rillaboom")</f>
        <v>Rillaboom</v>
      </c>
      <c r="G5" s="63" t="str">
        <f>IFERROR(__xludf.DUMMYFUNCTION("""COMPUTED_VALUE"""),"Ursaluna-Bloodmoon")</f>
        <v>Ursaluna-Bloodmoon</v>
      </c>
      <c r="H5" s="63" t="str">
        <f>IFERROR(__xludf.DUMMYFUNCTION("""COMPUTED_VALUE"""),"Farigiraf")</f>
        <v>Farigiraf</v>
      </c>
      <c r="I5" s="63" t="str">
        <f>IFERROR(__xludf.DUMMYFUNCTION("""COMPUTED_VALUE"""),"Raging Bolt")</f>
        <v>Raging Bolt</v>
      </c>
      <c r="J5" s="63" t="str">
        <f>IFERROR(__xludf.DUMMYFUNCTION("""COMPUTED_VALUE"""),"Urshifu-*")</f>
        <v>Urshifu-*</v>
      </c>
      <c r="K5" s="63"/>
      <c r="L5" s="63"/>
      <c r="M5" s="63"/>
      <c r="N5" s="63" t="str">
        <f>IFERROR(__xludf.DUMMYFUNCTION("""COMPUTED_VALUE"""),"Salamence")</f>
        <v>Salamence</v>
      </c>
      <c r="O5" s="63" t="str">
        <f>IFERROR(__xludf.DUMMYFUNCTION("""COMPUTED_VALUE"""),"Alcremie-Matcha-Cream")</f>
        <v>Alcremie-Matcha-Cream</v>
      </c>
      <c r="P5" s="63" t="str">
        <f>IFERROR(__xludf.DUMMYFUNCTION("""COMPUTED_VALUE"""),"Weavile")</f>
        <v>Weavile</v>
      </c>
      <c r="Q5" s="63" t="str">
        <f>IFERROR(__xludf.DUMMYFUNCTION("""COMPUTED_VALUE"""),"Skeledirge")</f>
        <v>Skeledirge</v>
      </c>
      <c r="R5" s="63"/>
      <c r="S5" s="63" t="str">
        <f>IFERROR(__xludf.DUMMYFUNCTION("""COMPUTED_VALUE"""),"Urshifu-Rapid-Strike")</f>
        <v>Urshifu-Rapid-Strike</v>
      </c>
      <c r="T5" s="63" t="str">
        <f>IFERROR(__xludf.DUMMYFUNCTION("""COMPUTED_VALUE"""),"Farigiraf")</f>
        <v>Farigiraf</v>
      </c>
      <c r="U5" s="63" t="str">
        <f>IFERROR(__xludf.DUMMYFUNCTION("""COMPUTED_VALUE"""),"Ursaluna-Bloodmoon")</f>
        <v>Ursaluna-Bloodmoon</v>
      </c>
      <c r="V5" s="63" t="str">
        <f>IFERROR(__xludf.DUMMYFUNCTION("""COMPUTED_VALUE"""),"Incineroar")</f>
        <v>Incineroar</v>
      </c>
      <c r="W5" s="63"/>
      <c r="X5" s="63"/>
      <c r="Y5" s="63" t="str">
        <f>IFERROR(__xludf.DUMMYFUNCTION("""COMPUTED_VALUE"""),"Salamence")</f>
        <v>Salamence</v>
      </c>
      <c r="Z5" s="63" t="str">
        <f>IFERROR(__xludf.DUMMYFUNCTION("""COMPUTED_VALUE"""),"Flying")</f>
        <v>Flying</v>
      </c>
      <c r="AA5" s="63" t="str">
        <f>IFERROR(__xludf.DUMMYFUNCTION("""COMPUTED_VALUE"""),"Ursaluna-Bloodmoon")</f>
        <v>Ursaluna-Bloodmoon</v>
      </c>
      <c r="AB5" s="63" t="str">
        <f>IFERROR(__xludf.DUMMYFUNCTION("""COMPUTED_VALUE"""),"Normal")</f>
        <v>Normal</v>
      </c>
      <c r="AC5" s="63"/>
      <c r="AD5" s="63" t="str">
        <f>IFERROR(__xludf.DUMMYFUNCTION("""COMPUTED_VALUE"""),"1000 -&gt; 1000")</f>
        <v>1000 -&gt; 1000</v>
      </c>
      <c r="AE5" s="63" t="str">
        <f>IFERROR(__xludf.DUMMYFUNCTION("""COMPUTED_VALUE"""),"1000")</f>
        <v>1000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.13"/>
    <col customWidth="1" min="3" max="3" width="6.13"/>
    <col customWidth="1" min="4" max="4" width="5.38"/>
    <col customWidth="1" min="5" max="5" width="2.63"/>
    <col customWidth="1" min="6" max="6" width="1.63"/>
    <col customWidth="1" min="7" max="7" width="3.38"/>
    <col customWidth="1" min="8" max="8" width="6.5"/>
    <col customWidth="1" min="9" max="9" width="7.13"/>
    <col customWidth="1" min="10" max="10" width="1.13"/>
    <col customWidth="1" min="11" max="12" width="1.38"/>
    <col customWidth="1" min="13" max="13" width="1.13"/>
    <col customWidth="1" min="14" max="15" width="6.13"/>
    <col customWidth="1" min="16" max="16" width="4.5"/>
    <col customWidth="1" min="17" max="17" width="3.13"/>
    <col customWidth="1" min="18" max="18" width="1.63"/>
    <col customWidth="1" min="19" max="19" width="3.13"/>
    <col customWidth="1" min="20" max="20" width="15.13"/>
    <col customWidth="1" min="21" max="21" width="7.63"/>
    <col customWidth="1" min="22" max="22" width="1.13"/>
    <col customWidth="1" min="23" max="23" width="2.13"/>
    <col customWidth="1" min="24" max="24" width="1.13"/>
    <col customWidth="1" min="25" max="26" width="6.13"/>
    <col customWidth="1" min="27" max="27" width="10.75"/>
    <col customWidth="1" min="28" max="28" width="7.25"/>
    <col customWidth="1" min="29" max="29" width="1.13"/>
  </cols>
  <sheetData>
    <row r="1" ht="8.25" customHeight="1"/>
    <row r="2" ht="8.25" customHeight="1"/>
    <row r="3" ht="6.0" customHeight="1">
      <c r="B3" s="125"/>
      <c r="C3" s="125"/>
      <c r="D3" s="125"/>
      <c r="E3" s="125"/>
      <c r="F3" s="125"/>
      <c r="G3" s="125"/>
      <c r="H3" s="125"/>
      <c r="I3" s="125"/>
      <c r="J3" s="125"/>
      <c r="M3" s="126"/>
      <c r="N3" s="126"/>
      <c r="O3" s="126"/>
      <c r="P3" s="126"/>
      <c r="Q3" s="126"/>
      <c r="R3" s="126"/>
      <c r="S3" s="126"/>
      <c r="T3" s="126"/>
      <c r="U3" s="126"/>
      <c r="V3" s="126"/>
      <c r="X3" s="127"/>
      <c r="Y3" s="127"/>
      <c r="Z3" s="127"/>
      <c r="AA3" s="127"/>
      <c r="AB3" s="127"/>
      <c r="AC3" s="127"/>
    </row>
    <row r="4">
      <c r="B4" s="125"/>
      <c r="C4" s="128" t="s">
        <v>116</v>
      </c>
      <c r="J4" s="125"/>
      <c r="M4" s="126"/>
      <c r="N4" s="129" t="s">
        <v>117</v>
      </c>
      <c r="V4" s="126"/>
      <c r="X4" s="127"/>
      <c r="Y4" s="130" t="s">
        <v>118</v>
      </c>
      <c r="AC4" s="127"/>
    </row>
    <row r="5" ht="36.0" customHeight="1">
      <c r="B5" s="125"/>
      <c r="C5" s="131" t="str">
        <f>VLOOKUP('Team Info From Paste'!D2, PokemonIcons, 2, False)</f>
        <v>#REF!</v>
      </c>
      <c r="D5" s="132" t="str">
        <f>IF(Report!G5 = "N/A", "not", "won")</f>
        <v>won</v>
      </c>
      <c r="E5" s="133">
        <f>IF(Report!E5 = 0, "", Report!F5)</f>
        <v>0</v>
      </c>
      <c r="F5" s="132" t="str">
        <f>IF(Report!G5 = "N/A", "", "of")</f>
        <v>of</v>
      </c>
      <c r="G5" s="134">
        <f>IF(Report!E5 = 0, "", Report!E5)</f>
        <v>4</v>
      </c>
      <c r="H5" s="132" t="str">
        <f>IF(Report!G5 = "N/A", "used", "games")</f>
        <v>games</v>
      </c>
      <c r="I5" s="132" t="str">
        <f>IF(Report!G5 = "N/A", "", ("("&amp;LEFT(Report!G5, 3)&amp;"%)"))</f>
        <v>(0%)</v>
      </c>
      <c r="J5" s="125"/>
      <c r="M5" s="126"/>
      <c r="N5" s="67" t="str">
        <f>VLOOKUP('Team Info From Paste'!D2, PokemonIcons, 2, False)</f>
        <v>#REF!</v>
      </c>
      <c r="O5" s="67" t="str">
        <f>VLOOKUP('Team Info From Paste'!J2, TypeIcons, 2, False)</f>
        <v>#REF!</v>
      </c>
      <c r="P5" s="135" t="str">
        <f>IF(Report!J5 = 0, "", "won")</f>
        <v/>
      </c>
      <c r="Q5" s="136" t="str">
        <f>IF(Report!J5 = 0, "", Report!K5)</f>
        <v/>
      </c>
      <c r="R5" s="135" t="str">
        <f>IF(Report!J5 = 0, "", "of")</f>
        <v/>
      </c>
      <c r="S5" s="137" t="str">
        <f>IF(Report!J5 = 0, "", Report!J5)</f>
        <v/>
      </c>
      <c r="T5" s="135" t="str">
        <f>IF(Report!J5 = 0, "did not Tera", "games using Tera")</f>
        <v>did not Tera</v>
      </c>
      <c r="U5" s="135" t="str">
        <f>IF(Report!J5 = 0, "", ("("&amp;LEFT(Report!L5, 3)&amp;"%)"))</f>
        <v/>
      </c>
      <c r="V5" s="126"/>
      <c r="X5" s="127"/>
      <c r="Y5" s="138"/>
      <c r="Z5" s="138"/>
      <c r="AA5" s="139" t="s">
        <v>119</v>
      </c>
      <c r="AB5" s="140"/>
      <c r="AC5" s="141"/>
    </row>
    <row r="6" ht="36.0" customHeight="1">
      <c r="B6" s="125"/>
      <c r="C6" s="131" t="str">
        <f>VLOOKUP('Team Info From Paste'!D3, PokemonIcons, 2, False)</f>
        <v>#REF!</v>
      </c>
      <c r="D6" s="132" t="str">
        <f>IF(Report!G6 = "N/A", "not", "won")</f>
        <v>won</v>
      </c>
      <c r="E6" s="133">
        <f>IF(Report!E6 = 0, "", Report!F6)</f>
        <v>0</v>
      </c>
      <c r="F6" s="132" t="str">
        <f>IF(Report!G6 = "N/A", "", "of")</f>
        <v>of</v>
      </c>
      <c r="G6" s="134">
        <f>IF(Report!E6 = 0, "", Report!E6)</f>
        <v>4</v>
      </c>
      <c r="H6" s="132" t="str">
        <f>IF(Report!G6 = "N/A", "used", "games")</f>
        <v>games</v>
      </c>
      <c r="I6" s="132" t="str">
        <f>IF(Report!G6 = "N/A", "", ("("&amp;LEFT(Report!G6, 3)&amp;"%)"))</f>
        <v>(0%)</v>
      </c>
      <c r="J6" s="125"/>
      <c r="M6" s="126"/>
      <c r="N6" s="67" t="str">
        <f>VLOOKUP('Team Info From Paste'!D3, PokemonIcons, 2, False)</f>
        <v>#REF!</v>
      </c>
      <c r="O6" s="67" t="str">
        <f>VLOOKUP('Team Info From Paste'!J3, TypeIcons, 2, False)</f>
        <v>#REF!</v>
      </c>
      <c r="P6" s="135" t="str">
        <f>IF(Report!J6 = 0, "", "won")</f>
        <v/>
      </c>
      <c r="Q6" s="136" t="str">
        <f>IF(Report!J6 = 0, "", Report!K6)</f>
        <v/>
      </c>
      <c r="R6" s="135" t="str">
        <f>IF(Report!J6 = 0, "", "of")</f>
        <v/>
      </c>
      <c r="S6" s="137" t="str">
        <f>IF(Report!J6 = 0, "", Report!J6)</f>
        <v/>
      </c>
      <c r="T6" s="135" t="str">
        <f>IF(Report!J6 = 0, "did not Tera", "games using Tera")</f>
        <v>did not Tera</v>
      </c>
      <c r="U6" s="135" t="str">
        <f>IF(Report!J6 = 0, "", ("("&amp;LEFT(Report!L6, 3)&amp;"%)"))</f>
        <v/>
      </c>
      <c r="V6" s="126"/>
      <c r="X6" s="127"/>
      <c r="Y6" s="138" t="str">
        <f>IF('Lead Combo Reporting'!N6 &lt;&gt; 0, VLOOKUP(IFERROR(VLOOKUP('Lead Combo Reporting'!L6, FormFixes, 2, FALSE), 'Lead Combo Reporting'!L6), PokemonIcons, 2, False), "")</f>
        <v>#REF!</v>
      </c>
      <c r="Z6" s="138" t="str">
        <f>IF('Lead Combo Reporting'!N6 &lt;&gt; 0, VLOOKUP(IFERROR(VLOOKUP('Lead Combo Reporting'!M6, FormFixes, 2, FALSE), 'Lead Combo Reporting'!M6), PokemonIcons, 2, False), "")</f>
        <v>#REF!</v>
      </c>
      <c r="AA6" s="142">
        <f>IF('Lead Combo Reporting'!N6 &lt;&gt; 0, 'Lead Combo Reporting'!O6/'Lead Combo Reporting'!N6, "")</f>
        <v>0</v>
      </c>
      <c r="AB6" s="143" t="str">
        <f>IF('Lead Combo Reporting'!N6 &lt;&gt; 0, 'Lead Combo Reporting'!O6 &amp; " of " &amp; 'Lead Combo Reporting'!N6 &amp; " games", "")</f>
        <v>0 of 2 games</v>
      </c>
      <c r="AC6" s="144"/>
    </row>
    <row r="7" ht="36.0" customHeight="1">
      <c r="B7" s="125"/>
      <c r="C7" s="131" t="str">
        <f>VLOOKUP('Team Info From Paste'!D4, PokemonIcons, 2, False)</f>
        <v>#REF!</v>
      </c>
      <c r="D7" s="132" t="str">
        <f>IF(Report!G7 = "N/A", "not", "won")</f>
        <v>won</v>
      </c>
      <c r="E7" s="133">
        <f>IF(Report!E7 = 0, "", Report!F7)</f>
        <v>0</v>
      </c>
      <c r="F7" s="132" t="str">
        <f>IF(Report!G7 = "N/A", "", "of")</f>
        <v>of</v>
      </c>
      <c r="G7" s="134">
        <f>IF(Report!E7 = 0, "", Report!E7)</f>
        <v>3</v>
      </c>
      <c r="H7" s="132" t="str">
        <f>IF(Report!G7 = "N/A", "used", "games")</f>
        <v>games</v>
      </c>
      <c r="I7" s="132" t="str">
        <f>IF(Report!G7 = "N/A", "", ("("&amp;LEFT(Report!G7, 3)&amp;"%)"))</f>
        <v>(0%)</v>
      </c>
      <c r="J7" s="125"/>
      <c r="M7" s="126"/>
      <c r="N7" s="67" t="str">
        <f>VLOOKUP('Team Info From Paste'!D4, PokemonIcons, 2, False)</f>
        <v>#REF!</v>
      </c>
      <c r="O7" s="67" t="str">
        <f>VLOOKUP('Team Info From Paste'!J4, TypeIcons, 2, False)</f>
        <v>#REF!</v>
      </c>
      <c r="P7" s="135" t="str">
        <f>IF(Report!J7 = 0, "", "won")</f>
        <v>won</v>
      </c>
      <c r="Q7" s="136">
        <f>IF(Report!J7 = 0, "", Report!K7)</f>
        <v>0</v>
      </c>
      <c r="R7" s="135" t="str">
        <f>IF(Report!J7 = 0, "", "of")</f>
        <v>of</v>
      </c>
      <c r="S7" s="137">
        <f>IF(Report!J7 = 0, "", Report!J7)</f>
        <v>2</v>
      </c>
      <c r="T7" s="135" t="str">
        <f>IF(Report!J7 = 0, "did not Tera", "games using Tera")</f>
        <v>games using Tera</v>
      </c>
      <c r="U7" s="135" t="str">
        <f>IF(Report!J7 = 0, "", ("("&amp;LEFT(Report!L7, 3)&amp;"%)"))</f>
        <v>(0%)</v>
      </c>
      <c r="V7" s="126"/>
      <c r="X7" s="127"/>
      <c r="Y7" s="138" t="str">
        <f>IF('Lead Combo Reporting'!N7 &lt;&gt; 0, VLOOKUP(IFERROR(VLOOKUP('Lead Combo Reporting'!L7, FormFixes, 2, FALSE), 'Lead Combo Reporting'!L7), PokemonIcons, 2, False), "")</f>
        <v>#REF!</v>
      </c>
      <c r="Z7" s="138" t="str">
        <f>IF('Lead Combo Reporting'!N7 &lt;&gt; 0, VLOOKUP(IFERROR(VLOOKUP('Lead Combo Reporting'!M7, FormFixes, 2, FALSE), 'Lead Combo Reporting'!M7), PokemonIcons, 2, False), "")</f>
        <v>#REF!</v>
      </c>
      <c r="AA7" s="142">
        <f>IF('Lead Combo Reporting'!N7 &lt;&gt; 0, 'Lead Combo Reporting'!O7/'Lead Combo Reporting'!N7, "")</f>
        <v>0</v>
      </c>
      <c r="AB7" s="143" t="str">
        <f>IF('Lead Combo Reporting'!N7 &lt;&gt; 0, 'Lead Combo Reporting'!O7 &amp; " of " &amp; 'Lead Combo Reporting'!N7 &amp; " games", "")</f>
        <v>0 of 2 games</v>
      </c>
      <c r="AC7" s="144"/>
    </row>
    <row r="8" ht="36.0" customHeight="1">
      <c r="B8" s="125"/>
      <c r="C8" s="131" t="str">
        <f>VLOOKUP('Team Info From Paste'!D5, PokemonIcons, 2, False)</f>
        <v>#REF!</v>
      </c>
      <c r="D8" s="132" t="str">
        <f>IF(Report!G8 = "N/A", "not", "won")</f>
        <v>won</v>
      </c>
      <c r="E8" s="133">
        <f>IF(Report!E8 = 0, "", Report!F8)</f>
        <v>0</v>
      </c>
      <c r="F8" s="132" t="str">
        <f>IF(Report!G8 = "N/A", "", "of")</f>
        <v>of</v>
      </c>
      <c r="G8" s="134">
        <f>IF(Report!E8 = 0, "", Report!E8)</f>
        <v>1</v>
      </c>
      <c r="H8" s="132" t="str">
        <f>IF(Report!G8 = "N/A", "used", "games")</f>
        <v>games</v>
      </c>
      <c r="I8" s="132" t="str">
        <f>IF(Report!G8 = "N/A", "", ("("&amp;LEFT(Report!G8, 3)&amp;"%)"))</f>
        <v>(0%)</v>
      </c>
      <c r="J8" s="125"/>
      <c r="M8" s="126"/>
      <c r="N8" s="67" t="str">
        <f>VLOOKUP('Team Info From Paste'!D5, PokemonIcons, 2, False)</f>
        <v>#REF!</v>
      </c>
      <c r="O8" s="67" t="str">
        <f>VLOOKUP('Team Info From Paste'!J5, TypeIcons, 2, False)</f>
        <v>#REF!</v>
      </c>
      <c r="P8" s="135" t="str">
        <f>IF(Report!J8 = 0, "", "won")</f>
        <v>won</v>
      </c>
      <c r="Q8" s="136">
        <f>IF(Report!J8 = 0, "", Report!K8)</f>
        <v>0</v>
      </c>
      <c r="R8" s="135" t="str">
        <f>IF(Report!J8 = 0, "", "of")</f>
        <v>of</v>
      </c>
      <c r="S8" s="137">
        <f>IF(Report!J8 = 0, "", Report!J8)</f>
        <v>1</v>
      </c>
      <c r="T8" s="135" t="str">
        <f>IF(Report!J8 = 0, "did not Tera", "games using Tera")</f>
        <v>games using Tera</v>
      </c>
      <c r="U8" s="135" t="str">
        <f>IF(Report!J8 = 0, "", ("("&amp;LEFT(Report!L8, 3)&amp;"%)"))</f>
        <v>(0%)</v>
      </c>
      <c r="V8" s="126"/>
      <c r="X8" s="127"/>
      <c r="Y8" s="138" t="str">
        <f>IF('Lead Combo Reporting'!N8 &lt;&gt; 0, VLOOKUP(IFERROR(VLOOKUP('Lead Combo Reporting'!L8, FormFixes, 2, FALSE), 'Lead Combo Reporting'!L8), PokemonIcons, 2, False), "")</f>
        <v/>
      </c>
      <c r="Z8" s="138" t="str">
        <f>IF('Lead Combo Reporting'!N8 &lt;&gt; 0, VLOOKUP(IFERROR(VLOOKUP('Lead Combo Reporting'!M8, FormFixes, 2, FALSE), 'Lead Combo Reporting'!M8), PokemonIcons, 2, False), "")</f>
        <v/>
      </c>
      <c r="AA8" s="142" t="str">
        <f>IF('Lead Combo Reporting'!N8 &lt;&gt; 0, 'Lead Combo Reporting'!O8/'Lead Combo Reporting'!N8, "")</f>
        <v/>
      </c>
      <c r="AB8" s="143" t="str">
        <f>IF('Lead Combo Reporting'!N8 &lt;&gt; 0, 'Lead Combo Reporting'!O8 &amp; " of " &amp; 'Lead Combo Reporting'!N8 &amp; " games", "")</f>
        <v/>
      </c>
      <c r="AC8" s="144"/>
    </row>
    <row r="9" ht="36.0" customHeight="1">
      <c r="B9" s="125"/>
      <c r="C9" s="131" t="str">
        <f>VLOOKUP('Team Info From Paste'!D6, PokemonIcons, 2, False)</f>
        <v>#REF!</v>
      </c>
      <c r="D9" s="132" t="str">
        <f>IF(Report!G9 = "N/A", "not", "won")</f>
        <v>won</v>
      </c>
      <c r="E9" s="133">
        <f>IF(Report!E9 = 0, "", Report!F9)</f>
        <v>0</v>
      </c>
      <c r="F9" s="132" t="str">
        <f>IF(Report!G9 = "N/A", "", "of")</f>
        <v>of</v>
      </c>
      <c r="G9" s="134">
        <f>IF(Report!E9 = 0, "", Report!E9)</f>
        <v>1</v>
      </c>
      <c r="H9" s="132" t="str">
        <f>IF(Report!G9 = "N/A", "used", "games")</f>
        <v>games</v>
      </c>
      <c r="I9" s="132" t="str">
        <f>IF(Report!G9 = "N/A", "", ("("&amp;LEFT(Report!G9, 3)&amp;"%)"))</f>
        <v>(0%)</v>
      </c>
      <c r="J9" s="125"/>
      <c r="M9" s="126"/>
      <c r="N9" s="67" t="str">
        <f>VLOOKUP('Team Info From Paste'!D6, PokemonIcons, 2, False)</f>
        <v>#REF!</v>
      </c>
      <c r="O9" s="67" t="str">
        <f>VLOOKUP('Team Info From Paste'!J6, TypeIcons, 2, False)</f>
        <v>#REF!</v>
      </c>
      <c r="P9" s="135" t="str">
        <f>IF(Report!J9 = 0, "", "won")</f>
        <v/>
      </c>
      <c r="Q9" s="136" t="str">
        <f>IF(Report!J9 = 0, "", Report!K9)</f>
        <v/>
      </c>
      <c r="R9" s="135" t="str">
        <f>IF(Report!J9 = 0, "", "of")</f>
        <v/>
      </c>
      <c r="S9" s="137" t="str">
        <f>IF(Report!J9 = 0, "", Report!J9)</f>
        <v/>
      </c>
      <c r="T9" s="135" t="str">
        <f>IF(Report!J9 = 0, "did not Tera", "games using Tera")</f>
        <v>did not Tera</v>
      </c>
      <c r="U9" s="135" t="str">
        <f>IF(Report!J9 = 0, "", ("("&amp;LEFT(Report!L9, 3)&amp;"%)"))</f>
        <v/>
      </c>
      <c r="V9" s="126"/>
      <c r="X9" s="127"/>
      <c r="Y9" s="138" t="str">
        <f>IF('Lead Combo Reporting'!N9 &lt;&gt; 0, VLOOKUP(IFERROR(VLOOKUP('Lead Combo Reporting'!L9, FormFixes, 2, FALSE), 'Lead Combo Reporting'!L9), PokemonIcons, 2, False), "")</f>
        <v/>
      </c>
      <c r="Z9" s="138" t="str">
        <f>IF('Lead Combo Reporting'!N9 &lt;&gt; 0, VLOOKUP(IFERROR(VLOOKUP('Lead Combo Reporting'!M9, FormFixes, 2, FALSE), 'Lead Combo Reporting'!M9), PokemonIcons, 2, False), "")</f>
        <v/>
      </c>
      <c r="AA9" s="142" t="str">
        <f>IF('Lead Combo Reporting'!N9 &lt;&gt; 0, 'Lead Combo Reporting'!O9/'Lead Combo Reporting'!N9, "")</f>
        <v/>
      </c>
      <c r="AB9" s="143" t="str">
        <f>IF('Lead Combo Reporting'!N9 &lt;&gt; 0, 'Lead Combo Reporting'!O9 &amp; " of " &amp; 'Lead Combo Reporting'!N9 &amp; " games", "")</f>
        <v/>
      </c>
      <c r="AC9" s="127"/>
    </row>
    <row r="10" ht="36.0" customHeight="1">
      <c r="B10" s="125"/>
      <c r="C10" s="131" t="str">
        <f>VLOOKUP('Team Info From Paste'!D7, PokemonIcons, 2, False)</f>
        <v>#REF!</v>
      </c>
      <c r="D10" s="132" t="str">
        <f>IF(Report!G10 = "N/A", "not", "won")</f>
        <v>won</v>
      </c>
      <c r="E10" s="133">
        <f>IF(Report!E10 = 0, "", Report!F10)</f>
        <v>0</v>
      </c>
      <c r="F10" s="132" t="str">
        <f>IF(Report!G10 = "N/A", "", "of")</f>
        <v>of</v>
      </c>
      <c r="G10" s="134">
        <f>IF(Report!E10 = 0, "", Report!E10)</f>
        <v>3</v>
      </c>
      <c r="H10" s="132" t="str">
        <f>IF(Report!G10 = "N/A", "used", "games")</f>
        <v>games</v>
      </c>
      <c r="I10" s="132" t="str">
        <f>IF(Report!G10 = "N/A", "", ("("&amp;LEFT(Report!G10, 3)&amp;"%)"))</f>
        <v>(0%)</v>
      </c>
      <c r="J10" s="125"/>
      <c r="M10" s="126"/>
      <c r="N10" s="67" t="str">
        <f>VLOOKUP('Team Info From Paste'!D7, PokemonIcons, 2, False)</f>
        <v>#REF!</v>
      </c>
      <c r="O10" s="67" t="str">
        <f>VLOOKUP('Team Info From Paste'!J7, TypeIcons, 2, False)</f>
        <v>#REF!</v>
      </c>
      <c r="P10" s="135" t="str">
        <f>IF(Report!J10 = 0, "", "won")</f>
        <v>won</v>
      </c>
      <c r="Q10" s="136">
        <f>IF(Report!J10 = 0, "", Report!K10)</f>
        <v>0</v>
      </c>
      <c r="R10" s="135" t="str">
        <f>IF(Report!J10 = 0, "", "of")</f>
        <v>of</v>
      </c>
      <c r="S10" s="137">
        <f>IF(Report!J10 = 0, "", Report!J10)</f>
        <v>1</v>
      </c>
      <c r="T10" s="135" t="str">
        <f>IF(Report!J10 = 0, "did not Tera", "games using Tera")</f>
        <v>games using Tera</v>
      </c>
      <c r="U10" s="135" t="str">
        <f>IF(Report!J10 = 0, "", ("("&amp;LEFT(Report!L10, 3)&amp;"%)"))</f>
        <v>(0%)</v>
      </c>
      <c r="V10" s="126"/>
      <c r="X10" s="127"/>
      <c r="Y10" s="138" t="str">
        <f>IF('Lead Combo Reporting'!N10 &lt;&gt; 0, VLOOKUP(IFERROR(VLOOKUP('Lead Combo Reporting'!L10, FormFixes, 2, FALSE), 'Lead Combo Reporting'!L10), PokemonIcons, 2, False), "")</f>
        <v/>
      </c>
      <c r="Z10" s="138" t="str">
        <f>IF('Lead Combo Reporting'!N10 &lt;&gt; 0, VLOOKUP(IFERROR(VLOOKUP('Lead Combo Reporting'!M10, FormFixes, 2, FALSE), 'Lead Combo Reporting'!M10), PokemonIcons, 2, False), "")</f>
        <v/>
      </c>
      <c r="AA10" s="142" t="str">
        <f>IF('Lead Combo Reporting'!N10 &lt;&gt; 0, 'Lead Combo Reporting'!O10/'Lead Combo Reporting'!N10, "")</f>
        <v/>
      </c>
      <c r="AB10" s="143" t="str">
        <f>IF('Lead Combo Reporting'!N10 &lt;&gt; 0, 'Lead Combo Reporting'!O10 &amp; " of " &amp; 'Lead Combo Reporting'!N10 &amp; " games", "")</f>
        <v/>
      </c>
      <c r="AC10" s="127"/>
    </row>
    <row r="11" ht="6.0" customHeight="1">
      <c r="B11" s="125"/>
      <c r="C11" s="125"/>
      <c r="D11" s="125"/>
      <c r="E11" s="125"/>
      <c r="F11" s="125"/>
      <c r="G11" s="125"/>
      <c r="H11" s="125"/>
      <c r="I11" s="125"/>
      <c r="J11" s="125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X11" s="127"/>
      <c r="Y11" s="127"/>
      <c r="Z11" s="127"/>
      <c r="AA11" s="127"/>
      <c r="AB11" s="127"/>
      <c r="AC11" s="127"/>
    </row>
    <row r="12" ht="6.75" customHeight="1"/>
    <row r="13" ht="6.75" customHeight="1"/>
    <row r="14" ht="7.5" customHeight="1"/>
    <row r="15" ht="6.0" customHeight="1">
      <c r="B15" s="145"/>
      <c r="C15" s="145"/>
      <c r="D15" s="145"/>
      <c r="E15" s="145"/>
      <c r="F15" s="145"/>
      <c r="G15" s="145"/>
      <c r="H15" s="145"/>
      <c r="I15" s="145"/>
      <c r="J15" s="145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X15" s="147"/>
      <c r="Y15" s="147"/>
      <c r="Z15" s="147"/>
      <c r="AA15" s="147"/>
      <c r="AB15" s="147"/>
      <c r="AC15" s="147"/>
    </row>
    <row r="16">
      <c r="B16" s="145"/>
      <c r="C16" s="148" t="s">
        <v>120</v>
      </c>
      <c r="J16" s="145"/>
      <c r="M16" s="146"/>
      <c r="N16" s="149" t="s">
        <v>121</v>
      </c>
      <c r="V16" s="146"/>
      <c r="X16" s="147"/>
      <c r="Y16" s="150" t="s">
        <v>122</v>
      </c>
      <c r="AC16" s="147"/>
    </row>
    <row r="17" ht="36.0" customHeight="1">
      <c r="B17" s="145"/>
      <c r="C17" s="151" t="str">
        <f>VLOOKUP('Team Info From Paste'!D2, PokemonIcons, 2, False)</f>
        <v>#REF!</v>
      </c>
      <c r="D17" s="152" t="str">
        <f>IF(Report!G14 = "N/A", "didn't", "won")</f>
        <v>won</v>
      </c>
      <c r="E17" s="153">
        <f>IF(Report!E14 = 0, "", Report!F14)</f>
        <v>0</v>
      </c>
      <c r="F17" s="152" t="str">
        <f>IF(Report!E14 = 0, "", "of")</f>
        <v>of</v>
      </c>
      <c r="G17" s="154">
        <f>IF(Report!E14 = 0, "", Report!E14)</f>
        <v>4</v>
      </c>
      <c r="H17" s="152" t="str">
        <f>IF(Report!G14 = "N/A", "lead", "leads")</f>
        <v>leads</v>
      </c>
      <c r="I17" s="155" t="str">
        <f>IF(Report!G14 = "N/A", "", ("("&amp;LEFT(Report!G14, 3)&amp;"%)"))</f>
        <v>(0%)</v>
      </c>
      <c r="J17" s="145"/>
      <c r="M17" s="146"/>
      <c r="N17" s="156" t="str">
        <f>OtherIcons!A2</f>
        <v>#REF!</v>
      </c>
      <c r="O17" s="157" t="s">
        <v>69</v>
      </c>
      <c r="P17" s="158" t="str">
        <f>IF(Report!E23 = 0, "", "won")</f>
        <v/>
      </c>
      <c r="Q17" s="157" t="str">
        <f>IF(Report!E23 = 0, "", Report!E26)</f>
        <v/>
      </c>
      <c r="R17" s="158" t="str">
        <f>IF(Report!E23 = 0, "", "of")</f>
        <v/>
      </c>
      <c r="S17" s="159" t="str">
        <f>IF(Report!E23 = 0, "", Report!E23)</f>
        <v/>
      </c>
      <c r="T17" s="158" t="str">
        <f>IF(Report!E23 = 0, "didn't play OTS", "OTS games")</f>
        <v>didn't play OTS</v>
      </c>
      <c r="U17" s="158" t="str">
        <f>IF(Report!E23 = 0, "", ("("&amp;LEFT(Report!G23, 3)&amp;"%)"))</f>
        <v/>
      </c>
      <c r="V17" s="146"/>
      <c r="X17" s="147"/>
      <c r="Y17" s="160"/>
      <c r="Z17" s="160"/>
      <c r="AA17" s="161" t="s">
        <v>119</v>
      </c>
      <c r="AB17" s="162"/>
      <c r="AC17" s="163"/>
    </row>
    <row r="18" ht="36.0" customHeight="1">
      <c r="B18" s="145"/>
      <c r="C18" s="151" t="str">
        <f>VLOOKUP('Team Info From Paste'!D3, PokemonIcons, 2, False)</f>
        <v>#REF!</v>
      </c>
      <c r="D18" s="152" t="str">
        <f>IF(Report!G15 = "N/A", "didn't", "won")</f>
        <v>didn't</v>
      </c>
      <c r="E18" s="153" t="str">
        <f>IF(Report!E15 = 0, "", Report!F15)</f>
        <v/>
      </c>
      <c r="F18" s="152" t="str">
        <f>IF(Report!E15 = 0, "", "of")</f>
        <v/>
      </c>
      <c r="G18" s="154" t="str">
        <f>IF(Report!E15 = 0, "", Report!E15)</f>
        <v/>
      </c>
      <c r="H18" s="152" t="str">
        <f>IF(Report!G15 = "N/A", "lead", "leads")</f>
        <v>lead</v>
      </c>
      <c r="I18" s="155" t="str">
        <f>IF(Report!G15 = "N/A", "", ("("&amp;LEFT(Report!G15, 3)&amp;"%)"))</f>
        <v/>
      </c>
      <c r="J18" s="145"/>
      <c r="M18" s="146"/>
      <c r="N18" s="156" t="str">
        <f>OtherIcons!A1</f>
        <v>#REF!</v>
      </c>
      <c r="O18" s="157" t="s">
        <v>69</v>
      </c>
      <c r="P18" s="158" t="str">
        <f>IF(Report!E24 = 0, "", "won")</f>
        <v>won</v>
      </c>
      <c r="Q18" s="157">
        <f>IF(Report!E24 = 0, "", Report!E29)</f>
        <v>0</v>
      </c>
      <c r="R18" s="158" t="str">
        <f>IF(Report!E24 = 0, "", "of")</f>
        <v>of</v>
      </c>
      <c r="S18" s="159">
        <f>IF(Report!E24 = 0, "", Report!E24)</f>
        <v>4</v>
      </c>
      <c r="T18" s="158" t="str">
        <f>IF(Report!E24 = 0, "didn't play CTS", "CTS games")</f>
        <v>CTS games</v>
      </c>
      <c r="U18" s="158" t="str">
        <f>IF(Report!E24 = 0, "", ("("&amp;LEFT(Report!H23, 3)&amp;"%)"))</f>
        <v>(0%)</v>
      </c>
      <c r="V18" s="146"/>
      <c r="X18" s="147"/>
      <c r="Y18" s="160" t="str">
        <f>IF('Lead Combo Reporting'!U6 &lt;&gt; 0, VLOOKUP(IFERROR(VLOOKUP('Lead Combo Reporting'!S6, FormFixes, 2, FALSE), 'Lead Combo Reporting'!S6), PokemonIcons, 2, False), "")</f>
        <v>#REF!</v>
      </c>
      <c r="Z18" s="160" t="str">
        <f>IF('Lead Combo Reporting'!U6 &lt;&gt; 0, VLOOKUP(IFERROR(VLOOKUP('Lead Combo Reporting'!T6, FormFixes, 2, FALSE), 'Lead Combo Reporting'!T6), PokemonIcons, 2, False), "")</f>
        <v>#REF!</v>
      </c>
      <c r="AA18" s="164">
        <f>IF('Lead Combo Reporting'!U6 &lt;&gt; 0, 'Lead Combo Reporting'!V6/'Lead Combo Reporting'!U6, "")</f>
        <v>0</v>
      </c>
      <c r="AB18" s="165" t="str">
        <f>IF('Lead Combo Reporting'!U6 &lt;&gt; 0, 'Lead Combo Reporting'!V6 &amp; " of " &amp; 'Lead Combo Reporting'!U6 &amp; " games", "")</f>
        <v>0 of 2 games</v>
      </c>
      <c r="AC18" s="166"/>
    </row>
    <row r="19" ht="36.0" customHeight="1">
      <c r="B19" s="145"/>
      <c r="C19" s="151" t="str">
        <f>VLOOKUP('Team Info From Paste'!D4, PokemonIcons, 2, False)</f>
        <v>#REF!</v>
      </c>
      <c r="D19" s="152" t="str">
        <f>IF(Report!G16 = "N/A", "didn't", "won")</f>
        <v>won</v>
      </c>
      <c r="E19" s="153">
        <f>IF(Report!E16 = 0, "", Report!F16)</f>
        <v>0</v>
      </c>
      <c r="F19" s="152" t="str">
        <f>IF(Report!E16 = 0, "", "of")</f>
        <v>of</v>
      </c>
      <c r="G19" s="154">
        <f>IF(Report!E16 = 0, "", Report!E16)</f>
        <v>2</v>
      </c>
      <c r="H19" s="152" t="str">
        <f>IF(Report!G16 = "N/A", "lead", "leads")</f>
        <v>leads</v>
      </c>
      <c r="I19" s="155" t="str">
        <f>IF(Report!G16 = "N/A", "", ("("&amp;LEFT(Report!G16, 3)&amp;"%)"))</f>
        <v>(0%)</v>
      </c>
      <c r="J19" s="145"/>
      <c r="M19" s="167"/>
      <c r="N19" s="168"/>
      <c r="O19" s="167"/>
      <c r="P19" s="167"/>
      <c r="Q19" s="167"/>
      <c r="R19" s="167"/>
      <c r="S19" s="167"/>
      <c r="T19" s="167"/>
      <c r="U19" s="167"/>
      <c r="V19" s="167"/>
      <c r="X19" s="147"/>
      <c r="Y19" s="160" t="str">
        <f>IF('Lead Combo Reporting'!U7 &lt;&gt; 0, VLOOKUP(IFERROR(VLOOKUP('Lead Combo Reporting'!S7, FormFixes, 2, FALSE), 'Lead Combo Reporting'!S7), PokemonIcons, 2, False), "")</f>
        <v>#REF!</v>
      </c>
      <c r="Z19" s="160" t="str">
        <f>IF('Lead Combo Reporting'!U7 &lt;&gt; 0, VLOOKUP(IFERROR(VLOOKUP('Lead Combo Reporting'!T7, FormFixes, 2, FALSE), 'Lead Combo Reporting'!T7), PokemonIcons, 2, False), "")</f>
        <v>#REF!</v>
      </c>
      <c r="AA19" s="164">
        <f>IF('Lead Combo Reporting'!U7 &lt;&gt; 0, 'Lead Combo Reporting'!V7/'Lead Combo Reporting'!U7, "")</f>
        <v>0</v>
      </c>
      <c r="AB19" s="165" t="str">
        <f>IF('Lead Combo Reporting'!U7 &lt;&gt; 0, 'Lead Combo Reporting'!V7 &amp; " of " &amp; 'Lead Combo Reporting'!U7 &amp; " games", "")</f>
        <v>0 of 2 games</v>
      </c>
      <c r="AC19" s="166"/>
    </row>
    <row r="20" ht="36.0" customHeight="1">
      <c r="B20" s="145"/>
      <c r="C20" s="151" t="str">
        <f>VLOOKUP('Team Info From Paste'!D5, PokemonIcons, 2, False)</f>
        <v>#REF!</v>
      </c>
      <c r="D20" s="152" t="str">
        <f>IF(Report!G17 = "N/A", "didn't", "won")</f>
        <v>didn't</v>
      </c>
      <c r="E20" s="153" t="str">
        <f>IF(Report!E17 = 0, "", Report!F17)</f>
        <v/>
      </c>
      <c r="F20" s="152" t="str">
        <f>IF(Report!E17 = 0, "", "of")</f>
        <v/>
      </c>
      <c r="G20" s="154" t="str">
        <f>IF(Report!E17 = 0, "", Report!E17)</f>
        <v/>
      </c>
      <c r="H20" s="152" t="str">
        <f>IF(Report!G17 = "N/A", "lead", "leads")</f>
        <v>lead</v>
      </c>
      <c r="I20" s="155" t="str">
        <f>IF(Report!G17 = "N/A", "", ("("&amp;LEFT(Report!G17, 3)&amp;"%)"))</f>
        <v/>
      </c>
      <c r="J20" s="145"/>
      <c r="N20" s="65"/>
      <c r="X20" s="147"/>
      <c r="Y20" s="160" t="str">
        <f>IF('Lead Combo Reporting'!U8 &lt;&gt; 0, VLOOKUP(IFERROR(VLOOKUP('Lead Combo Reporting'!S8, FormFixes, 2, FALSE), 'Lead Combo Reporting'!S8), PokemonIcons, 2, False), "")</f>
        <v/>
      </c>
      <c r="Z20" s="160" t="str">
        <f>IF('Lead Combo Reporting'!U8 &lt;&gt; 0, VLOOKUP(IFERROR(VLOOKUP('Lead Combo Reporting'!T8, FormFixes, 2, FALSE), 'Lead Combo Reporting'!T8), PokemonIcons, 2, False), "")</f>
        <v/>
      </c>
      <c r="AA20" s="164" t="str">
        <f>IF('Lead Combo Reporting'!U8 &lt;&gt; 0, 'Lead Combo Reporting'!V8/'Lead Combo Reporting'!U8, "")</f>
        <v/>
      </c>
      <c r="AB20" s="165" t="str">
        <f>IF('Lead Combo Reporting'!U8 &lt;&gt; 0, 'Lead Combo Reporting'!V8 &amp; " of " &amp; 'Lead Combo Reporting'!U8 &amp; " games", "")</f>
        <v/>
      </c>
      <c r="AC20" s="166"/>
    </row>
    <row r="21" ht="36.0" customHeight="1">
      <c r="B21" s="145"/>
      <c r="C21" s="151" t="str">
        <f>VLOOKUP('Team Info From Paste'!D6, PokemonIcons, 2, False)</f>
        <v>#REF!</v>
      </c>
      <c r="D21" s="152" t="str">
        <f>IF(Report!G18 = "N/A", "didn't", "won")</f>
        <v>didn't</v>
      </c>
      <c r="E21" s="153" t="str">
        <f>IF(Report!E18 = 0, "", Report!F18)</f>
        <v/>
      </c>
      <c r="F21" s="152" t="str">
        <f>IF(Report!E18 = 0, "", "of")</f>
        <v/>
      </c>
      <c r="G21" s="154" t="str">
        <f>IF(Report!E18 = 0, "", Report!E18)</f>
        <v/>
      </c>
      <c r="H21" s="152" t="str">
        <f>IF(Report!G18 = "N/A", "lead", "leads")</f>
        <v>lead</v>
      </c>
      <c r="I21" s="155" t="str">
        <f>IF(Report!G18 = "N/A", "", ("("&amp;LEFT(Report!G18, 3)&amp;"%)"))</f>
        <v/>
      </c>
      <c r="J21" s="145"/>
      <c r="N21" s="65"/>
      <c r="X21" s="147"/>
      <c r="Y21" s="160" t="str">
        <f>IF('Lead Combo Reporting'!U9 &lt;&gt; 0, VLOOKUP(IFERROR(VLOOKUP('Lead Combo Reporting'!S9, FormFixes, 2, FALSE), 'Lead Combo Reporting'!S9), PokemonIcons, 2, False), "")</f>
        <v/>
      </c>
      <c r="Z21" s="160" t="str">
        <f>IF('Lead Combo Reporting'!U9 &lt;&gt; 0, VLOOKUP(IFERROR(VLOOKUP('Lead Combo Reporting'!T9, FormFixes, 2, FALSE), 'Lead Combo Reporting'!T9), PokemonIcons, 2, False), "")</f>
        <v/>
      </c>
      <c r="AA21" s="164" t="str">
        <f>IF('Lead Combo Reporting'!U9 &lt;&gt; 0, 'Lead Combo Reporting'!V9/'Lead Combo Reporting'!U9, "")</f>
        <v/>
      </c>
      <c r="AB21" s="165" t="str">
        <f>IF('Lead Combo Reporting'!U9 &lt;&gt; 0, 'Lead Combo Reporting'!V9 &amp; " of " &amp; 'Lead Combo Reporting'!U9 &amp; " games", "")</f>
        <v/>
      </c>
      <c r="AC21" s="147"/>
    </row>
    <row r="22" ht="36.0" customHeight="1">
      <c r="B22" s="145"/>
      <c r="C22" s="151" t="str">
        <f>VLOOKUP('Team Info From Paste'!D7, PokemonIcons, 2, False)</f>
        <v>#REF!</v>
      </c>
      <c r="D22" s="152" t="str">
        <f>IF(Report!G19 = "N/A", "didn't", "won")</f>
        <v>won</v>
      </c>
      <c r="E22" s="153">
        <f>IF(Report!E19 = 0, "", Report!F19)</f>
        <v>0</v>
      </c>
      <c r="F22" s="152" t="str">
        <f>IF(Report!E19 = 0, "", "of")</f>
        <v>of</v>
      </c>
      <c r="G22" s="154">
        <f>IF(Report!E19 = 0, "", Report!E19)</f>
        <v>2</v>
      </c>
      <c r="H22" s="152" t="str">
        <f>IF(Report!G19 = "N/A", "lead", "leads")</f>
        <v>leads</v>
      </c>
      <c r="I22" s="155" t="str">
        <f>IF(Report!G19 = "N/A", "", ("("&amp;LEFT(Report!G19, 3)&amp;"%)"))</f>
        <v>(0%)</v>
      </c>
      <c r="J22" s="145"/>
      <c r="N22" s="65"/>
      <c r="X22" s="147"/>
      <c r="Y22" s="160" t="str">
        <f>IF('Lead Combo Reporting'!U10 &lt;&gt; 0, VLOOKUP(IFERROR(VLOOKUP('Lead Combo Reporting'!S10, FormFixes, 2, FALSE), 'Lead Combo Reporting'!S10), PokemonIcons, 2, False), "")</f>
        <v/>
      </c>
      <c r="Z22" s="160" t="str">
        <f>IF('Lead Combo Reporting'!U10 &lt;&gt; 0, VLOOKUP(IFERROR(VLOOKUP('Lead Combo Reporting'!T10, FormFixes, 2, FALSE), 'Lead Combo Reporting'!T10), PokemonIcons, 2, False), "")</f>
        <v/>
      </c>
      <c r="AA22" s="164" t="str">
        <f>IF('Lead Combo Reporting'!U10 &lt;&gt; 0, 'Lead Combo Reporting'!V10/'Lead Combo Reporting'!U10, "")</f>
        <v/>
      </c>
      <c r="AB22" s="165" t="str">
        <f>IF('Lead Combo Reporting'!U10 &lt;&gt; 0, 'Lead Combo Reporting'!V10 &amp; " of " &amp; 'Lead Combo Reporting'!U10 &amp; " games", "")</f>
        <v/>
      </c>
      <c r="AC22" s="147"/>
    </row>
    <row r="23" ht="6.0" customHeight="1">
      <c r="B23" s="145"/>
      <c r="C23" s="145"/>
      <c r="D23" s="145"/>
      <c r="E23" s="145"/>
      <c r="F23" s="145"/>
      <c r="G23" s="145"/>
      <c r="H23" s="145"/>
      <c r="I23" s="145"/>
      <c r="J23" s="145"/>
      <c r="X23" s="147"/>
      <c r="Y23" s="147"/>
      <c r="Z23" s="147"/>
      <c r="AA23" s="147"/>
      <c r="AB23" s="147"/>
      <c r="AC23" s="147"/>
    </row>
  </sheetData>
  <mergeCells count="6">
    <mergeCell ref="C4:I4"/>
    <mergeCell ref="N4:U4"/>
    <mergeCell ref="Y4:AB4"/>
    <mergeCell ref="C16:I16"/>
    <mergeCell ref="N16:U16"/>
    <mergeCell ref="Y16:AB16"/>
  </mergeCells>
  <conditionalFormatting sqref="I5:I10">
    <cfRule type="cellIs" dxfId="6" priority="1" operator="greaterThan">
      <formula>"Report'!B6"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63"/>
    <col customWidth="1" min="3" max="3" width="17.38"/>
    <col customWidth="1" min="4" max="4" width="6.25"/>
    <col customWidth="1" min="5" max="5" width="1.38"/>
    <col customWidth="1" min="6" max="6" width="22.63"/>
    <col customWidth="1" min="7" max="7" width="18.5"/>
    <col customWidth="1" min="8" max="8" width="5.38"/>
    <col customWidth="1" min="9" max="9" width="5.75"/>
    <col customWidth="1" min="10" max="10" width="4.88"/>
    <col customWidth="1" min="11" max="11" width="4.38"/>
    <col customWidth="1" min="12" max="12" width="17.5"/>
    <col customWidth="1" min="14" max="14" width="7.25"/>
    <col customWidth="1" min="15" max="15" width="6.63"/>
    <col customWidth="1" min="16" max="16" width="3.0"/>
    <col customWidth="1" min="17" max="18" width="2.63"/>
    <col customWidth="1" min="19" max="20" width="15.75"/>
    <col customWidth="1" min="21" max="21" width="5.88"/>
    <col customWidth="1" min="22" max="22" width="6.5"/>
  </cols>
  <sheetData>
    <row r="1">
      <c r="A1" s="61"/>
      <c r="B1" s="61" t="s">
        <v>123</v>
      </c>
      <c r="C1" s="61"/>
      <c r="D1" s="61"/>
      <c r="F1" s="61" t="s">
        <v>124</v>
      </c>
      <c r="K1" s="63">
        <f>IFERROR(__xludf.DUMMYFUNCTION("COUNT(QUERY(A5:D105, ""SELECT * WHERE (Col2 = '""&amp;L2&amp;""' OR Col3 = '""&amp;L2&amp;""') AND
(Col2 = '""&amp;M2&amp;""' OR Col3 = '""&amp;M2&amp;""')""))"),96.0)</f>
        <v>96</v>
      </c>
    </row>
    <row r="2">
      <c r="A2" s="61"/>
      <c r="B2" s="61"/>
      <c r="C2" s="61"/>
      <c r="D2" s="61"/>
    </row>
    <row r="3">
      <c r="A3" s="61"/>
      <c r="B3" s="61"/>
      <c r="C3" s="61"/>
      <c r="D3" s="61"/>
    </row>
    <row r="4">
      <c r="A4" s="61"/>
      <c r="B4" s="61"/>
      <c r="C4" s="61"/>
      <c r="D4" s="61"/>
      <c r="F4" s="61" t="s">
        <v>125</v>
      </c>
      <c r="L4" s="61" t="s">
        <v>125</v>
      </c>
      <c r="M4" s="61" t="s">
        <v>126</v>
      </c>
      <c r="N4" s="169"/>
      <c r="O4" s="169"/>
      <c r="S4" s="61" t="s">
        <v>125</v>
      </c>
      <c r="T4" s="61" t="s">
        <v>127</v>
      </c>
    </row>
    <row r="5">
      <c r="A5" s="61" t="s">
        <v>65</v>
      </c>
      <c r="B5" s="61" t="s">
        <v>128</v>
      </c>
      <c r="C5" s="61" t="s">
        <v>129</v>
      </c>
      <c r="D5" s="61" t="s">
        <v>130</v>
      </c>
      <c r="F5" s="61" t="s">
        <v>131</v>
      </c>
      <c r="G5" s="61" t="s">
        <v>132</v>
      </c>
      <c r="H5" s="61" t="s">
        <v>133</v>
      </c>
      <c r="I5" s="61" t="s">
        <v>134</v>
      </c>
      <c r="J5" s="61" t="s">
        <v>135</v>
      </c>
      <c r="L5" s="169" t="str">
        <f>IFERROR(__xludf.DUMMYFUNCTION("QUERY(LeadComboTable, ""SELECT * ORDER BY Col3 DESC"")"),"Lead A")</f>
        <v>Lead A</v>
      </c>
      <c r="M5" s="169" t="str">
        <f>IFERROR(__xludf.DUMMYFUNCTION("""COMPUTED_VALUE"""),"Lead B")</f>
        <v>Lead B</v>
      </c>
      <c r="N5" s="169" t="str">
        <f>IFERROR(__xludf.DUMMYFUNCTION("""COMPUTED_VALUE"""),"# Led")</f>
        <v># Led</v>
      </c>
      <c r="O5" s="169" t="str">
        <f>IFERROR(__xludf.DUMMYFUNCTION("""COMPUTED_VALUE"""),"# won")</f>
        <v># won</v>
      </c>
      <c r="P5" s="169" t="str">
        <f>IFERROR(__xludf.DUMMYFUNCTION("""COMPUTED_VALUE"""),"% WIn")</f>
        <v>% WIn</v>
      </c>
      <c r="S5" s="169" t="str">
        <f>IFERROR(__xludf.DUMMYFUNCTION("QUERY(LeadComboTable, ""SELECT * ORDER BY Col5 DESC, Col3 DESC"")"),"Lead A")</f>
        <v>Lead A</v>
      </c>
      <c r="T5" s="169" t="str">
        <f>IFERROR(__xludf.DUMMYFUNCTION("""COMPUTED_VALUE"""),"Lead B")</f>
        <v>Lead B</v>
      </c>
      <c r="U5" s="169" t="str">
        <f>IFERROR(__xludf.DUMMYFUNCTION("""COMPUTED_VALUE"""),"# Led")</f>
        <v># Led</v>
      </c>
      <c r="V5" s="169" t="str">
        <f>IFERROR(__xludf.DUMMYFUNCTION("""COMPUTED_VALUE"""),"# won")</f>
        <v># won</v>
      </c>
      <c r="W5" s="63" t="str">
        <f>IFERROR(__xludf.DUMMYFUNCTION("""COMPUTED_VALUE"""),"% WIn")</f>
        <v>% WIn</v>
      </c>
    </row>
    <row r="6">
      <c r="A6" s="17">
        <v>1.0</v>
      </c>
      <c r="B6" s="63" t="str">
        <f>'Base Data'!CX3</f>
        <v>Alcremie-Matcha-Cream</v>
      </c>
      <c r="C6" s="63" t="str">
        <f>'Base Data'!CY3</f>
        <v>Skeledirge</v>
      </c>
      <c r="D6" s="63" t="str">
        <f>'Base Data'!DW3</f>
        <v>Loss</v>
      </c>
      <c r="F6" s="170" t="str">
        <f>'Team Info From Paste'!C2</f>
        <v>Alcremie-Matcha-Cream</v>
      </c>
      <c r="G6" s="170" t="str">
        <f>'Team Info From Paste'!C3</f>
        <v>Weavile</v>
      </c>
      <c r="H6" s="63">
        <f>IFERROR(__xludf.DUMMYFUNCTION("COUNT(QUERY(PlayerLeadTable, ""SELECT * WHERE (Col2 = '""&amp;F6&amp;""' OR Col3 = '""&amp;F6&amp;""') AND
(Col2 = '""&amp;G6&amp;""' OR Col3 = '""&amp;G6&amp;""')""))"),0.0)</f>
        <v>0</v>
      </c>
      <c r="I6" s="63">
        <f>IFERROR(__xludf.DUMMYFUNCTION("COUNT(QUERY(PlayerLeadTable, ""SELECT * WHERE ((Col2 = '""&amp;F6&amp;""' OR Col3 = '""&amp;F6&amp;""') AND
(Col2 = '""&amp;G6&amp;""' OR Col3 = '""&amp;G6&amp;""')) AND Col4 = 'Win'""))"),0.0)</f>
        <v>0</v>
      </c>
      <c r="J6" s="63" t="str">
        <f t="shared" ref="J6:J20" si="1">IFERROR(I6/H6, "")</f>
        <v/>
      </c>
      <c r="L6" s="63" t="str">
        <f>IFERROR(__xludf.DUMMYFUNCTION("""COMPUTED_VALUE"""),"Alcremie-Matcha-Cream")</f>
        <v>Alcremie-Matcha-Cream</v>
      </c>
      <c r="M6" s="63" t="str">
        <f>IFERROR(__xludf.DUMMYFUNCTION("""COMPUTED_VALUE"""),"Skeledirge")</f>
        <v>Skeledirge</v>
      </c>
      <c r="N6" s="63">
        <f>IFERROR(__xludf.DUMMYFUNCTION("""COMPUTED_VALUE"""),2.0)</f>
        <v>2</v>
      </c>
      <c r="O6" s="63">
        <f>IFERROR(__xludf.DUMMYFUNCTION("""COMPUTED_VALUE"""),0.0)</f>
        <v>0</v>
      </c>
      <c r="P6" s="63">
        <f>IFERROR(__xludf.DUMMYFUNCTION("""COMPUTED_VALUE"""),0.0)</f>
        <v>0</v>
      </c>
      <c r="S6" s="63" t="str">
        <f>IFERROR(__xludf.DUMMYFUNCTION("""COMPUTED_VALUE"""),"Alcremie-Matcha-Cream")</f>
        <v>Alcremie-Matcha-Cream</v>
      </c>
      <c r="T6" s="63" t="str">
        <f>IFERROR(__xludf.DUMMYFUNCTION("""COMPUTED_VALUE"""),"Skeledirge")</f>
        <v>Skeledirge</v>
      </c>
      <c r="U6" s="63">
        <f>IFERROR(__xludf.DUMMYFUNCTION("""COMPUTED_VALUE"""),2.0)</f>
        <v>2</v>
      </c>
      <c r="V6" s="63">
        <f>IFERROR(__xludf.DUMMYFUNCTION("""COMPUTED_VALUE"""),0.0)</f>
        <v>0</v>
      </c>
      <c r="W6" s="63">
        <f>IFERROR(__xludf.DUMMYFUNCTION("""COMPUTED_VALUE"""),0.0)</f>
        <v>0</v>
      </c>
    </row>
    <row r="7">
      <c r="A7" s="17">
        <v>2.0</v>
      </c>
      <c r="B7" s="63" t="str">
        <f>'Base Data'!CX4</f>
        <v>Alcremie-Matcha-Cream</v>
      </c>
      <c r="C7" s="63" t="str">
        <f>'Base Data'!CY4</f>
        <v>Salamence</v>
      </c>
      <c r="D7" s="63" t="str">
        <f>'Base Data'!DW4</f>
        <v>Loss</v>
      </c>
      <c r="F7" s="170" t="str">
        <f>'Team Info From Paste'!C2</f>
        <v>Alcremie-Matcha-Cream</v>
      </c>
      <c r="G7" s="170" t="str">
        <f>'Team Info From Paste'!C4</f>
        <v>Skeledirge</v>
      </c>
      <c r="H7" s="63">
        <f>IFERROR(__xludf.DUMMYFUNCTION("COUNT(QUERY(PlayerLeadTable, ""SELECT * WHERE (Col2 = '""&amp;F7&amp;""' OR Col3 = '""&amp;F7&amp;""') AND
(Col2 = '""&amp;G7&amp;""' OR Col3 = '""&amp;G7&amp;""')""))"),2.0)</f>
        <v>2</v>
      </c>
      <c r="I7" s="63">
        <f>IFERROR(__xludf.DUMMYFUNCTION("COUNT(QUERY(PlayerLeadTable, ""SELECT * WHERE ((Col2 = '""&amp;F7&amp;""' OR Col3 = '""&amp;F7&amp;""') AND
(Col2 = '""&amp;G7&amp;""' OR Col3 = '""&amp;G7&amp;""')) AND Col4 = 'Win'""))"),0.0)</f>
        <v>0</v>
      </c>
      <c r="J7" s="63">
        <f t="shared" si="1"/>
        <v>0</v>
      </c>
      <c r="L7" s="63" t="str">
        <f>IFERROR(__xludf.DUMMYFUNCTION("""COMPUTED_VALUE"""),"Alcremie-Matcha-Cream")</f>
        <v>Alcremie-Matcha-Cream</v>
      </c>
      <c r="M7" s="63" t="str">
        <f>IFERROR(__xludf.DUMMYFUNCTION("""COMPUTED_VALUE"""),"Salamence")</f>
        <v>Salamence</v>
      </c>
      <c r="N7" s="63">
        <f>IFERROR(__xludf.DUMMYFUNCTION("""COMPUTED_VALUE"""),2.0)</f>
        <v>2</v>
      </c>
      <c r="O7" s="63">
        <f>IFERROR(__xludf.DUMMYFUNCTION("""COMPUTED_VALUE"""),0.0)</f>
        <v>0</v>
      </c>
      <c r="P7" s="63">
        <f>IFERROR(__xludf.DUMMYFUNCTION("""COMPUTED_VALUE"""),0.0)</f>
        <v>0</v>
      </c>
      <c r="S7" s="63" t="str">
        <f>IFERROR(__xludf.DUMMYFUNCTION("""COMPUTED_VALUE"""),"Alcremie-Matcha-Cream")</f>
        <v>Alcremie-Matcha-Cream</v>
      </c>
      <c r="T7" s="63" t="str">
        <f>IFERROR(__xludf.DUMMYFUNCTION("""COMPUTED_VALUE"""),"Salamence")</f>
        <v>Salamence</v>
      </c>
      <c r="U7" s="63">
        <f>IFERROR(__xludf.DUMMYFUNCTION("""COMPUTED_VALUE"""),2.0)</f>
        <v>2</v>
      </c>
      <c r="V7" s="63">
        <f>IFERROR(__xludf.DUMMYFUNCTION("""COMPUTED_VALUE"""),0.0)</f>
        <v>0</v>
      </c>
      <c r="W7" s="63">
        <f>IFERROR(__xludf.DUMMYFUNCTION("""COMPUTED_VALUE"""),0.0)</f>
        <v>0</v>
      </c>
    </row>
    <row r="8">
      <c r="A8" s="17">
        <v>3.0</v>
      </c>
      <c r="B8" s="63" t="str">
        <f>'Base Data'!CX5</f>
        <v>Alcremie-Matcha-Cream</v>
      </c>
      <c r="C8" s="63" t="str">
        <f>'Base Data'!CY5</f>
        <v>Skeledirge</v>
      </c>
      <c r="D8" s="63" t="str">
        <f>'Base Data'!DW5</f>
        <v>Loss</v>
      </c>
      <c r="F8" s="170" t="str">
        <f>'Team Info From Paste'!C2</f>
        <v>Alcremie-Matcha-Cream</v>
      </c>
      <c r="G8" s="170" t="str">
        <f>'Team Info From Paste'!C5</f>
        <v>Gholdengo</v>
      </c>
      <c r="H8" s="63">
        <f>IFERROR(__xludf.DUMMYFUNCTION("COUNT(QUERY(PlayerLeadTable, ""SELECT * WHERE (Col2 = '""&amp;F8&amp;""' OR Col3 = '""&amp;F8&amp;""') AND
(Col2 = '""&amp;G8&amp;""' OR Col3 = '""&amp;G8&amp;""')""))"),0.0)</f>
        <v>0</v>
      </c>
      <c r="I8" s="63">
        <f>IFERROR(__xludf.DUMMYFUNCTION("COUNT(QUERY(PlayerLeadTable, ""SELECT * WHERE ((Col2 = '""&amp;F8&amp;""' OR Col3 = '""&amp;F8&amp;""') AND
(Col2 = '""&amp;G8&amp;""' OR Col3 = '""&amp;G8&amp;""')) AND Col4 = 'Win'""))"),0.0)</f>
        <v>0</v>
      </c>
      <c r="J8" s="63" t="str">
        <f t="shared" si="1"/>
        <v/>
      </c>
      <c r="L8" s="63" t="str">
        <f>IFERROR(__xludf.DUMMYFUNCTION("""COMPUTED_VALUE"""),"Alcremie-Matcha-Cream")</f>
        <v>Alcremie-Matcha-Cream</v>
      </c>
      <c r="M8" s="63" t="str">
        <f>IFERROR(__xludf.DUMMYFUNCTION("""COMPUTED_VALUE"""),"Weavile")</f>
        <v>Weavile</v>
      </c>
      <c r="N8" s="63">
        <f>IFERROR(__xludf.DUMMYFUNCTION("""COMPUTED_VALUE"""),0.0)</f>
        <v>0</v>
      </c>
      <c r="O8" s="63">
        <f>IFERROR(__xludf.DUMMYFUNCTION("""COMPUTED_VALUE"""),0.0)</f>
        <v>0</v>
      </c>
      <c r="P8" s="63"/>
      <c r="S8" s="63" t="str">
        <f>IFERROR(__xludf.DUMMYFUNCTION("""COMPUTED_VALUE"""),"Alcremie-Matcha-Cream")</f>
        <v>Alcremie-Matcha-Cream</v>
      </c>
      <c r="T8" s="63" t="str">
        <f>IFERROR(__xludf.DUMMYFUNCTION("""COMPUTED_VALUE"""),"Weavile")</f>
        <v>Weavile</v>
      </c>
      <c r="U8" s="63">
        <f>IFERROR(__xludf.DUMMYFUNCTION("""COMPUTED_VALUE"""),0.0)</f>
        <v>0</v>
      </c>
      <c r="V8" s="63">
        <f>IFERROR(__xludf.DUMMYFUNCTION("""COMPUTED_VALUE"""),0.0)</f>
        <v>0</v>
      </c>
      <c r="W8" s="63"/>
    </row>
    <row r="9">
      <c r="A9" s="17">
        <v>4.0</v>
      </c>
      <c r="B9" s="63" t="str">
        <f>'Base Data'!CX6</f>
        <v>Salamence</v>
      </c>
      <c r="C9" s="63" t="str">
        <f>'Base Data'!CY6</f>
        <v>Alcremie-Matcha-Cream</v>
      </c>
      <c r="D9" s="63" t="str">
        <f>'Base Data'!DW6</f>
        <v>Loss</v>
      </c>
      <c r="F9" s="170" t="str">
        <f>'Team Info From Paste'!C2</f>
        <v>Alcremie-Matcha-Cream</v>
      </c>
      <c r="G9" s="170" t="str">
        <f>'Team Info From Paste'!C6</f>
        <v>Exeggutor-Alola</v>
      </c>
      <c r="H9" s="63">
        <f>IFERROR(__xludf.DUMMYFUNCTION("COUNT(QUERY(PlayerLeadTable, ""SELECT * WHERE (Col2 = '""&amp;F9&amp;""' OR Col3 = '""&amp;F9&amp;""') AND
(Col2 = '""&amp;G9&amp;""' OR Col3 = '""&amp;G9&amp;""')""))"),0.0)</f>
        <v>0</v>
      </c>
      <c r="I9" s="63">
        <f>IFERROR(__xludf.DUMMYFUNCTION("COUNT(QUERY(PlayerLeadTable, ""SELECT * WHERE ((Col2 = '""&amp;F9&amp;""' OR Col3 = '""&amp;F9&amp;""') AND
(Col2 = '""&amp;G9&amp;""' OR Col3 = '""&amp;G9&amp;""')) AND Col4 = 'Win'""))"),0.0)</f>
        <v>0</v>
      </c>
      <c r="J9" s="63" t="str">
        <f t="shared" si="1"/>
        <v/>
      </c>
      <c r="L9" s="63" t="str">
        <f>IFERROR(__xludf.DUMMYFUNCTION("""COMPUTED_VALUE"""),"Alcremie-Matcha-Cream")</f>
        <v>Alcremie-Matcha-Cream</v>
      </c>
      <c r="M9" s="63" t="str">
        <f>IFERROR(__xludf.DUMMYFUNCTION("""COMPUTED_VALUE"""),"Gholdengo")</f>
        <v>Gholdengo</v>
      </c>
      <c r="N9" s="63">
        <f>IFERROR(__xludf.DUMMYFUNCTION("""COMPUTED_VALUE"""),0.0)</f>
        <v>0</v>
      </c>
      <c r="O9" s="63">
        <f>IFERROR(__xludf.DUMMYFUNCTION("""COMPUTED_VALUE"""),0.0)</f>
        <v>0</v>
      </c>
      <c r="P9" s="63"/>
      <c r="S9" s="63" t="str">
        <f>IFERROR(__xludf.DUMMYFUNCTION("""COMPUTED_VALUE"""),"Alcremie-Matcha-Cream")</f>
        <v>Alcremie-Matcha-Cream</v>
      </c>
      <c r="T9" s="63" t="str">
        <f>IFERROR(__xludf.DUMMYFUNCTION("""COMPUTED_VALUE"""),"Gholdengo")</f>
        <v>Gholdengo</v>
      </c>
      <c r="U9" s="63">
        <f>IFERROR(__xludf.DUMMYFUNCTION("""COMPUTED_VALUE"""),0.0)</f>
        <v>0</v>
      </c>
      <c r="V9" s="63">
        <f>IFERROR(__xludf.DUMMYFUNCTION("""COMPUTED_VALUE"""),0.0)</f>
        <v>0</v>
      </c>
      <c r="W9" s="63"/>
    </row>
    <row r="10">
      <c r="A10" s="17">
        <v>5.0</v>
      </c>
      <c r="B10" s="63" t="str">
        <f>'Base Data'!CX7</f>
        <v/>
      </c>
      <c r="C10" s="63" t="str">
        <f>'Base Data'!CY7</f>
        <v/>
      </c>
      <c r="D10" s="63" t="str">
        <f>'Base Data'!DW7</f>
        <v/>
      </c>
      <c r="F10" s="170" t="str">
        <f>'Team Info From Paste'!C2</f>
        <v>Alcremie-Matcha-Cream</v>
      </c>
      <c r="G10" s="170" t="str">
        <f>'Team Info From Paste'!C7</f>
        <v>Salamence</v>
      </c>
      <c r="H10" s="63">
        <f>IFERROR(__xludf.DUMMYFUNCTION("COUNT(QUERY(PlayerLeadTable, ""SELECT * WHERE (Col2 = '""&amp;F10&amp;""' OR Col3 = '""&amp;F10&amp;""') AND
(Col2 = '""&amp;G10&amp;""' OR Col3 = '""&amp;G10&amp;""')""))"),2.0)</f>
        <v>2</v>
      </c>
      <c r="I10" s="63">
        <f>IFERROR(__xludf.DUMMYFUNCTION("COUNT(QUERY(PlayerLeadTable, ""SELECT * WHERE ((Col2 = '""&amp;F10&amp;""' OR Col3 = '""&amp;F10&amp;""') AND
(Col2 = '""&amp;G10&amp;""' OR Col3 = '""&amp;G10&amp;""')) AND Col4 = 'Win'""))"),0.0)</f>
        <v>0</v>
      </c>
      <c r="J10" s="63">
        <f t="shared" si="1"/>
        <v>0</v>
      </c>
      <c r="L10" s="63" t="str">
        <f>IFERROR(__xludf.DUMMYFUNCTION("""COMPUTED_VALUE"""),"Alcremie-Matcha-Cream")</f>
        <v>Alcremie-Matcha-Cream</v>
      </c>
      <c r="M10" s="63" t="str">
        <f>IFERROR(__xludf.DUMMYFUNCTION("""COMPUTED_VALUE"""),"Exeggutor-Alola")</f>
        <v>Exeggutor-Alola</v>
      </c>
      <c r="N10" s="63">
        <f>IFERROR(__xludf.DUMMYFUNCTION("""COMPUTED_VALUE"""),0.0)</f>
        <v>0</v>
      </c>
      <c r="O10" s="63">
        <f>IFERROR(__xludf.DUMMYFUNCTION("""COMPUTED_VALUE"""),0.0)</f>
        <v>0</v>
      </c>
      <c r="P10" s="63"/>
      <c r="S10" s="63" t="str">
        <f>IFERROR(__xludf.DUMMYFUNCTION("""COMPUTED_VALUE"""),"Alcremie-Matcha-Cream")</f>
        <v>Alcremie-Matcha-Cream</v>
      </c>
      <c r="T10" s="63" t="str">
        <f>IFERROR(__xludf.DUMMYFUNCTION("""COMPUTED_VALUE"""),"Exeggutor-Alola")</f>
        <v>Exeggutor-Alola</v>
      </c>
      <c r="U10" s="63">
        <f>IFERROR(__xludf.DUMMYFUNCTION("""COMPUTED_VALUE"""),0.0)</f>
        <v>0</v>
      </c>
      <c r="V10" s="63">
        <f>IFERROR(__xludf.DUMMYFUNCTION("""COMPUTED_VALUE"""),0.0)</f>
        <v>0</v>
      </c>
      <c r="W10" s="63"/>
    </row>
    <row r="11">
      <c r="A11" s="17">
        <v>6.0</v>
      </c>
      <c r="B11" s="63" t="str">
        <f>'Base Data'!CX8</f>
        <v/>
      </c>
      <c r="C11" s="63" t="str">
        <f>'Base Data'!CY8</f>
        <v/>
      </c>
      <c r="D11" s="63" t="str">
        <f>'Base Data'!DW8</f>
        <v/>
      </c>
      <c r="F11" s="170" t="str">
        <f>'Team Info From Paste'!C3</f>
        <v>Weavile</v>
      </c>
      <c r="G11" s="170" t="str">
        <f>'Team Info From Paste'!C4</f>
        <v>Skeledirge</v>
      </c>
      <c r="H11" s="63">
        <f>IFERROR(__xludf.DUMMYFUNCTION("COUNT(QUERY(PlayerLeadTable, ""SELECT * WHERE (Col2 = '""&amp;F11&amp;""' OR Col3 = '""&amp;F11&amp;""') AND
(Col2 = '""&amp;G11&amp;""' OR Col3 = '""&amp;G11&amp;""')""))"),0.0)</f>
        <v>0</v>
      </c>
      <c r="I11" s="63">
        <f>IFERROR(__xludf.DUMMYFUNCTION("COUNT(QUERY(PlayerLeadTable, ""SELECT * WHERE ((Col2 = '""&amp;F11&amp;""' OR Col3 = '""&amp;F11&amp;""') AND
(Col2 = '""&amp;G11&amp;""' OR Col3 = '""&amp;G11&amp;""')) AND Col4 = 'Win'""))"),0.0)</f>
        <v>0</v>
      </c>
      <c r="J11" s="63" t="str">
        <f t="shared" si="1"/>
        <v/>
      </c>
      <c r="L11" s="63" t="str">
        <f>IFERROR(__xludf.DUMMYFUNCTION("""COMPUTED_VALUE"""),"Weavile")</f>
        <v>Weavile</v>
      </c>
      <c r="M11" s="63" t="str">
        <f>IFERROR(__xludf.DUMMYFUNCTION("""COMPUTED_VALUE"""),"Skeledirge")</f>
        <v>Skeledirge</v>
      </c>
      <c r="N11" s="63">
        <f>IFERROR(__xludf.DUMMYFUNCTION("""COMPUTED_VALUE"""),0.0)</f>
        <v>0</v>
      </c>
      <c r="O11" s="63">
        <f>IFERROR(__xludf.DUMMYFUNCTION("""COMPUTED_VALUE"""),0.0)</f>
        <v>0</v>
      </c>
      <c r="P11" s="63"/>
      <c r="S11" s="63" t="str">
        <f>IFERROR(__xludf.DUMMYFUNCTION("""COMPUTED_VALUE"""),"Weavile")</f>
        <v>Weavile</v>
      </c>
      <c r="T11" s="63" t="str">
        <f>IFERROR(__xludf.DUMMYFUNCTION("""COMPUTED_VALUE"""),"Skeledirge")</f>
        <v>Skeledirge</v>
      </c>
      <c r="U11" s="63">
        <f>IFERROR(__xludf.DUMMYFUNCTION("""COMPUTED_VALUE"""),0.0)</f>
        <v>0</v>
      </c>
      <c r="V11" s="63">
        <f>IFERROR(__xludf.DUMMYFUNCTION("""COMPUTED_VALUE"""),0.0)</f>
        <v>0</v>
      </c>
      <c r="W11" s="63"/>
    </row>
    <row r="12">
      <c r="A12" s="17">
        <v>7.0</v>
      </c>
      <c r="B12" s="63" t="str">
        <f>'Base Data'!CX9</f>
        <v/>
      </c>
      <c r="C12" s="63" t="str">
        <f>'Base Data'!CY9</f>
        <v/>
      </c>
      <c r="D12" s="63" t="str">
        <f>'Base Data'!DW9</f>
        <v/>
      </c>
      <c r="F12" s="170" t="str">
        <f>'Team Info From Paste'!C3</f>
        <v>Weavile</v>
      </c>
      <c r="G12" s="170" t="str">
        <f>'Team Info From Paste'!C5</f>
        <v>Gholdengo</v>
      </c>
      <c r="H12" s="63">
        <f>IFERROR(__xludf.DUMMYFUNCTION("COUNT(QUERY(PlayerLeadTable, ""SELECT * WHERE (Col2 = '""&amp;F12&amp;""' OR Col3 = '""&amp;F12&amp;""') AND
(Col2 = '""&amp;G12&amp;""' OR Col3 = '""&amp;G12&amp;""')""))"),0.0)</f>
        <v>0</v>
      </c>
      <c r="I12" s="63">
        <f>IFERROR(__xludf.DUMMYFUNCTION("COUNT(QUERY(PlayerLeadTable, ""SELECT * WHERE ((Col2 = '""&amp;F12&amp;""' OR Col3 = '""&amp;F12&amp;""') AND
(Col2 = '""&amp;G12&amp;""' OR Col3 = '""&amp;G12&amp;""')) AND Col4 = 'Win'""))"),0.0)</f>
        <v>0</v>
      </c>
      <c r="J12" s="63" t="str">
        <f t="shared" si="1"/>
        <v/>
      </c>
      <c r="L12" s="63" t="str">
        <f>IFERROR(__xludf.DUMMYFUNCTION("""COMPUTED_VALUE"""),"Weavile")</f>
        <v>Weavile</v>
      </c>
      <c r="M12" s="63" t="str">
        <f>IFERROR(__xludf.DUMMYFUNCTION("""COMPUTED_VALUE"""),"Gholdengo")</f>
        <v>Gholdengo</v>
      </c>
      <c r="N12" s="63">
        <f>IFERROR(__xludf.DUMMYFUNCTION("""COMPUTED_VALUE"""),0.0)</f>
        <v>0</v>
      </c>
      <c r="O12" s="63">
        <f>IFERROR(__xludf.DUMMYFUNCTION("""COMPUTED_VALUE"""),0.0)</f>
        <v>0</v>
      </c>
      <c r="P12" s="63"/>
      <c r="S12" s="63" t="str">
        <f>IFERROR(__xludf.DUMMYFUNCTION("""COMPUTED_VALUE"""),"Weavile")</f>
        <v>Weavile</v>
      </c>
      <c r="T12" s="63" t="str">
        <f>IFERROR(__xludf.DUMMYFUNCTION("""COMPUTED_VALUE"""),"Gholdengo")</f>
        <v>Gholdengo</v>
      </c>
      <c r="U12" s="63">
        <f>IFERROR(__xludf.DUMMYFUNCTION("""COMPUTED_VALUE"""),0.0)</f>
        <v>0</v>
      </c>
      <c r="V12" s="63">
        <f>IFERROR(__xludf.DUMMYFUNCTION("""COMPUTED_VALUE"""),0.0)</f>
        <v>0</v>
      </c>
      <c r="W12" s="63"/>
    </row>
    <row r="13">
      <c r="A13" s="17">
        <v>8.0</v>
      </c>
      <c r="B13" s="63" t="str">
        <f>'Base Data'!CX10</f>
        <v/>
      </c>
      <c r="C13" s="63" t="str">
        <f>'Base Data'!CY10</f>
        <v/>
      </c>
      <c r="D13" s="63" t="str">
        <f>'Base Data'!DW10</f>
        <v/>
      </c>
      <c r="F13" s="170" t="str">
        <f>'Team Info From Paste'!C3</f>
        <v>Weavile</v>
      </c>
      <c r="G13" s="170" t="str">
        <f>'Team Info From Paste'!C6</f>
        <v>Exeggutor-Alola</v>
      </c>
      <c r="H13" s="63">
        <f>IFERROR(__xludf.DUMMYFUNCTION("COUNT(QUERY(PlayerLeadTable, ""SELECT * WHERE (Col2 = '""&amp;F13&amp;""' OR Col3 = '""&amp;F13&amp;""') AND
(Col2 = '""&amp;G13&amp;""' OR Col3 = '""&amp;G13&amp;""')""))"),0.0)</f>
        <v>0</v>
      </c>
      <c r="I13" s="63">
        <f>IFERROR(__xludf.DUMMYFUNCTION("COUNT(QUERY(PlayerLeadTable, ""SELECT * WHERE ((Col2 = '""&amp;F13&amp;""' OR Col3 = '""&amp;F13&amp;""') AND
(Col2 = '""&amp;G13&amp;""' OR Col3 = '""&amp;G13&amp;""')) AND Col4 = 'Win'""))"),0.0)</f>
        <v>0</v>
      </c>
      <c r="J13" s="63" t="str">
        <f t="shared" si="1"/>
        <v/>
      </c>
      <c r="L13" s="63" t="str">
        <f>IFERROR(__xludf.DUMMYFUNCTION("""COMPUTED_VALUE"""),"Weavile")</f>
        <v>Weavile</v>
      </c>
      <c r="M13" s="63" t="str">
        <f>IFERROR(__xludf.DUMMYFUNCTION("""COMPUTED_VALUE"""),"Exeggutor-Alola")</f>
        <v>Exeggutor-Alola</v>
      </c>
      <c r="N13" s="63">
        <f>IFERROR(__xludf.DUMMYFUNCTION("""COMPUTED_VALUE"""),0.0)</f>
        <v>0</v>
      </c>
      <c r="O13" s="63">
        <f>IFERROR(__xludf.DUMMYFUNCTION("""COMPUTED_VALUE"""),0.0)</f>
        <v>0</v>
      </c>
      <c r="P13" s="63"/>
      <c r="S13" s="63" t="str">
        <f>IFERROR(__xludf.DUMMYFUNCTION("""COMPUTED_VALUE"""),"Weavile")</f>
        <v>Weavile</v>
      </c>
      <c r="T13" s="63" t="str">
        <f>IFERROR(__xludf.DUMMYFUNCTION("""COMPUTED_VALUE"""),"Exeggutor-Alola")</f>
        <v>Exeggutor-Alola</v>
      </c>
      <c r="U13" s="63">
        <f>IFERROR(__xludf.DUMMYFUNCTION("""COMPUTED_VALUE"""),0.0)</f>
        <v>0</v>
      </c>
      <c r="V13" s="63">
        <f>IFERROR(__xludf.DUMMYFUNCTION("""COMPUTED_VALUE"""),0.0)</f>
        <v>0</v>
      </c>
      <c r="W13" s="63"/>
    </row>
    <row r="14">
      <c r="A14" s="17">
        <v>9.0</v>
      </c>
      <c r="B14" s="63" t="str">
        <f>'Base Data'!CX11</f>
        <v/>
      </c>
      <c r="C14" s="63" t="str">
        <f>'Base Data'!CY11</f>
        <v/>
      </c>
      <c r="D14" s="63" t="str">
        <f>'Base Data'!DW11</f>
        <v/>
      </c>
      <c r="F14" s="170" t="str">
        <f>'Team Info From Paste'!C3</f>
        <v>Weavile</v>
      </c>
      <c r="G14" s="170" t="str">
        <f>'Team Info From Paste'!C7</f>
        <v>Salamence</v>
      </c>
      <c r="H14" s="63">
        <f>IFERROR(__xludf.DUMMYFUNCTION("COUNT(QUERY(PlayerLeadTable, ""SELECT * WHERE (Col2 = '""&amp;F14&amp;""' OR Col3 = '""&amp;F14&amp;""') AND
(Col2 = '""&amp;G14&amp;""' OR Col3 = '""&amp;G14&amp;""')""))"),0.0)</f>
        <v>0</v>
      </c>
      <c r="I14" s="63">
        <f>IFERROR(__xludf.DUMMYFUNCTION("COUNT(QUERY(PlayerLeadTable, ""SELECT * WHERE ((Col2 = '""&amp;F14&amp;""' OR Col3 = '""&amp;F14&amp;""') AND
(Col2 = '""&amp;G14&amp;""' OR Col3 = '""&amp;G14&amp;""')) AND Col4 = 'Win'""))"),0.0)</f>
        <v>0</v>
      </c>
      <c r="J14" s="63" t="str">
        <f t="shared" si="1"/>
        <v/>
      </c>
      <c r="L14" s="63" t="str">
        <f>IFERROR(__xludf.DUMMYFUNCTION("""COMPUTED_VALUE"""),"Weavile")</f>
        <v>Weavile</v>
      </c>
      <c r="M14" s="63" t="str">
        <f>IFERROR(__xludf.DUMMYFUNCTION("""COMPUTED_VALUE"""),"Salamence")</f>
        <v>Salamence</v>
      </c>
      <c r="N14" s="63">
        <f>IFERROR(__xludf.DUMMYFUNCTION("""COMPUTED_VALUE"""),0.0)</f>
        <v>0</v>
      </c>
      <c r="O14" s="63">
        <f>IFERROR(__xludf.DUMMYFUNCTION("""COMPUTED_VALUE"""),0.0)</f>
        <v>0</v>
      </c>
      <c r="P14" s="63"/>
      <c r="S14" s="63" t="str">
        <f>IFERROR(__xludf.DUMMYFUNCTION("""COMPUTED_VALUE"""),"Weavile")</f>
        <v>Weavile</v>
      </c>
      <c r="T14" s="63" t="str">
        <f>IFERROR(__xludf.DUMMYFUNCTION("""COMPUTED_VALUE"""),"Salamence")</f>
        <v>Salamence</v>
      </c>
      <c r="U14" s="63">
        <f>IFERROR(__xludf.DUMMYFUNCTION("""COMPUTED_VALUE"""),0.0)</f>
        <v>0</v>
      </c>
      <c r="V14" s="63">
        <f>IFERROR(__xludf.DUMMYFUNCTION("""COMPUTED_VALUE"""),0.0)</f>
        <v>0</v>
      </c>
      <c r="W14" s="63"/>
    </row>
    <row r="15">
      <c r="A15" s="17">
        <v>10.0</v>
      </c>
      <c r="B15" s="63" t="str">
        <f>'Base Data'!CX12</f>
        <v/>
      </c>
      <c r="C15" s="63" t="str">
        <f>'Base Data'!CY12</f>
        <v/>
      </c>
      <c r="D15" s="63" t="str">
        <f>'Base Data'!DW12</f>
        <v/>
      </c>
      <c r="F15" s="170" t="str">
        <f>'Team Info From Paste'!C4</f>
        <v>Skeledirge</v>
      </c>
      <c r="G15" s="170" t="str">
        <f>'Team Info From Paste'!C5</f>
        <v>Gholdengo</v>
      </c>
      <c r="H15" s="63">
        <f>IFERROR(__xludf.DUMMYFUNCTION("COUNT(QUERY(PlayerLeadTable, ""SELECT * WHERE (Col2 = '""&amp;F15&amp;""' OR Col3 = '""&amp;F15&amp;""') AND
(Col2 = '""&amp;G15&amp;""' OR Col3 = '""&amp;G15&amp;""')""))"),0.0)</f>
        <v>0</v>
      </c>
      <c r="I15" s="63">
        <f>IFERROR(__xludf.DUMMYFUNCTION("COUNT(QUERY(PlayerLeadTable, ""SELECT * WHERE ((Col2 = '""&amp;F15&amp;""' OR Col3 = '""&amp;F15&amp;""') AND
(Col2 = '""&amp;G15&amp;""' OR Col3 = '""&amp;G15&amp;""')) AND Col4 = 'Win'""))"),0.0)</f>
        <v>0</v>
      </c>
      <c r="J15" s="63" t="str">
        <f t="shared" si="1"/>
        <v/>
      </c>
      <c r="L15" s="63" t="str">
        <f>IFERROR(__xludf.DUMMYFUNCTION("""COMPUTED_VALUE"""),"Skeledirge")</f>
        <v>Skeledirge</v>
      </c>
      <c r="M15" s="63" t="str">
        <f>IFERROR(__xludf.DUMMYFUNCTION("""COMPUTED_VALUE"""),"Gholdengo")</f>
        <v>Gholdengo</v>
      </c>
      <c r="N15" s="63">
        <f>IFERROR(__xludf.DUMMYFUNCTION("""COMPUTED_VALUE"""),0.0)</f>
        <v>0</v>
      </c>
      <c r="O15" s="63">
        <f>IFERROR(__xludf.DUMMYFUNCTION("""COMPUTED_VALUE"""),0.0)</f>
        <v>0</v>
      </c>
      <c r="P15" s="63"/>
      <c r="S15" s="63" t="str">
        <f>IFERROR(__xludf.DUMMYFUNCTION("""COMPUTED_VALUE"""),"Skeledirge")</f>
        <v>Skeledirge</v>
      </c>
      <c r="T15" s="63" t="str">
        <f>IFERROR(__xludf.DUMMYFUNCTION("""COMPUTED_VALUE"""),"Gholdengo")</f>
        <v>Gholdengo</v>
      </c>
      <c r="U15" s="63">
        <f>IFERROR(__xludf.DUMMYFUNCTION("""COMPUTED_VALUE"""),0.0)</f>
        <v>0</v>
      </c>
      <c r="V15" s="63">
        <f>IFERROR(__xludf.DUMMYFUNCTION("""COMPUTED_VALUE"""),0.0)</f>
        <v>0</v>
      </c>
      <c r="W15" s="63"/>
    </row>
    <row r="16">
      <c r="A16" s="17">
        <v>11.0</v>
      </c>
      <c r="B16" s="63" t="str">
        <f>'Base Data'!CX13</f>
        <v/>
      </c>
      <c r="C16" s="63" t="str">
        <f>'Base Data'!CY13</f>
        <v/>
      </c>
      <c r="D16" s="63" t="str">
        <f>'Base Data'!DW13</f>
        <v/>
      </c>
      <c r="F16" s="170" t="str">
        <f>'Team Info From Paste'!C4</f>
        <v>Skeledirge</v>
      </c>
      <c r="G16" s="170" t="str">
        <f>'Team Info From Paste'!C6</f>
        <v>Exeggutor-Alola</v>
      </c>
      <c r="H16" s="63">
        <f>IFERROR(__xludf.DUMMYFUNCTION("COUNT(QUERY(PlayerLeadTable, ""SELECT * WHERE (Col2 = '""&amp;F16&amp;""' OR Col3 = '""&amp;F16&amp;""') AND
(Col2 = '""&amp;G16&amp;""' OR Col3 = '""&amp;G16&amp;""')""))"),0.0)</f>
        <v>0</v>
      </c>
      <c r="I16" s="63">
        <f>IFERROR(__xludf.DUMMYFUNCTION("COUNT(QUERY(PlayerLeadTable, ""SELECT * WHERE ((Col2 = '""&amp;F16&amp;""' OR Col3 = '""&amp;F16&amp;""') AND
(Col2 = '""&amp;G16&amp;""' OR Col3 = '""&amp;G16&amp;""')) AND Col4 = 'Win'""))"),0.0)</f>
        <v>0</v>
      </c>
      <c r="J16" s="63" t="str">
        <f t="shared" si="1"/>
        <v/>
      </c>
      <c r="L16" s="63" t="str">
        <f>IFERROR(__xludf.DUMMYFUNCTION("""COMPUTED_VALUE"""),"Skeledirge")</f>
        <v>Skeledirge</v>
      </c>
      <c r="M16" s="63" t="str">
        <f>IFERROR(__xludf.DUMMYFUNCTION("""COMPUTED_VALUE"""),"Exeggutor-Alola")</f>
        <v>Exeggutor-Alola</v>
      </c>
      <c r="N16" s="63">
        <f>IFERROR(__xludf.DUMMYFUNCTION("""COMPUTED_VALUE"""),0.0)</f>
        <v>0</v>
      </c>
      <c r="O16" s="63">
        <f>IFERROR(__xludf.DUMMYFUNCTION("""COMPUTED_VALUE"""),0.0)</f>
        <v>0</v>
      </c>
      <c r="P16" s="63"/>
      <c r="S16" s="63" t="str">
        <f>IFERROR(__xludf.DUMMYFUNCTION("""COMPUTED_VALUE"""),"Skeledirge")</f>
        <v>Skeledirge</v>
      </c>
      <c r="T16" s="63" t="str">
        <f>IFERROR(__xludf.DUMMYFUNCTION("""COMPUTED_VALUE"""),"Exeggutor-Alola")</f>
        <v>Exeggutor-Alola</v>
      </c>
      <c r="U16" s="63">
        <f>IFERROR(__xludf.DUMMYFUNCTION("""COMPUTED_VALUE"""),0.0)</f>
        <v>0</v>
      </c>
      <c r="V16" s="63">
        <f>IFERROR(__xludf.DUMMYFUNCTION("""COMPUTED_VALUE"""),0.0)</f>
        <v>0</v>
      </c>
      <c r="W16" s="63"/>
    </row>
    <row r="17">
      <c r="A17" s="17">
        <v>12.0</v>
      </c>
      <c r="B17" s="63" t="str">
        <f>'Base Data'!CX14</f>
        <v/>
      </c>
      <c r="C17" s="63" t="str">
        <f>'Base Data'!CY14</f>
        <v/>
      </c>
      <c r="D17" s="63" t="str">
        <f>'Base Data'!DW14</f>
        <v/>
      </c>
      <c r="F17" s="170" t="str">
        <f>'Team Info From Paste'!C4</f>
        <v>Skeledirge</v>
      </c>
      <c r="G17" s="170" t="str">
        <f>'Team Info From Paste'!C7</f>
        <v>Salamence</v>
      </c>
      <c r="H17" s="63">
        <f>IFERROR(__xludf.DUMMYFUNCTION("COUNT(QUERY(PlayerLeadTable, ""SELECT * WHERE (Col2 = '""&amp;F17&amp;""' OR Col3 = '""&amp;F17&amp;""') AND
(Col2 = '""&amp;G17&amp;""' OR Col3 = '""&amp;G17&amp;""')""))"),0.0)</f>
        <v>0</v>
      </c>
      <c r="I17" s="63">
        <f>IFERROR(__xludf.DUMMYFUNCTION("COUNT(QUERY(PlayerLeadTable, ""SELECT * WHERE ((Col2 = '""&amp;F17&amp;""' OR Col3 = '""&amp;F17&amp;""') AND
(Col2 = '""&amp;G17&amp;""' OR Col3 = '""&amp;G17&amp;""')) AND Col4 = 'Win'""))"),0.0)</f>
        <v>0</v>
      </c>
      <c r="J17" s="63" t="str">
        <f t="shared" si="1"/>
        <v/>
      </c>
      <c r="L17" s="63" t="str">
        <f>IFERROR(__xludf.DUMMYFUNCTION("""COMPUTED_VALUE"""),"Skeledirge")</f>
        <v>Skeledirge</v>
      </c>
      <c r="M17" s="63" t="str">
        <f>IFERROR(__xludf.DUMMYFUNCTION("""COMPUTED_VALUE"""),"Salamence")</f>
        <v>Salamence</v>
      </c>
      <c r="N17" s="63">
        <f>IFERROR(__xludf.DUMMYFUNCTION("""COMPUTED_VALUE"""),0.0)</f>
        <v>0</v>
      </c>
      <c r="O17" s="63">
        <f>IFERROR(__xludf.DUMMYFUNCTION("""COMPUTED_VALUE"""),0.0)</f>
        <v>0</v>
      </c>
      <c r="P17" s="63"/>
      <c r="S17" s="63" t="str">
        <f>IFERROR(__xludf.DUMMYFUNCTION("""COMPUTED_VALUE"""),"Skeledirge")</f>
        <v>Skeledirge</v>
      </c>
      <c r="T17" s="63" t="str">
        <f>IFERROR(__xludf.DUMMYFUNCTION("""COMPUTED_VALUE"""),"Salamence")</f>
        <v>Salamence</v>
      </c>
      <c r="U17" s="63">
        <f>IFERROR(__xludf.DUMMYFUNCTION("""COMPUTED_VALUE"""),0.0)</f>
        <v>0</v>
      </c>
      <c r="V17" s="63">
        <f>IFERROR(__xludf.DUMMYFUNCTION("""COMPUTED_VALUE"""),0.0)</f>
        <v>0</v>
      </c>
      <c r="W17" s="63"/>
    </row>
    <row r="18">
      <c r="A18" s="17">
        <v>13.0</v>
      </c>
      <c r="B18" s="63" t="str">
        <f>'Base Data'!CX15</f>
        <v/>
      </c>
      <c r="C18" s="63" t="str">
        <f>'Base Data'!CY15</f>
        <v/>
      </c>
      <c r="D18" s="63" t="str">
        <f>'Base Data'!DW15</f>
        <v/>
      </c>
      <c r="F18" s="170" t="str">
        <f>'Team Info From Paste'!C5</f>
        <v>Gholdengo</v>
      </c>
      <c r="G18" s="170" t="str">
        <f>'Team Info From Paste'!C6</f>
        <v>Exeggutor-Alola</v>
      </c>
      <c r="H18" s="63">
        <f>IFERROR(__xludf.DUMMYFUNCTION("COUNT(QUERY(PlayerLeadTable, ""SELECT * WHERE (Col2 = '""&amp;F18&amp;""' OR Col3 = '""&amp;F18&amp;""') AND
(Col2 = '""&amp;G18&amp;""' OR Col3 = '""&amp;G18&amp;""')""))"),0.0)</f>
        <v>0</v>
      </c>
      <c r="I18" s="63">
        <f>IFERROR(__xludf.DUMMYFUNCTION("COUNT(QUERY(PlayerLeadTable, ""SELECT * WHERE ((Col2 = '""&amp;F18&amp;""' OR Col3 = '""&amp;F18&amp;""') AND
(Col2 = '""&amp;G18&amp;""' OR Col3 = '""&amp;G18&amp;""')) AND Col4 = 'Win'""))"),0.0)</f>
        <v>0</v>
      </c>
      <c r="J18" s="63" t="str">
        <f t="shared" si="1"/>
        <v/>
      </c>
      <c r="L18" s="63" t="str">
        <f>IFERROR(__xludf.DUMMYFUNCTION("""COMPUTED_VALUE"""),"Gholdengo")</f>
        <v>Gholdengo</v>
      </c>
      <c r="M18" s="63" t="str">
        <f>IFERROR(__xludf.DUMMYFUNCTION("""COMPUTED_VALUE"""),"Exeggutor-Alola")</f>
        <v>Exeggutor-Alola</v>
      </c>
      <c r="N18" s="63">
        <f>IFERROR(__xludf.DUMMYFUNCTION("""COMPUTED_VALUE"""),0.0)</f>
        <v>0</v>
      </c>
      <c r="O18" s="63">
        <f>IFERROR(__xludf.DUMMYFUNCTION("""COMPUTED_VALUE"""),0.0)</f>
        <v>0</v>
      </c>
      <c r="P18" s="63"/>
      <c r="S18" s="63" t="str">
        <f>IFERROR(__xludf.DUMMYFUNCTION("""COMPUTED_VALUE"""),"Gholdengo")</f>
        <v>Gholdengo</v>
      </c>
      <c r="T18" s="63" t="str">
        <f>IFERROR(__xludf.DUMMYFUNCTION("""COMPUTED_VALUE"""),"Exeggutor-Alola")</f>
        <v>Exeggutor-Alola</v>
      </c>
      <c r="U18" s="63">
        <f>IFERROR(__xludf.DUMMYFUNCTION("""COMPUTED_VALUE"""),0.0)</f>
        <v>0</v>
      </c>
      <c r="V18" s="63">
        <f>IFERROR(__xludf.DUMMYFUNCTION("""COMPUTED_VALUE"""),0.0)</f>
        <v>0</v>
      </c>
      <c r="W18" s="63"/>
    </row>
    <row r="19">
      <c r="A19" s="17">
        <v>14.0</v>
      </c>
      <c r="B19" s="63" t="str">
        <f>'Base Data'!CX16</f>
        <v/>
      </c>
      <c r="C19" s="63" t="str">
        <f>'Base Data'!CY16</f>
        <v/>
      </c>
      <c r="D19" s="63" t="str">
        <f>'Base Data'!DW16</f>
        <v/>
      </c>
      <c r="F19" s="170" t="str">
        <f>'Team Info From Paste'!C5</f>
        <v>Gholdengo</v>
      </c>
      <c r="G19" s="170" t="str">
        <f>'Team Info From Paste'!C7</f>
        <v>Salamence</v>
      </c>
      <c r="H19" s="63">
        <f>IFERROR(__xludf.DUMMYFUNCTION("COUNT(QUERY(PlayerLeadTable, ""SELECT * WHERE (Col2 = '""&amp;F19&amp;""' OR Col3 = '""&amp;F19&amp;""') AND
(Col2 = '""&amp;G19&amp;""' OR Col3 = '""&amp;G19&amp;""')""))"),0.0)</f>
        <v>0</v>
      </c>
      <c r="I19" s="63">
        <f>IFERROR(__xludf.DUMMYFUNCTION("COUNT(QUERY(PlayerLeadTable, ""SELECT * WHERE ((Col2 = '""&amp;F19&amp;""' OR Col3 = '""&amp;F19&amp;""') AND
(Col2 = '""&amp;G19&amp;""' OR Col3 = '""&amp;G19&amp;""')) AND Col4 = 'Win'""))"),0.0)</f>
        <v>0</v>
      </c>
      <c r="J19" s="63" t="str">
        <f t="shared" si="1"/>
        <v/>
      </c>
      <c r="L19" s="63" t="str">
        <f>IFERROR(__xludf.DUMMYFUNCTION("""COMPUTED_VALUE"""),"Gholdengo")</f>
        <v>Gholdengo</v>
      </c>
      <c r="M19" s="63" t="str">
        <f>IFERROR(__xludf.DUMMYFUNCTION("""COMPUTED_VALUE"""),"Salamence")</f>
        <v>Salamence</v>
      </c>
      <c r="N19" s="63">
        <f>IFERROR(__xludf.DUMMYFUNCTION("""COMPUTED_VALUE"""),0.0)</f>
        <v>0</v>
      </c>
      <c r="O19" s="63">
        <f>IFERROR(__xludf.DUMMYFUNCTION("""COMPUTED_VALUE"""),0.0)</f>
        <v>0</v>
      </c>
      <c r="P19" s="63"/>
      <c r="S19" s="63" t="str">
        <f>IFERROR(__xludf.DUMMYFUNCTION("""COMPUTED_VALUE"""),"Gholdengo")</f>
        <v>Gholdengo</v>
      </c>
      <c r="T19" s="63" t="str">
        <f>IFERROR(__xludf.DUMMYFUNCTION("""COMPUTED_VALUE"""),"Salamence")</f>
        <v>Salamence</v>
      </c>
      <c r="U19" s="63">
        <f>IFERROR(__xludf.DUMMYFUNCTION("""COMPUTED_VALUE"""),0.0)</f>
        <v>0</v>
      </c>
      <c r="V19" s="63">
        <f>IFERROR(__xludf.DUMMYFUNCTION("""COMPUTED_VALUE"""),0.0)</f>
        <v>0</v>
      </c>
      <c r="W19" s="63"/>
    </row>
    <row r="20">
      <c r="A20" s="17">
        <v>15.0</v>
      </c>
      <c r="B20" s="63" t="str">
        <f>'Base Data'!CX17</f>
        <v/>
      </c>
      <c r="C20" s="63" t="str">
        <f>'Base Data'!CY17</f>
        <v/>
      </c>
      <c r="D20" s="63" t="str">
        <f>'Base Data'!DW17</f>
        <v/>
      </c>
      <c r="F20" s="170" t="str">
        <f>'Team Info From Paste'!C6</f>
        <v>Exeggutor-Alola</v>
      </c>
      <c r="G20" s="170" t="str">
        <f>'Team Info From Paste'!C7</f>
        <v>Salamence</v>
      </c>
      <c r="H20" s="63">
        <f>IFERROR(__xludf.DUMMYFUNCTION("COUNT(QUERY(PlayerLeadTable, ""SELECT * WHERE (Col2 = '""&amp;F20&amp;""' OR Col3 = '""&amp;F20&amp;""') AND
(Col2 = '""&amp;G20&amp;""' OR Col3 = '""&amp;G20&amp;""')""))"),0.0)</f>
        <v>0</v>
      </c>
      <c r="I20" s="63">
        <f>IFERROR(__xludf.DUMMYFUNCTION("COUNT(QUERY(PlayerLeadTable, ""SELECT * WHERE ((Col2 = '""&amp;F20&amp;""' OR Col3 = '""&amp;F20&amp;""') AND
(Col2 = '""&amp;G20&amp;""' OR Col3 = '""&amp;G20&amp;""')) AND Col4 = 'Win'""))"),0.0)</f>
        <v>0</v>
      </c>
      <c r="J20" s="63" t="str">
        <f t="shared" si="1"/>
        <v/>
      </c>
      <c r="L20" s="63" t="str">
        <f>IFERROR(__xludf.DUMMYFUNCTION("""COMPUTED_VALUE"""),"Exeggutor-Alola")</f>
        <v>Exeggutor-Alola</v>
      </c>
      <c r="M20" s="63" t="str">
        <f>IFERROR(__xludf.DUMMYFUNCTION("""COMPUTED_VALUE"""),"Salamence")</f>
        <v>Salamence</v>
      </c>
      <c r="N20" s="63">
        <f>IFERROR(__xludf.DUMMYFUNCTION("""COMPUTED_VALUE"""),0.0)</f>
        <v>0</v>
      </c>
      <c r="O20" s="63">
        <f>IFERROR(__xludf.DUMMYFUNCTION("""COMPUTED_VALUE"""),0.0)</f>
        <v>0</v>
      </c>
      <c r="P20" s="63"/>
      <c r="S20" s="63" t="str">
        <f>IFERROR(__xludf.DUMMYFUNCTION("""COMPUTED_VALUE"""),"Exeggutor-Alola")</f>
        <v>Exeggutor-Alola</v>
      </c>
      <c r="T20" s="63" t="str">
        <f>IFERROR(__xludf.DUMMYFUNCTION("""COMPUTED_VALUE"""),"Salamence")</f>
        <v>Salamence</v>
      </c>
      <c r="U20" s="63">
        <f>IFERROR(__xludf.DUMMYFUNCTION("""COMPUTED_VALUE"""),0.0)</f>
        <v>0</v>
      </c>
      <c r="V20" s="63">
        <f>IFERROR(__xludf.DUMMYFUNCTION("""COMPUTED_VALUE"""),0.0)</f>
        <v>0</v>
      </c>
      <c r="W20" s="63"/>
    </row>
    <row r="21">
      <c r="A21" s="17">
        <v>16.0</v>
      </c>
      <c r="B21" s="63" t="str">
        <f>'Base Data'!CX18</f>
        <v/>
      </c>
      <c r="C21" s="63" t="str">
        <f>'Base Data'!CY18</f>
        <v/>
      </c>
      <c r="D21" s="63" t="str">
        <f>'Base Data'!DW18</f>
        <v/>
      </c>
    </row>
    <row r="22">
      <c r="A22" s="17">
        <v>17.0</v>
      </c>
      <c r="B22" s="63" t="str">
        <f>'Base Data'!CX19</f>
        <v/>
      </c>
      <c r="C22" s="63" t="str">
        <f>'Base Data'!CY19</f>
        <v/>
      </c>
      <c r="D22" s="63" t="str">
        <f>'Base Data'!DW19</f>
        <v/>
      </c>
    </row>
    <row r="23">
      <c r="A23" s="17">
        <v>18.0</v>
      </c>
      <c r="B23" s="63" t="str">
        <f>'Base Data'!CX20</f>
        <v/>
      </c>
      <c r="C23" s="63" t="str">
        <f>'Base Data'!CY20</f>
        <v/>
      </c>
      <c r="D23" s="63" t="str">
        <f>'Base Data'!DW20</f>
        <v/>
      </c>
    </row>
    <row r="24">
      <c r="A24" s="17">
        <v>19.0</v>
      </c>
      <c r="B24" s="63" t="str">
        <f>'Base Data'!CX21</f>
        <v/>
      </c>
      <c r="C24" s="63" t="str">
        <f>'Base Data'!CY21</f>
        <v/>
      </c>
      <c r="D24" s="63" t="str">
        <f>'Base Data'!DW21</f>
        <v/>
      </c>
    </row>
    <row r="25">
      <c r="A25" s="17">
        <v>20.0</v>
      </c>
      <c r="B25" s="63" t="str">
        <f>'Base Data'!CX22</f>
        <v/>
      </c>
      <c r="C25" s="63" t="str">
        <f>'Base Data'!CY22</f>
        <v/>
      </c>
      <c r="D25" s="63" t="str">
        <f>'Base Data'!DW22</f>
        <v/>
      </c>
    </row>
    <row r="26">
      <c r="A26" s="17">
        <v>21.0</v>
      </c>
      <c r="B26" s="63" t="str">
        <f>'Base Data'!CX23</f>
        <v/>
      </c>
      <c r="C26" s="63" t="str">
        <f>'Base Data'!CY23</f>
        <v/>
      </c>
      <c r="D26" s="63" t="str">
        <f>'Base Data'!DW23</f>
        <v/>
      </c>
    </row>
    <row r="27">
      <c r="A27" s="17">
        <v>22.0</v>
      </c>
      <c r="B27" s="63" t="str">
        <f>'Base Data'!CX24</f>
        <v/>
      </c>
      <c r="C27" s="63" t="str">
        <f>'Base Data'!CY24</f>
        <v/>
      </c>
      <c r="D27" s="63" t="str">
        <f>'Base Data'!DW24</f>
        <v/>
      </c>
    </row>
    <row r="28">
      <c r="A28" s="17">
        <v>23.0</v>
      </c>
      <c r="B28" s="63" t="str">
        <f>'Base Data'!CX25</f>
        <v/>
      </c>
      <c r="C28" s="63" t="str">
        <f>'Base Data'!CY25</f>
        <v/>
      </c>
      <c r="D28" s="63" t="str">
        <f>'Base Data'!DW25</f>
        <v/>
      </c>
    </row>
    <row r="29">
      <c r="A29" s="17">
        <v>24.0</v>
      </c>
      <c r="B29" s="63" t="str">
        <f>'Base Data'!CX26</f>
        <v/>
      </c>
      <c r="C29" s="63" t="str">
        <f>'Base Data'!CY26</f>
        <v/>
      </c>
      <c r="D29" s="63" t="str">
        <f>'Base Data'!DW26</f>
        <v/>
      </c>
    </row>
    <row r="30">
      <c r="A30" s="17">
        <v>25.0</v>
      </c>
      <c r="B30" s="63" t="str">
        <f>'Base Data'!CX27</f>
        <v/>
      </c>
      <c r="C30" s="63" t="str">
        <f>'Base Data'!CY27</f>
        <v/>
      </c>
      <c r="D30" s="63" t="str">
        <f>'Base Data'!DW27</f>
        <v/>
      </c>
    </row>
    <row r="31">
      <c r="A31" s="17">
        <v>26.0</v>
      </c>
      <c r="B31" s="63" t="str">
        <f>'Base Data'!CX28</f>
        <v/>
      </c>
      <c r="C31" s="63" t="str">
        <f>'Base Data'!CY28</f>
        <v/>
      </c>
      <c r="D31" s="63" t="str">
        <f>'Base Data'!DW28</f>
        <v/>
      </c>
    </row>
    <row r="32">
      <c r="A32" s="17">
        <v>27.0</v>
      </c>
      <c r="B32" s="63" t="str">
        <f>'Base Data'!CX29</f>
        <v/>
      </c>
      <c r="C32" s="63" t="str">
        <f>'Base Data'!CY29</f>
        <v/>
      </c>
      <c r="D32" s="63" t="str">
        <f>'Base Data'!DW29</f>
        <v/>
      </c>
    </row>
    <row r="33">
      <c r="A33" s="17">
        <v>28.0</v>
      </c>
      <c r="B33" s="63" t="str">
        <f>'Base Data'!CX30</f>
        <v/>
      </c>
      <c r="C33" s="63" t="str">
        <f>'Base Data'!CY30</f>
        <v/>
      </c>
      <c r="D33" s="63" t="str">
        <f>'Base Data'!DW30</f>
        <v/>
      </c>
    </row>
    <row r="34">
      <c r="A34" s="17">
        <v>29.0</v>
      </c>
      <c r="B34" s="63" t="str">
        <f>'Base Data'!CX31</f>
        <v/>
      </c>
      <c r="C34" s="63" t="str">
        <f>'Base Data'!CY31</f>
        <v/>
      </c>
      <c r="D34" s="63" t="str">
        <f>'Base Data'!DW31</f>
        <v/>
      </c>
    </row>
    <row r="35">
      <c r="A35" s="17">
        <v>30.0</v>
      </c>
      <c r="B35" s="63" t="str">
        <f>'Base Data'!CX32</f>
        <v/>
      </c>
      <c r="C35" s="63" t="str">
        <f>'Base Data'!CY32</f>
        <v/>
      </c>
      <c r="D35" s="63" t="str">
        <f>'Base Data'!DW32</f>
        <v/>
      </c>
    </row>
    <row r="36">
      <c r="A36" s="17">
        <v>31.0</v>
      </c>
      <c r="B36" s="63" t="str">
        <f>'Base Data'!CX33</f>
        <v/>
      </c>
      <c r="C36" s="63" t="str">
        <f>'Base Data'!CY33</f>
        <v/>
      </c>
      <c r="D36" s="63" t="str">
        <f>'Base Data'!DW33</f>
        <v/>
      </c>
    </row>
    <row r="37">
      <c r="A37" s="17">
        <v>32.0</v>
      </c>
      <c r="B37" s="63" t="str">
        <f>'Base Data'!CX34</f>
        <v/>
      </c>
      <c r="C37" s="63" t="str">
        <f>'Base Data'!CY34</f>
        <v/>
      </c>
      <c r="D37" s="63" t="str">
        <f>'Base Data'!DW34</f>
        <v/>
      </c>
    </row>
    <row r="38">
      <c r="A38" s="17">
        <v>33.0</v>
      </c>
      <c r="B38" s="63" t="str">
        <f>'Base Data'!CX35</f>
        <v/>
      </c>
      <c r="C38" s="63" t="str">
        <f>'Base Data'!CY35</f>
        <v/>
      </c>
      <c r="D38" s="63" t="str">
        <f>'Base Data'!DW35</f>
        <v/>
      </c>
    </row>
    <row r="39">
      <c r="A39" s="17">
        <v>34.0</v>
      </c>
      <c r="B39" s="63" t="str">
        <f>'Base Data'!CX36</f>
        <v/>
      </c>
      <c r="C39" s="63" t="str">
        <f>'Base Data'!CY36</f>
        <v/>
      </c>
      <c r="D39" s="63" t="str">
        <f>'Base Data'!DW36</f>
        <v/>
      </c>
    </row>
    <row r="40">
      <c r="A40" s="17">
        <v>35.0</v>
      </c>
      <c r="B40" s="63" t="str">
        <f>'Base Data'!CX37</f>
        <v/>
      </c>
      <c r="C40" s="63" t="str">
        <f>'Base Data'!CY37</f>
        <v/>
      </c>
      <c r="D40" s="63" t="str">
        <f>'Base Data'!DW37</f>
        <v/>
      </c>
    </row>
    <row r="41">
      <c r="A41" s="17">
        <v>36.0</v>
      </c>
      <c r="B41" s="63" t="str">
        <f>'Base Data'!CX38</f>
        <v/>
      </c>
      <c r="C41" s="63" t="str">
        <f>'Base Data'!CY38</f>
        <v/>
      </c>
      <c r="D41" s="63" t="str">
        <f>'Base Data'!DW38</f>
        <v/>
      </c>
    </row>
    <row r="42">
      <c r="A42" s="17">
        <v>37.0</v>
      </c>
      <c r="B42" s="63" t="str">
        <f>'Base Data'!CX39</f>
        <v/>
      </c>
      <c r="C42" s="63" t="str">
        <f>'Base Data'!CY39</f>
        <v/>
      </c>
      <c r="D42" s="63" t="str">
        <f>'Base Data'!DW39</f>
        <v/>
      </c>
    </row>
    <row r="43">
      <c r="A43" s="17">
        <v>38.0</v>
      </c>
      <c r="B43" s="63" t="str">
        <f>'Base Data'!CX40</f>
        <v/>
      </c>
      <c r="C43" s="63" t="str">
        <f>'Base Data'!CY40</f>
        <v/>
      </c>
      <c r="D43" s="63" t="str">
        <f>'Base Data'!DW40</f>
        <v/>
      </c>
    </row>
    <row r="44">
      <c r="A44" s="17">
        <v>39.0</v>
      </c>
      <c r="B44" s="63" t="str">
        <f>'Base Data'!CX41</f>
        <v/>
      </c>
      <c r="C44" s="63" t="str">
        <f>'Base Data'!CY41</f>
        <v/>
      </c>
      <c r="D44" s="63" t="str">
        <f>'Base Data'!DW41</f>
        <v/>
      </c>
    </row>
    <row r="45">
      <c r="A45" s="17">
        <v>40.0</v>
      </c>
      <c r="B45" s="63" t="str">
        <f>'Base Data'!CX42</f>
        <v/>
      </c>
      <c r="C45" s="63" t="str">
        <f>'Base Data'!CY42</f>
        <v/>
      </c>
      <c r="D45" s="63" t="str">
        <f>'Base Data'!DW42</f>
        <v/>
      </c>
    </row>
    <row r="46">
      <c r="A46" s="17">
        <v>41.0</v>
      </c>
      <c r="B46" s="63" t="str">
        <f>'Base Data'!CX43</f>
        <v/>
      </c>
      <c r="C46" s="63" t="str">
        <f>'Base Data'!CY43</f>
        <v/>
      </c>
      <c r="D46" s="63" t="str">
        <f>'Base Data'!DW43</f>
        <v/>
      </c>
    </row>
    <row r="47">
      <c r="A47" s="17">
        <v>42.0</v>
      </c>
      <c r="B47" s="63" t="str">
        <f>'Base Data'!CX44</f>
        <v/>
      </c>
      <c r="C47" s="63" t="str">
        <f>'Base Data'!CY44</f>
        <v/>
      </c>
      <c r="D47" s="63" t="str">
        <f>'Base Data'!DW44</f>
        <v/>
      </c>
    </row>
    <row r="48">
      <c r="A48" s="17">
        <v>43.0</v>
      </c>
      <c r="B48" s="63" t="str">
        <f>'Base Data'!CX45</f>
        <v/>
      </c>
      <c r="C48" s="63" t="str">
        <f>'Base Data'!CY45</f>
        <v/>
      </c>
      <c r="D48" s="63" t="str">
        <f>'Base Data'!DW45</f>
        <v/>
      </c>
    </row>
    <row r="49">
      <c r="A49" s="17">
        <v>44.0</v>
      </c>
      <c r="B49" s="63" t="str">
        <f>'Base Data'!CX46</f>
        <v/>
      </c>
      <c r="C49" s="63" t="str">
        <f>'Base Data'!CY46</f>
        <v/>
      </c>
      <c r="D49" s="63" t="str">
        <f>'Base Data'!DW46</f>
        <v/>
      </c>
    </row>
    <row r="50">
      <c r="A50" s="17">
        <v>45.0</v>
      </c>
      <c r="B50" s="63" t="str">
        <f>'Base Data'!CX47</f>
        <v/>
      </c>
      <c r="C50" s="63" t="str">
        <f>'Base Data'!CY47</f>
        <v/>
      </c>
      <c r="D50" s="63" t="str">
        <f>'Base Data'!DW47</f>
        <v/>
      </c>
    </row>
    <row r="51">
      <c r="A51" s="17">
        <v>46.0</v>
      </c>
      <c r="B51" s="63" t="str">
        <f>'Base Data'!CX48</f>
        <v/>
      </c>
      <c r="C51" s="63" t="str">
        <f>'Base Data'!CY48</f>
        <v/>
      </c>
      <c r="D51" s="63" t="str">
        <f>'Base Data'!DW48</f>
        <v/>
      </c>
    </row>
    <row r="52">
      <c r="A52" s="17">
        <v>47.0</v>
      </c>
      <c r="B52" s="63" t="str">
        <f>'Base Data'!CX49</f>
        <v/>
      </c>
      <c r="C52" s="63" t="str">
        <f>'Base Data'!CY49</f>
        <v/>
      </c>
      <c r="D52" s="63" t="str">
        <f>'Base Data'!DW49</f>
        <v/>
      </c>
    </row>
    <row r="53">
      <c r="A53" s="17">
        <v>48.0</v>
      </c>
      <c r="B53" s="63" t="str">
        <f>'Base Data'!CX50</f>
        <v/>
      </c>
      <c r="C53" s="63" t="str">
        <f>'Base Data'!CY50</f>
        <v/>
      </c>
      <c r="D53" s="63" t="str">
        <f>'Base Data'!DW50</f>
        <v/>
      </c>
    </row>
    <row r="54">
      <c r="A54" s="17">
        <v>49.0</v>
      </c>
      <c r="B54" s="63" t="str">
        <f>'Base Data'!CX51</f>
        <v/>
      </c>
      <c r="C54" s="63" t="str">
        <f>'Base Data'!CY51</f>
        <v/>
      </c>
      <c r="D54" s="63" t="str">
        <f>'Base Data'!DW51</f>
        <v/>
      </c>
    </row>
    <row r="55">
      <c r="A55" s="17">
        <v>50.0</v>
      </c>
      <c r="B55" s="63" t="str">
        <f>'Base Data'!CX52</f>
        <v/>
      </c>
      <c r="C55" s="63" t="str">
        <f>'Base Data'!CY52</f>
        <v/>
      </c>
      <c r="D55" s="63" t="str">
        <f>'Base Data'!DW52</f>
        <v/>
      </c>
    </row>
    <row r="56">
      <c r="A56" s="17">
        <v>51.0</v>
      </c>
      <c r="B56" s="63" t="str">
        <f>'Base Data'!CX53</f>
        <v/>
      </c>
      <c r="C56" s="63" t="str">
        <f>'Base Data'!CY53</f>
        <v/>
      </c>
      <c r="D56" s="63" t="str">
        <f>'Base Data'!DW53</f>
        <v/>
      </c>
    </row>
    <row r="57">
      <c r="A57" s="17">
        <v>52.0</v>
      </c>
      <c r="B57" s="63" t="str">
        <f>'Base Data'!CX54</f>
        <v/>
      </c>
      <c r="C57" s="63" t="str">
        <f>'Base Data'!CY54</f>
        <v/>
      </c>
      <c r="D57" s="63" t="str">
        <f>'Base Data'!DW54</f>
        <v/>
      </c>
    </row>
    <row r="58">
      <c r="A58" s="17">
        <v>53.0</v>
      </c>
      <c r="B58" s="63" t="str">
        <f>'Base Data'!CX55</f>
        <v/>
      </c>
      <c r="C58" s="63" t="str">
        <f>'Base Data'!CY55</f>
        <v/>
      </c>
      <c r="D58" s="63" t="str">
        <f>'Base Data'!DW55</f>
        <v/>
      </c>
    </row>
    <row r="59">
      <c r="A59" s="17">
        <v>54.0</v>
      </c>
      <c r="B59" s="63" t="str">
        <f>'Base Data'!CX56</f>
        <v/>
      </c>
      <c r="C59" s="63" t="str">
        <f>'Base Data'!CY56</f>
        <v/>
      </c>
      <c r="D59" s="63" t="str">
        <f>'Base Data'!DW56</f>
        <v/>
      </c>
    </row>
    <row r="60">
      <c r="A60" s="17">
        <v>55.0</v>
      </c>
      <c r="B60" s="63" t="str">
        <f>'Base Data'!CX57</f>
        <v/>
      </c>
      <c r="C60" s="63" t="str">
        <f>'Base Data'!CY57</f>
        <v/>
      </c>
      <c r="D60" s="63" t="str">
        <f>'Base Data'!DW57</f>
        <v/>
      </c>
    </row>
    <row r="61">
      <c r="A61" s="17">
        <v>56.0</v>
      </c>
      <c r="B61" s="63" t="str">
        <f>'Base Data'!CX58</f>
        <v/>
      </c>
      <c r="C61" s="63" t="str">
        <f>'Base Data'!CY58</f>
        <v/>
      </c>
      <c r="D61" s="63" t="str">
        <f>'Base Data'!DW58</f>
        <v/>
      </c>
    </row>
    <row r="62">
      <c r="A62" s="17">
        <v>57.0</v>
      </c>
      <c r="B62" s="63" t="str">
        <f>'Base Data'!CX59</f>
        <v/>
      </c>
      <c r="C62" s="63" t="str">
        <f>'Base Data'!CY59</f>
        <v/>
      </c>
      <c r="D62" s="63" t="str">
        <f>'Base Data'!DW59</f>
        <v/>
      </c>
    </row>
    <row r="63">
      <c r="A63" s="17">
        <v>58.0</v>
      </c>
      <c r="B63" s="63" t="str">
        <f>'Base Data'!CX60</f>
        <v/>
      </c>
      <c r="C63" s="63" t="str">
        <f>'Base Data'!CY60</f>
        <v/>
      </c>
      <c r="D63" s="63" t="str">
        <f>'Base Data'!DW60</f>
        <v/>
      </c>
    </row>
    <row r="64">
      <c r="A64" s="17">
        <v>59.0</v>
      </c>
      <c r="B64" s="63" t="str">
        <f>'Base Data'!CX61</f>
        <v/>
      </c>
      <c r="C64" s="63" t="str">
        <f>'Base Data'!CY61</f>
        <v/>
      </c>
      <c r="D64" s="63" t="str">
        <f>'Base Data'!DW61</f>
        <v/>
      </c>
    </row>
    <row r="65">
      <c r="A65" s="17">
        <v>60.0</v>
      </c>
      <c r="B65" s="63" t="str">
        <f>'Base Data'!CX62</f>
        <v/>
      </c>
      <c r="C65" s="63" t="str">
        <f>'Base Data'!CY62</f>
        <v/>
      </c>
      <c r="D65" s="63" t="str">
        <f>'Base Data'!DW62</f>
        <v/>
      </c>
    </row>
    <row r="66">
      <c r="A66" s="17">
        <v>61.0</v>
      </c>
      <c r="B66" s="63" t="str">
        <f>'Base Data'!CX63</f>
        <v/>
      </c>
      <c r="C66" s="63" t="str">
        <f>'Base Data'!CY63</f>
        <v/>
      </c>
      <c r="D66" s="63" t="str">
        <f>'Base Data'!DW63</f>
        <v/>
      </c>
    </row>
    <row r="67">
      <c r="A67" s="17">
        <v>62.0</v>
      </c>
      <c r="B67" s="63" t="str">
        <f>'Base Data'!CX64</f>
        <v/>
      </c>
      <c r="C67" s="63" t="str">
        <f>'Base Data'!CY64</f>
        <v/>
      </c>
      <c r="D67" s="63" t="str">
        <f>'Base Data'!DW64</f>
        <v/>
      </c>
    </row>
    <row r="68">
      <c r="A68" s="17">
        <v>63.0</v>
      </c>
      <c r="B68" s="63" t="str">
        <f>'Base Data'!CX65</f>
        <v/>
      </c>
      <c r="C68" s="63" t="str">
        <f>'Base Data'!CY65</f>
        <v/>
      </c>
      <c r="D68" s="63" t="str">
        <f>'Base Data'!DW65</f>
        <v/>
      </c>
    </row>
    <row r="69">
      <c r="A69" s="17">
        <v>64.0</v>
      </c>
      <c r="B69" s="63" t="str">
        <f>'Base Data'!CX66</f>
        <v/>
      </c>
      <c r="C69" s="63" t="str">
        <f>'Base Data'!CY66</f>
        <v/>
      </c>
      <c r="D69" s="63" t="str">
        <f>'Base Data'!DW66</f>
        <v/>
      </c>
    </row>
    <row r="70">
      <c r="A70" s="17">
        <v>65.0</v>
      </c>
      <c r="B70" s="63" t="str">
        <f>'Base Data'!CX67</f>
        <v/>
      </c>
      <c r="C70" s="63" t="str">
        <f>'Base Data'!CY67</f>
        <v/>
      </c>
      <c r="D70" s="63" t="str">
        <f>'Base Data'!DW67</f>
        <v/>
      </c>
    </row>
    <row r="71">
      <c r="A71" s="17">
        <v>66.0</v>
      </c>
      <c r="B71" s="63" t="str">
        <f>'Base Data'!CX68</f>
        <v/>
      </c>
      <c r="C71" s="63" t="str">
        <f>'Base Data'!CY68</f>
        <v/>
      </c>
      <c r="D71" s="63" t="str">
        <f>'Base Data'!DW68</f>
        <v/>
      </c>
    </row>
    <row r="72">
      <c r="A72" s="17">
        <v>67.0</v>
      </c>
      <c r="B72" s="63" t="str">
        <f>'Base Data'!CX69</f>
        <v/>
      </c>
      <c r="C72" s="63" t="str">
        <f>'Base Data'!CY69</f>
        <v/>
      </c>
      <c r="D72" s="63" t="str">
        <f>'Base Data'!DW69</f>
        <v/>
      </c>
    </row>
    <row r="73">
      <c r="A73" s="17">
        <v>68.0</v>
      </c>
      <c r="B73" s="63" t="str">
        <f>'Base Data'!CX70</f>
        <v/>
      </c>
      <c r="C73" s="63" t="str">
        <f>'Base Data'!CY70</f>
        <v/>
      </c>
      <c r="D73" s="63" t="str">
        <f>'Base Data'!DW70</f>
        <v/>
      </c>
    </row>
    <row r="74">
      <c r="A74" s="17">
        <v>69.0</v>
      </c>
      <c r="B74" s="63" t="str">
        <f>'Base Data'!CX71</f>
        <v/>
      </c>
      <c r="C74" s="63" t="str">
        <f>'Base Data'!CY71</f>
        <v/>
      </c>
      <c r="D74" s="63" t="str">
        <f>'Base Data'!DW71</f>
        <v/>
      </c>
    </row>
    <row r="75">
      <c r="A75" s="17">
        <v>70.0</v>
      </c>
      <c r="B75" s="63" t="str">
        <f>'Base Data'!CX72</f>
        <v/>
      </c>
      <c r="C75" s="63" t="str">
        <f>'Base Data'!CY72</f>
        <v/>
      </c>
      <c r="D75" s="63" t="str">
        <f>'Base Data'!DW72</f>
        <v/>
      </c>
    </row>
    <row r="76">
      <c r="A76" s="17">
        <v>71.0</v>
      </c>
      <c r="B76" s="63" t="str">
        <f>'Base Data'!CX73</f>
        <v/>
      </c>
      <c r="C76" s="63" t="str">
        <f>'Base Data'!CY73</f>
        <v/>
      </c>
      <c r="D76" s="63" t="str">
        <f>'Base Data'!DW73</f>
        <v/>
      </c>
    </row>
    <row r="77">
      <c r="A77" s="17">
        <v>72.0</v>
      </c>
      <c r="B77" s="63" t="str">
        <f>'Base Data'!CX74</f>
        <v/>
      </c>
      <c r="C77" s="63" t="str">
        <f>'Base Data'!CY74</f>
        <v/>
      </c>
      <c r="D77" s="63" t="str">
        <f>'Base Data'!DW74</f>
        <v/>
      </c>
    </row>
    <row r="78">
      <c r="A78" s="17">
        <v>73.0</v>
      </c>
      <c r="B78" s="63" t="str">
        <f>'Base Data'!CX75</f>
        <v/>
      </c>
      <c r="C78" s="63" t="str">
        <f>'Base Data'!CY75</f>
        <v/>
      </c>
      <c r="D78" s="63" t="str">
        <f>'Base Data'!DW75</f>
        <v/>
      </c>
    </row>
    <row r="79">
      <c r="A79" s="17">
        <v>74.0</v>
      </c>
      <c r="B79" s="63" t="str">
        <f>'Base Data'!CX76</f>
        <v/>
      </c>
      <c r="C79" s="63" t="str">
        <f>'Base Data'!CY76</f>
        <v/>
      </c>
      <c r="D79" s="63" t="str">
        <f>'Base Data'!DW76</f>
        <v/>
      </c>
    </row>
    <row r="80">
      <c r="A80" s="17">
        <v>75.0</v>
      </c>
      <c r="B80" s="63" t="str">
        <f>'Base Data'!CX77</f>
        <v/>
      </c>
      <c r="C80" s="63" t="str">
        <f>'Base Data'!CY77</f>
        <v/>
      </c>
      <c r="D80" s="63" t="str">
        <f>'Base Data'!DW77</f>
        <v/>
      </c>
    </row>
    <row r="81">
      <c r="A81" s="17">
        <v>76.0</v>
      </c>
      <c r="B81" s="63" t="str">
        <f>'Base Data'!CX78</f>
        <v/>
      </c>
      <c r="C81" s="63" t="str">
        <f>'Base Data'!CY78</f>
        <v/>
      </c>
      <c r="D81" s="63" t="str">
        <f>'Base Data'!DW78</f>
        <v/>
      </c>
    </row>
    <row r="82">
      <c r="A82" s="17">
        <v>77.0</v>
      </c>
      <c r="B82" s="63" t="str">
        <f>'Base Data'!CX79</f>
        <v/>
      </c>
      <c r="C82" s="63" t="str">
        <f>'Base Data'!CY79</f>
        <v/>
      </c>
      <c r="D82" s="63" t="str">
        <f>'Base Data'!DW79</f>
        <v/>
      </c>
    </row>
    <row r="83">
      <c r="A83" s="17">
        <v>78.0</v>
      </c>
      <c r="B83" s="63" t="str">
        <f>'Base Data'!CX80</f>
        <v/>
      </c>
      <c r="C83" s="63" t="str">
        <f>'Base Data'!CY80</f>
        <v/>
      </c>
      <c r="D83" s="63" t="str">
        <f>'Base Data'!DW80</f>
        <v/>
      </c>
    </row>
    <row r="84">
      <c r="A84" s="17">
        <v>79.0</v>
      </c>
      <c r="B84" s="63" t="str">
        <f>'Base Data'!CX81</f>
        <v/>
      </c>
      <c r="C84" s="63" t="str">
        <f>'Base Data'!CY81</f>
        <v/>
      </c>
      <c r="D84" s="63" t="str">
        <f>'Base Data'!DW81</f>
        <v/>
      </c>
    </row>
    <row r="85">
      <c r="A85" s="17">
        <v>80.0</v>
      </c>
      <c r="B85" s="63" t="str">
        <f>'Base Data'!CX82</f>
        <v/>
      </c>
      <c r="C85" s="63" t="str">
        <f>'Base Data'!CY82</f>
        <v/>
      </c>
      <c r="D85" s="63" t="str">
        <f>'Base Data'!DW82</f>
        <v/>
      </c>
    </row>
    <row r="86">
      <c r="A86" s="17">
        <v>81.0</v>
      </c>
      <c r="B86" s="63" t="str">
        <f>'Base Data'!CX83</f>
        <v/>
      </c>
      <c r="C86" s="63" t="str">
        <f>'Base Data'!CY83</f>
        <v/>
      </c>
      <c r="D86" s="63" t="str">
        <f>'Base Data'!DW83</f>
        <v/>
      </c>
    </row>
    <row r="87">
      <c r="A87" s="17">
        <v>82.0</v>
      </c>
      <c r="B87" s="63" t="str">
        <f>'Base Data'!CX84</f>
        <v/>
      </c>
      <c r="C87" s="63" t="str">
        <f>'Base Data'!CY84</f>
        <v/>
      </c>
      <c r="D87" s="63" t="str">
        <f>'Base Data'!DW84</f>
        <v/>
      </c>
    </row>
    <row r="88">
      <c r="A88" s="17">
        <v>83.0</v>
      </c>
      <c r="B88" s="63" t="str">
        <f>'Base Data'!CX85</f>
        <v/>
      </c>
      <c r="C88" s="63" t="str">
        <f>'Base Data'!CY85</f>
        <v/>
      </c>
      <c r="D88" s="63" t="str">
        <f>'Base Data'!DW85</f>
        <v/>
      </c>
    </row>
    <row r="89">
      <c r="A89" s="17">
        <v>84.0</v>
      </c>
      <c r="B89" s="63" t="str">
        <f>'Base Data'!CX86</f>
        <v/>
      </c>
      <c r="C89" s="63" t="str">
        <f>'Base Data'!CY86</f>
        <v/>
      </c>
      <c r="D89" s="63" t="str">
        <f>'Base Data'!DW86</f>
        <v/>
      </c>
    </row>
    <row r="90">
      <c r="A90" s="17">
        <v>85.0</v>
      </c>
      <c r="B90" s="63" t="str">
        <f>'Base Data'!CX87</f>
        <v/>
      </c>
      <c r="C90" s="63" t="str">
        <f>'Base Data'!CY87</f>
        <v/>
      </c>
      <c r="D90" s="63" t="str">
        <f>'Base Data'!DW87</f>
        <v/>
      </c>
    </row>
    <row r="91">
      <c r="A91" s="17">
        <v>86.0</v>
      </c>
      <c r="B91" s="63" t="str">
        <f>'Base Data'!CX88</f>
        <v/>
      </c>
      <c r="C91" s="63" t="str">
        <f>'Base Data'!CY88</f>
        <v/>
      </c>
      <c r="D91" s="63" t="str">
        <f>'Base Data'!DW88</f>
        <v/>
      </c>
    </row>
    <row r="92">
      <c r="A92" s="17">
        <v>87.0</v>
      </c>
      <c r="B92" s="63" t="str">
        <f>'Base Data'!CX89</f>
        <v/>
      </c>
      <c r="C92" s="63" t="str">
        <f>'Base Data'!CY89</f>
        <v/>
      </c>
      <c r="D92" s="63" t="str">
        <f>'Base Data'!DW89</f>
        <v/>
      </c>
    </row>
    <row r="93">
      <c r="A93" s="17">
        <v>88.0</v>
      </c>
      <c r="B93" s="63" t="str">
        <f>'Base Data'!CX90</f>
        <v/>
      </c>
      <c r="C93" s="63" t="str">
        <f>'Base Data'!CY90</f>
        <v/>
      </c>
      <c r="D93" s="63" t="str">
        <f>'Base Data'!DW90</f>
        <v/>
      </c>
    </row>
    <row r="94">
      <c r="A94" s="17">
        <v>89.0</v>
      </c>
      <c r="B94" s="63" t="str">
        <f>'Base Data'!CX91</f>
        <v/>
      </c>
      <c r="C94" s="63" t="str">
        <f>'Base Data'!CY91</f>
        <v/>
      </c>
      <c r="D94" s="63" t="str">
        <f>'Base Data'!DW91</f>
        <v/>
      </c>
    </row>
    <row r="95">
      <c r="A95" s="17">
        <v>90.0</v>
      </c>
      <c r="B95" s="63" t="str">
        <f>'Base Data'!CX92</f>
        <v/>
      </c>
      <c r="C95" s="63" t="str">
        <f>'Base Data'!CY92</f>
        <v/>
      </c>
      <c r="D95" s="63" t="str">
        <f>'Base Data'!DW92</f>
        <v/>
      </c>
    </row>
    <row r="96">
      <c r="A96" s="17">
        <v>91.0</v>
      </c>
      <c r="B96" s="63" t="str">
        <f>'Base Data'!CX93</f>
        <v/>
      </c>
      <c r="C96" s="63" t="str">
        <f>'Base Data'!CY93</f>
        <v/>
      </c>
      <c r="D96" s="63" t="str">
        <f>'Base Data'!DW93</f>
        <v/>
      </c>
    </row>
    <row r="97">
      <c r="A97" s="17">
        <v>92.0</v>
      </c>
      <c r="B97" s="63" t="str">
        <f>'Base Data'!CX94</f>
        <v/>
      </c>
      <c r="C97" s="63" t="str">
        <f>'Base Data'!CY94</f>
        <v/>
      </c>
      <c r="D97" s="63" t="str">
        <f>'Base Data'!DW94</f>
        <v/>
      </c>
    </row>
    <row r="98">
      <c r="A98" s="17">
        <v>93.0</v>
      </c>
      <c r="B98" s="63" t="str">
        <f>'Base Data'!CX95</f>
        <v/>
      </c>
      <c r="C98" s="63" t="str">
        <f>'Base Data'!CY95</f>
        <v/>
      </c>
      <c r="D98" s="63" t="str">
        <f>'Base Data'!DW95</f>
        <v/>
      </c>
    </row>
    <row r="99">
      <c r="A99" s="17">
        <v>94.0</v>
      </c>
      <c r="B99" s="63" t="str">
        <f>'Base Data'!CX96</f>
        <v/>
      </c>
      <c r="C99" s="63" t="str">
        <f>'Base Data'!CY96</f>
        <v/>
      </c>
      <c r="D99" s="63" t="str">
        <f>'Base Data'!DW96</f>
        <v/>
      </c>
    </row>
    <row r="100">
      <c r="A100" s="17">
        <v>95.0</v>
      </c>
      <c r="B100" s="63" t="str">
        <f>'Base Data'!CX97</f>
        <v/>
      </c>
      <c r="C100" s="63" t="str">
        <f>'Base Data'!CY97</f>
        <v/>
      </c>
      <c r="D100" s="63" t="str">
        <f>'Base Data'!DW97</f>
        <v/>
      </c>
    </row>
    <row r="101">
      <c r="A101" s="17">
        <v>96.0</v>
      </c>
      <c r="B101" s="63" t="str">
        <f>'Base Data'!CX98</f>
        <v/>
      </c>
      <c r="C101" s="63" t="str">
        <f>'Base Data'!CY98</f>
        <v/>
      </c>
      <c r="D101" s="63" t="str">
        <f>'Base Data'!DW98</f>
        <v/>
      </c>
    </row>
    <row r="102">
      <c r="A102" s="17">
        <v>97.0</v>
      </c>
      <c r="B102" s="63" t="str">
        <f>'Base Data'!CX99</f>
        <v/>
      </c>
      <c r="C102" s="63" t="str">
        <f>'Base Data'!CY99</f>
        <v/>
      </c>
      <c r="D102" s="63" t="str">
        <f>'Base Data'!DW99</f>
        <v/>
      </c>
    </row>
    <row r="103">
      <c r="A103" s="17">
        <v>98.0</v>
      </c>
      <c r="B103" s="63" t="str">
        <f>'Base Data'!CX100</f>
        <v/>
      </c>
      <c r="C103" s="63" t="str">
        <f>'Base Data'!CY100</f>
        <v/>
      </c>
      <c r="D103" s="63" t="str">
        <f>'Base Data'!DW100</f>
        <v/>
      </c>
    </row>
    <row r="104">
      <c r="A104" s="17">
        <v>99.0</v>
      </c>
      <c r="B104" s="63" t="str">
        <f>'Base Data'!CX101</f>
        <v/>
      </c>
      <c r="C104" s="63" t="str">
        <f>'Base Data'!CY101</f>
        <v/>
      </c>
      <c r="D104" s="63" t="str">
        <f>'Base Data'!DW101</f>
        <v/>
      </c>
    </row>
    <row r="105">
      <c r="A105" s="17">
        <v>100.0</v>
      </c>
      <c r="B105" s="63" t="str">
        <f>'Base Data'!CX102</f>
        <v/>
      </c>
      <c r="C105" s="63" t="str">
        <f>'Base Data'!CY102</f>
        <v/>
      </c>
      <c r="D105" s="63" t="str">
        <f>'Base Data'!DW102</f>
        <v/>
      </c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5.0"/>
    <col customWidth="1" min="3" max="3" width="15.88"/>
  </cols>
  <sheetData>
    <row r="1">
      <c r="A1" s="61" t="s">
        <v>136</v>
      </c>
      <c r="B1" s="61" t="s">
        <v>137</v>
      </c>
      <c r="C1" s="61" t="s">
        <v>138</v>
      </c>
    </row>
    <row r="2">
      <c r="A2" s="17" t="s">
        <v>139</v>
      </c>
      <c r="B2" s="17" t="s">
        <v>140</v>
      </c>
      <c r="C2" s="17" t="s">
        <v>140</v>
      </c>
    </row>
    <row r="3">
      <c r="A3" s="17" t="s">
        <v>141</v>
      </c>
      <c r="B3" s="17" t="s">
        <v>140</v>
      </c>
      <c r="C3" s="17" t="s">
        <v>140</v>
      </c>
    </row>
    <row r="4">
      <c r="A4" s="17" t="s">
        <v>142</v>
      </c>
      <c r="B4" s="17" t="s">
        <v>143</v>
      </c>
      <c r="C4" s="17" t="s">
        <v>144</v>
      </c>
    </row>
    <row r="5">
      <c r="A5" s="17" t="s">
        <v>144</v>
      </c>
      <c r="B5" s="17" t="s">
        <v>145</v>
      </c>
      <c r="C5" s="17" t="s">
        <v>144</v>
      </c>
    </row>
    <row r="6">
      <c r="A6" s="17" t="s">
        <v>146</v>
      </c>
      <c r="B6" s="17" t="s">
        <v>147</v>
      </c>
      <c r="C6" s="17" t="s">
        <v>148</v>
      </c>
    </row>
    <row r="7">
      <c r="A7" s="17" t="s">
        <v>149</v>
      </c>
      <c r="B7" s="17" t="s">
        <v>150</v>
      </c>
      <c r="C7" s="17" t="s">
        <v>148</v>
      </c>
    </row>
    <row r="8">
      <c r="A8" s="17" t="s">
        <v>151</v>
      </c>
      <c r="B8" s="17" t="s">
        <v>152</v>
      </c>
      <c r="C8" s="17" t="s">
        <v>148</v>
      </c>
    </row>
    <row r="9">
      <c r="A9" s="17" t="s">
        <v>153</v>
      </c>
      <c r="B9" s="17" t="s">
        <v>154</v>
      </c>
      <c r="C9" s="17" t="s">
        <v>148</v>
      </c>
    </row>
    <row r="10">
      <c r="A10" s="17" t="s">
        <v>155</v>
      </c>
      <c r="B10" s="17" t="s">
        <v>156</v>
      </c>
      <c r="C10" s="17" t="s">
        <v>148</v>
      </c>
    </row>
    <row r="11">
      <c r="A11" s="17" t="s">
        <v>157</v>
      </c>
      <c r="B11" s="17" t="s">
        <v>158</v>
      </c>
      <c r="C11" s="17" t="s">
        <v>157</v>
      </c>
    </row>
    <row r="12">
      <c r="A12" s="172" t="s">
        <v>159</v>
      </c>
      <c r="B12" s="173" t="s">
        <v>160</v>
      </c>
      <c r="C12" s="17" t="s">
        <v>157</v>
      </c>
    </row>
    <row r="13">
      <c r="A13" s="172" t="s">
        <v>161</v>
      </c>
      <c r="B13" s="17" t="s">
        <v>162</v>
      </c>
      <c r="C13" s="17" t="s">
        <v>157</v>
      </c>
    </row>
    <row r="14">
      <c r="A14" s="172" t="s">
        <v>163</v>
      </c>
      <c r="B14" s="17" t="s">
        <v>164</v>
      </c>
      <c r="C14" s="17" t="s">
        <v>165</v>
      </c>
    </row>
    <row r="15">
      <c r="A15" s="172" t="s">
        <v>166</v>
      </c>
      <c r="B15" s="17" t="s">
        <v>167</v>
      </c>
      <c r="C15" s="17" t="s">
        <v>165</v>
      </c>
    </row>
    <row r="16">
      <c r="A16" s="17" t="s">
        <v>168</v>
      </c>
      <c r="B16" s="17" t="s">
        <v>169</v>
      </c>
      <c r="C16" s="17" t="s">
        <v>169</v>
      </c>
    </row>
    <row r="17">
      <c r="A17" s="17" t="s">
        <v>169</v>
      </c>
      <c r="B17" s="17" t="s">
        <v>169</v>
      </c>
      <c r="C17" s="17" t="s">
        <v>169</v>
      </c>
    </row>
    <row r="18">
      <c r="A18" s="17" t="s">
        <v>170</v>
      </c>
      <c r="B18" s="17" t="s">
        <v>171</v>
      </c>
      <c r="C18" s="17" t="s">
        <v>171</v>
      </c>
    </row>
    <row r="19">
      <c r="A19" s="17" t="s">
        <v>172</v>
      </c>
      <c r="B19" s="17" t="s">
        <v>171</v>
      </c>
      <c r="C19" s="17" t="s">
        <v>171</v>
      </c>
    </row>
    <row r="20">
      <c r="A20" s="17" t="s">
        <v>173</v>
      </c>
      <c r="B20" s="17" t="s">
        <v>174</v>
      </c>
      <c r="C20" s="17" t="s">
        <v>173</v>
      </c>
    </row>
    <row r="21">
      <c r="A21" s="17" t="s">
        <v>175</v>
      </c>
      <c r="B21" s="174" t="s">
        <v>176</v>
      </c>
      <c r="C21" s="17" t="s">
        <v>177</v>
      </c>
    </row>
    <row r="22">
      <c r="A22" s="17" t="s">
        <v>178</v>
      </c>
      <c r="B22" s="174" t="s">
        <v>179</v>
      </c>
      <c r="C22" s="17" t="s">
        <v>177</v>
      </c>
    </row>
    <row r="23">
      <c r="A23" s="17" t="s">
        <v>180</v>
      </c>
      <c r="B23" s="174" t="s">
        <v>181</v>
      </c>
      <c r="C23" s="17" t="s">
        <v>182</v>
      </c>
    </row>
    <row r="24">
      <c r="A24" s="17" t="s">
        <v>183</v>
      </c>
      <c r="B24" s="174" t="s">
        <v>184</v>
      </c>
      <c r="C24" s="17" t="s">
        <v>182</v>
      </c>
    </row>
    <row r="25">
      <c r="A25" s="17" t="s">
        <v>182</v>
      </c>
      <c r="B25" s="175" t="s">
        <v>181</v>
      </c>
      <c r="C25" s="17" t="s">
        <v>182</v>
      </c>
    </row>
    <row r="26">
      <c r="A26" s="17" t="s">
        <v>185</v>
      </c>
      <c r="B26" s="174" t="s">
        <v>186</v>
      </c>
      <c r="C26" s="17" t="s">
        <v>185</v>
      </c>
    </row>
    <row r="27">
      <c r="A27" s="17" t="s">
        <v>187</v>
      </c>
      <c r="B27" s="174" t="s">
        <v>188</v>
      </c>
      <c r="C27" s="17" t="s">
        <v>185</v>
      </c>
    </row>
    <row r="28">
      <c r="A28" s="172" t="s">
        <v>189</v>
      </c>
      <c r="B28" s="174" t="s">
        <v>190</v>
      </c>
      <c r="C28" s="17" t="s">
        <v>185</v>
      </c>
    </row>
    <row r="29">
      <c r="A29" s="17" t="s">
        <v>191</v>
      </c>
      <c r="B29" s="174" t="s">
        <v>190</v>
      </c>
      <c r="C29" s="17" t="s">
        <v>185</v>
      </c>
    </row>
    <row r="30">
      <c r="A30" s="17" t="s">
        <v>192</v>
      </c>
      <c r="B30" s="174" t="s">
        <v>193</v>
      </c>
      <c r="C30" s="17" t="s">
        <v>185</v>
      </c>
    </row>
    <row r="31">
      <c r="A31" s="17" t="s">
        <v>194</v>
      </c>
      <c r="B31" s="174" t="s">
        <v>195</v>
      </c>
      <c r="C31" s="17" t="s">
        <v>196</v>
      </c>
    </row>
    <row r="32">
      <c r="A32" s="17" t="s">
        <v>197</v>
      </c>
      <c r="B32" s="174" t="s">
        <v>198</v>
      </c>
      <c r="C32" s="17" t="s">
        <v>196</v>
      </c>
    </row>
    <row r="33">
      <c r="A33" s="17" t="s">
        <v>199</v>
      </c>
      <c r="B33" s="174" t="s">
        <v>200</v>
      </c>
      <c r="C33" s="17" t="s">
        <v>196</v>
      </c>
    </row>
    <row r="34">
      <c r="A34" s="17" t="s">
        <v>196</v>
      </c>
      <c r="B34" s="17" t="s">
        <v>196</v>
      </c>
      <c r="C34" s="17" t="s">
        <v>196</v>
      </c>
    </row>
    <row r="35">
      <c r="A35" s="17" t="s">
        <v>201</v>
      </c>
      <c r="B35" s="17" t="s">
        <v>202</v>
      </c>
      <c r="C35" s="17" t="s">
        <v>201</v>
      </c>
    </row>
    <row r="36">
      <c r="A36" s="17" t="s">
        <v>203</v>
      </c>
      <c r="B36" s="17" t="s">
        <v>204</v>
      </c>
      <c r="C36" s="17" t="s">
        <v>201</v>
      </c>
    </row>
    <row r="37">
      <c r="A37" s="17" t="s">
        <v>205</v>
      </c>
      <c r="B37" s="17" t="s">
        <v>206</v>
      </c>
      <c r="C37" s="17" t="s">
        <v>207</v>
      </c>
    </row>
    <row r="38">
      <c r="A38" s="17" t="s">
        <v>208</v>
      </c>
      <c r="B38" s="17" t="s">
        <v>208</v>
      </c>
      <c r="C38" s="17" t="s">
        <v>208</v>
      </c>
    </row>
    <row r="39">
      <c r="A39" s="17" t="s">
        <v>209</v>
      </c>
      <c r="B39" s="17" t="s">
        <v>208</v>
      </c>
      <c r="C39" s="17" t="s">
        <v>208</v>
      </c>
    </row>
    <row r="40">
      <c r="A40" s="17" t="s">
        <v>210</v>
      </c>
      <c r="B40" s="17" t="s">
        <v>208</v>
      </c>
      <c r="C40" s="17" t="s">
        <v>208</v>
      </c>
    </row>
    <row r="41">
      <c r="A41" s="17" t="s">
        <v>211</v>
      </c>
      <c r="B41" s="173" t="s">
        <v>212</v>
      </c>
      <c r="C41" s="17" t="s">
        <v>211</v>
      </c>
    </row>
    <row r="42">
      <c r="A42" s="176" t="s">
        <v>213</v>
      </c>
      <c r="B42" s="177" t="s">
        <v>214</v>
      </c>
      <c r="C42" s="176" t="s">
        <v>214</v>
      </c>
    </row>
    <row r="43">
      <c r="A43" s="177" t="s">
        <v>214</v>
      </c>
      <c r="B43" s="177" t="s">
        <v>214</v>
      </c>
      <c r="C43" s="177" t="s">
        <v>214</v>
      </c>
    </row>
    <row r="44">
      <c r="A44" s="178" t="s">
        <v>215</v>
      </c>
      <c r="B44" s="17" t="s">
        <v>214</v>
      </c>
      <c r="C44" s="17" t="s">
        <v>214</v>
      </c>
    </row>
    <row r="45">
      <c r="A45" s="17" t="s">
        <v>216</v>
      </c>
      <c r="B45" s="177" t="s">
        <v>214</v>
      </c>
      <c r="C45" s="176" t="s">
        <v>214</v>
      </c>
    </row>
    <row r="46">
      <c r="A46" s="17" t="s">
        <v>217</v>
      </c>
      <c r="B46" s="177" t="s">
        <v>214</v>
      </c>
      <c r="C46" s="177" t="s">
        <v>214</v>
      </c>
    </row>
    <row r="47">
      <c r="A47" s="17" t="s">
        <v>218</v>
      </c>
      <c r="B47" s="17" t="s">
        <v>214</v>
      </c>
      <c r="C47" s="17" t="s">
        <v>214</v>
      </c>
    </row>
    <row r="48">
      <c r="A48" s="17" t="s">
        <v>219</v>
      </c>
      <c r="B48" s="177" t="s">
        <v>214</v>
      </c>
      <c r="C48" s="176" t="s">
        <v>214</v>
      </c>
    </row>
    <row r="49">
      <c r="A49" s="17" t="s">
        <v>220</v>
      </c>
      <c r="B49" s="177" t="s">
        <v>214</v>
      </c>
      <c r="C49" s="177" t="s">
        <v>214</v>
      </c>
    </row>
    <row r="50">
      <c r="A50" s="17" t="s">
        <v>221</v>
      </c>
      <c r="B50" s="17" t="s">
        <v>214</v>
      </c>
      <c r="C50" s="17" t="s">
        <v>214</v>
      </c>
    </row>
    <row r="51">
      <c r="A51" s="17" t="s">
        <v>222</v>
      </c>
      <c r="B51" s="177" t="s">
        <v>214</v>
      </c>
      <c r="C51" s="176" t="s">
        <v>214</v>
      </c>
    </row>
    <row r="52">
      <c r="A52" s="17" t="s">
        <v>223</v>
      </c>
      <c r="B52" s="177" t="s">
        <v>214</v>
      </c>
      <c r="C52" s="177" t="s">
        <v>214</v>
      </c>
    </row>
    <row r="53">
      <c r="A53" s="17" t="s">
        <v>224</v>
      </c>
      <c r="B53" s="17" t="s">
        <v>214</v>
      </c>
      <c r="C53" s="17" t="s">
        <v>214</v>
      </c>
    </row>
    <row r="54">
      <c r="A54" s="17" t="s">
        <v>225</v>
      </c>
      <c r="B54" s="177" t="s">
        <v>214</v>
      </c>
      <c r="C54" s="176" t="s">
        <v>214</v>
      </c>
    </row>
    <row r="55">
      <c r="A55" s="17" t="s">
        <v>226</v>
      </c>
      <c r="B55" s="177" t="s">
        <v>214</v>
      </c>
      <c r="C55" s="177" t="s">
        <v>214</v>
      </c>
    </row>
    <row r="56">
      <c r="A56" s="17" t="s">
        <v>227</v>
      </c>
      <c r="B56" s="17" t="s">
        <v>214</v>
      </c>
      <c r="C56" s="17" t="s">
        <v>214</v>
      </c>
    </row>
    <row r="57">
      <c r="A57" s="17" t="s">
        <v>228</v>
      </c>
      <c r="B57" s="177" t="s">
        <v>214</v>
      </c>
      <c r="C57" s="176" t="s">
        <v>214</v>
      </c>
    </row>
    <row r="58">
      <c r="A58" s="17" t="s">
        <v>229</v>
      </c>
      <c r="B58" s="177" t="s">
        <v>214</v>
      </c>
      <c r="C58" s="177" t="s">
        <v>214</v>
      </c>
    </row>
    <row r="59">
      <c r="A59" s="17" t="s">
        <v>230</v>
      </c>
      <c r="B59" s="17" t="s">
        <v>214</v>
      </c>
      <c r="C59" s="17" t="s">
        <v>214</v>
      </c>
    </row>
    <row r="60">
      <c r="A60" s="17" t="s">
        <v>231</v>
      </c>
      <c r="B60" s="177" t="s">
        <v>214</v>
      </c>
      <c r="C60" s="176" t="s">
        <v>214</v>
      </c>
    </row>
    <row r="61">
      <c r="A61" s="17" t="s">
        <v>232</v>
      </c>
      <c r="B61" s="177" t="s">
        <v>214</v>
      </c>
      <c r="C61" s="177" t="s">
        <v>214</v>
      </c>
    </row>
    <row r="62">
      <c r="A62" s="17" t="s">
        <v>233</v>
      </c>
      <c r="B62" s="17" t="s">
        <v>233</v>
      </c>
      <c r="C62" s="17" t="s">
        <v>233</v>
      </c>
    </row>
    <row r="63">
      <c r="A63" s="17" t="s">
        <v>234</v>
      </c>
      <c r="B63" s="17" t="s">
        <v>233</v>
      </c>
      <c r="C63" s="17" t="s">
        <v>233</v>
      </c>
    </row>
    <row r="64">
      <c r="A64" s="17" t="s">
        <v>235</v>
      </c>
      <c r="B64" s="17" t="s">
        <v>233</v>
      </c>
      <c r="C64" s="17" t="s">
        <v>233</v>
      </c>
    </row>
    <row r="65">
      <c r="A65" s="17" t="s">
        <v>236</v>
      </c>
      <c r="B65" s="17" t="s">
        <v>233</v>
      </c>
      <c r="C65" s="17" t="s">
        <v>233</v>
      </c>
    </row>
    <row r="66">
      <c r="A66" s="17" t="s">
        <v>237</v>
      </c>
      <c r="B66" s="17" t="s">
        <v>233</v>
      </c>
      <c r="C66" s="17" t="s">
        <v>233</v>
      </c>
    </row>
    <row r="67">
      <c r="A67" s="17" t="s">
        <v>238</v>
      </c>
      <c r="B67" s="17" t="s">
        <v>239</v>
      </c>
      <c r="C67" s="17" t="s">
        <v>238</v>
      </c>
    </row>
    <row r="68">
      <c r="A68" s="17" t="s">
        <v>240</v>
      </c>
      <c r="B68" s="17" t="s">
        <v>241</v>
      </c>
      <c r="C68" s="17" t="s">
        <v>238</v>
      </c>
    </row>
    <row r="69">
      <c r="A69" s="17" t="s">
        <v>242</v>
      </c>
      <c r="B69" s="17" t="s">
        <v>243</v>
      </c>
      <c r="C69" s="17" t="s">
        <v>242</v>
      </c>
    </row>
    <row r="70">
      <c r="A70" s="17" t="s">
        <v>244</v>
      </c>
      <c r="B70" s="17" t="s">
        <v>245</v>
      </c>
      <c r="C70" s="17" t="s">
        <v>242</v>
      </c>
    </row>
    <row r="71">
      <c r="A71" s="17" t="s">
        <v>246</v>
      </c>
      <c r="B71" s="17" t="s">
        <v>247</v>
      </c>
      <c r="C71" s="17" t="s">
        <v>246</v>
      </c>
    </row>
    <row r="72">
      <c r="A72" s="17" t="s">
        <v>248</v>
      </c>
      <c r="B72" s="17" t="s">
        <v>249</v>
      </c>
      <c r="C72" s="17" t="s">
        <v>246</v>
      </c>
    </row>
    <row r="73">
      <c r="A73" s="17" t="s">
        <v>250</v>
      </c>
      <c r="B73" s="17" t="s">
        <v>251</v>
      </c>
      <c r="C73" s="17" t="s">
        <v>250</v>
      </c>
    </row>
    <row r="74">
      <c r="A74" s="17" t="s">
        <v>252</v>
      </c>
      <c r="B74" s="17" t="s">
        <v>253</v>
      </c>
      <c r="C74" s="17" t="s">
        <v>250</v>
      </c>
    </row>
    <row r="75">
      <c r="A75" s="17" t="s">
        <v>254</v>
      </c>
      <c r="B75" s="17" t="s">
        <v>255</v>
      </c>
      <c r="C75" s="17" t="s">
        <v>254</v>
      </c>
    </row>
    <row r="76">
      <c r="A76" s="17" t="s">
        <v>256</v>
      </c>
      <c r="B76" s="17" t="s">
        <v>257</v>
      </c>
      <c r="C76" s="17" t="s">
        <v>254</v>
      </c>
    </row>
    <row r="77">
      <c r="A77" s="17" t="s">
        <v>258</v>
      </c>
      <c r="B77" s="17" t="s">
        <v>255</v>
      </c>
      <c r="C77" s="17" t="s">
        <v>254</v>
      </c>
    </row>
    <row r="78">
      <c r="A78" s="17" t="s">
        <v>259</v>
      </c>
      <c r="B78" s="17" t="s">
        <v>260</v>
      </c>
      <c r="C78" s="17" t="s">
        <v>261</v>
      </c>
    </row>
    <row r="79">
      <c r="A79" s="17" t="s">
        <v>262</v>
      </c>
      <c r="B79" s="17" t="s">
        <v>263</v>
      </c>
      <c r="C79" s="17" t="s">
        <v>264</v>
      </c>
    </row>
    <row r="80">
      <c r="A80" s="17" t="s">
        <v>265</v>
      </c>
      <c r="B80" s="17" t="s">
        <v>266</v>
      </c>
      <c r="C80" s="17" t="s">
        <v>267</v>
      </c>
    </row>
    <row r="81">
      <c r="A81" s="17" t="s">
        <v>268</v>
      </c>
      <c r="B81" s="17" t="s">
        <v>269</v>
      </c>
      <c r="C81" s="17" t="s">
        <v>270</v>
      </c>
    </row>
    <row r="82">
      <c r="A82" s="17" t="s">
        <v>271</v>
      </c>
      <c r="B82" s="17" t="s">
        <v>272</v>
      </c>
      <c r="C82" s="17" t="s">
        <v>273</v>
      </c>
    </row>
    <row r="83">
      <c r="A83" s="17" t="s">
        <v>274</v>
      </c>
      <c r="B83" s="17" t="s">
        <v>275</v>
      </c>
      <c r="C83" s="17" t="s">
        <v>276</v>
      </c>
    </row>
    <row r="84">
      <c r="A84" s="17" t="s">
        <v>277</v>
      </c>
      <c r="B84" s="17" t="s">
        <v>278</v>
      </c>
      <c r="C84" s="17" t="s">
        <v>279</v>
      </c>
    </row>
    <row r="85">
      <c r="A85" s="17" t="s">
        <v>280</v>
      </c>
      <c r="B85" s="17" t="s">
        <v>281</v>
      </c>
      <c r="C85" s="17" t="s">
        <v>282</v>
      </c>
    </row>
    <row r="86">
      <c r="A86" s="17" t="s">
        <v>283</v>
      </c>
      <c r="B86" s="17" t="s">
        <v>284</v>
      </c>
      <c r="C86" s="17" t="s">
        <v>285</v>
      </c>
    </row>
    <row r="87">
      <c r="A87" s="17" t="s">
        <v>286</v>
      </c>
      <c r="B87" s="17" t="s">
        <v>287</v>
      </c>
      <c r="C87" s="17" t="s">
        <v>288</v>
      </c>
    </row>
    <row r="88">
      <c r="A88" s="17" t="s">
        <v>289</v>
      </c>
      <c r="B88" s="17" t="s">
        <v>290</v>
      </c>
      <c r="C88" s="17" t="s">
        <v>291</v>
      </c>
    </row>
    <row r="89">
      <c r="A89" s="17" t="s">
        <v>292</v>
      </c>
      <c r="B89" s="17" t="s">
        <v>293</v>
      </c>
      <c r="C89" s="17" t="s">
        <v>294</v>
      </c>
    </row>
    <row r="90">
      <c r="A90" s="17" t="s">
        <v>295</v>
      </c>
      <c r="B90" s="17" t="s">
        <v>296</v>
      </c>
      <c r="C90" s="17" t="s">
        <v>297</v>
      </c>
    </row>
    <row r="91">
      <c r="A91" s="17" t="s">
        <v>298</v>
      </c>
      <c r="B91" s="17" t="s">
        <v>299</v>
      </c>
      <c r="C91" s="17" t="s">
        <v>300</v>
      </c>
    </row>
    <row r="92">
      <c r="A92" s="17" t="s">
        <v>301</v>
      </c>
      <c r="B92" s="17" t="s">
        <v>302</v>
      </c>
      <c r="C92" s="17" t="s">
        <v>303</v>
      </c>
    </row>
    <row r="93">
      <c r="A93" s="17" t="s">
        <v>304</v>
      </c>
      <c r="B93" s="17" t="s">
        <v>305</v>
      </c>
      <c r="C93" s="17" t="s">
        <v>306</v>
      </c>
    </row>
    <row r="94">
      <c r="A94" s="17" t="s">
        <v>307</v>
      </c>
      <c r="B94" s="17" t="s">
        <v>308</v>
      </c>
      <c r="C94" s="17" t="s">
        <v>307</v>
      </c>
    </row>
    <row r="95">
      <c r="A95" s="17" t="s">
        <v>309</v>
      </c>
      <c r="B95" s="17" t="s">
        <v>310</v>
      </c>
      <c r="C95" s="17" t="s">
        <v>311</v>
      </c>
    </row>
    <row r="96">
      <c r="A96" s="17" t="s">
        <v>312</v>
      </c>
      <c r="B96" s="17" t="s">
        <v>313</v>
      </c>
      <c r="C96" s="17" t="s">
        <v>314</v>
      </c>
    </row>
    <row r="97">
      <c r="A97" s="17" t="s">
        <v>315</v>
      </c>
      <c r="B97" s="17" t="s">
        <v>316</v>
      </c>
      <c r="C97" s="17" t="s">
        <v>317</v>
      </c>
    </row>
    <row r="98">
      <c r="A98" s="17" t="s">
        <v>318</v>
      </c>
      <c r="B98" s="17" t="s">
        <v>319</v>
      </c>
      <c r="C98" s="17" t="s">
        <v>320</v>
      </c>
    </row>
    <row r="99">
      <c r="A99" s="17" t="s">
        <v>321</v>
      </c>
      <c r="B99" s="17" t="s">
        <v>322</v>
      </c>
      <c r="C99" s="17" t="s">
        <v>323</v>
      </c>
    </row>
    <row r="100">
      <c r="A100" s="17" t="s">
        <v>324</v>
      </c>
      <c r="B100" s="17" t="s">
        <v>325</v>
      </c>
      <c r="C100" s="17" t="s">
        <v>326</v>
      </c>
    </row>
    <row r="101">
      <c r="A101" s="17" t="s">
        <v>327</v>
      </c>
      <c r="B101" s="17" t="s">
        <v>328</v>
      </c>
      <c r="C101" s="17" t="s">
        <v>329</v>
      </c>
    </row>
    <row r="102">
      <c r="A102" s="17" t="s">
        <v>330</v>
      </c>
      <c r="B102" s="17" t="s">
        <v>331</v>
      </c>
      <c r="C102" s="17" t="s">
        <v>332</v>
      </c>
    </row>
    <row r="103">
      <c r="A103" s="17" t="s">
        <v>333</v>
      </c>
      <c r="B103" s="17" t="s">
        <v>334</v>
      </c>
      <c r="C103" s="17" t="s">
        <v>335</v>
      </c>
    </row>
    <row r="104">
      <c r="A104" s="17" t="s">
        <v>336</v>
      </c>
      <c r="B104" s="17" t="s">
        <v>337</v>
      </c>
      <c r="C104" s="17" t="s">
        <v>338</v>
      </c>
    </row>
    <row r="105">
      <c r="A105" s="17" t="s">
        <v>339</v>
      </c>
      <c r="B105" s="17" t="s">
        <v>340</v>
      </c>
      <c r="C105" s="17" t="s">
        <v>338</v>
      </c>
    </row>
    <row r="106">
      <c r="A106" s="17" t="s">
        <v>341</v>
      </c>
      <c r="B106" s="17" t="s">
        <v>342</v>
      </c>
      <c r="C106" s="17" t="s">
        <v>343</v>
      </c>
    </row>
    <row r="107">
      <c r="A107" s="17" t="s">
        <v>344</v>
      </c>
      <c r="B107" s="17" t="s">
        <v>345</v>
      </c>
      <c r="C107" s="17" t="s">
        <v>346</v>
      </c>
    </row>
    <row r="108">
      <c r="A108" s="17" t="s">
        <v>347</v>
      </c>
      <c r="B108" s="17" t="s">
        <v>348</v>
      </c>
      <c r="C108" s="17" t="s">
        <v>349</v>
      </c>
    </row>
    <row r="109">
      <c r="A109" s="176" t="s">
        <v>350</v>
      </c>
      <c r="B109" s="176" t="s">
        <v>351</v>
      </c>
      <c r="C109" s="176" t="s">
        <v>352</v>
      </c>
    </row>
    <row r="110">
      <c r="A110" s="176" t="s">
        <v>353</v>
      </c>
      <c r="B110" s="176" t="s">
        <v>354</v>
      </c>
      <c r="C110" s="176" t="s">
        <v>355</v>
      </c>
    </row>
    <row r="111">
      <c r="A111" s="179" t="s">
        <v>32</v>
      </c>
      <c r="B111" s="179" t="s">
        <v>356</v>
      </c>
      <c r="C111" s="179" t="s">
        <v>357</v>
      </c>
    </row>
    <row r="112">
      <c r="A112" s="176" t="s">
        <v>358</v>
      </c>
      <c r="B112" s="176" t="s">
        <v>359</v>
      </c>
      <c r="C112" s="176" t="s">
        <v>360</v>
      </c>
    </row>
    <row r="113">
      <c r="A113" s="176" t="s">
        <v>361</v>
      </c>
      <c r="B113" s="176" t="s">
        <v>362</v>
      </c>
      <c r="C113" s="176" t="s">
        <v>363</v>
      </c>
    </row>
    <row r="114">
      <c r="A114" s="176" t="s">
        <v>364</v>
      </c>
      <c r="B114" s="176" t="s">
        <v>365</v>
      </c>
      <c r="C114" s="176" t="s">
        <v>366</v>
      </c>
    </row>
    <row r="115">
      <c r="A115" s="176" t="s">
        <v>367</v>
      </c>
      <c r="B115" s="176" t="s">
        <v>368</v>
      </c>
      <c r="C115" s="176" t="s">
        <v>369</v>
      </c>
    </row>
    <row r="116">
      <c r="A116" s="176" t="s">
        <v>370</v>
      </c>
      <c r="B116" s="176" t="s">
        <v>371</v>
      </c>
      <c r="C116" s="176" t="s">
        <v>372</v>
      </c>
    </row>
    <row r="117">
      <c r="A117" s="176" t="s">
        <v>373</v>
      </c>
      <c r="B117" s="176" t="s">
        <v>374</v>
      </c>
      <c r="C117" s="176" t="s">
        <v>375</v>
      </c>
    </row>
    <row r="118">
      <c r="A118" s="176" t="s">
        <v>376</v>
      </c>
      <c r="B118" s="176" t="s">
        <v>377</v>
      </c>
      <c r="C118" s="176" t="s">
        <v>378</v>
      </c>
    </row>
    <row r="119">
      <c r="A119" s="176" t="s">
        <v>379</v>
      </c>
      <c r="B119" s="176" t="s">
        <v>380</v>
      </c>
      <c r="C119" s="176" t="s">
        <v>378</v>
      </c>
    </row>
    <row r="120">
      <c r="A120" s="179" t="s">
        <v>381</v>
      </c>
      <c r="B120" s="179" t="s">
        <v>382</v>
      </c>
      <c r="C120" s="176" t="s">
        <v>378</v>
      </c>
    </row>
    <row r="121">
      <c r="A121" s="176" t="s">
        <v>383</v>
      </c>
      <c r="B121" s="176" t="s">
        <v>384</v>
      </c>
      <c r="C121" s="176" t="s">
        <v>385</v>
      </c>
    </row>
    <row r="122">
      <c r="A122" s="176" t="s">
        <v>386</v>
      </c>
      <c r="B122" s="176" t="s">
        <v>387</v>
      </c>
      <c r="C122" s="176" t="s">
        <v>387</v>
      </c>
    </row>
    <row r="123">
      <c r="A123" s="17" t="s">
        <v>388</v>
      </c>
      <c r="B123" s="17" t="s">
        <v>389</v>
      </c>
      <c r="C123" s="17" t="s">
        <v>389</v>
      </c>
    </row>
    <row r="124">
      <c r="A124" s="17" t="s">
        <v>390</v>
      </c>
      <c r="B124" s="17" t="s">
        <v>391</v>
      </c>
      <c r="C124" s="17" t="s">
        <v>392</v>
      </c>
    </row>
    <row r="125">
      <c r="A125" s="17" t="s">
        <v>392</v>
      </c>
      <c r="B125" s="17" t="s">
        <v>393</v>
      </c>
      <c r="C125" s="17" t="s">
        <v>392</v>
      </c>
    </row>
    <row r="126">
      <c r="A126" s="17" t="s">
        <v>394</v>
      </c>
      <c r="B126" s="17" t="s">
        <v>395</v>
      </c>
      <c r="C126" s="17" t="s">
        <v>394</v>
      </c>
    </row>
    <row r="127">
      <c r="A127" s="17" t="s">
        <v>396</v>
      </c>
      <c r="B127" s="17" t="s">
        <v>395</v>
      </c>
      <c r="C127" s="17" t="s">
        <v>394</v>
      </c>
    </row>
    <row r="128">
      <c r="A128" s="17" t="s">
        <v>397</v>
      </c>
      <c r="B128" s="17" t="s">
        <v>395</v>
      </c>
      <c r="C128" s="17" t="s">
        <v>394</v>
      </c>
    </row>
    <row r="129">
      <c r="A129" s="17" t="s">
        <v>398</v>
      </c>
      <c r="B129" s="17" t="s">
        <v>395</v>
      </c>
      <c r="C129" s="17" t="s">
        <v>394</v>
      </c>
    </row>
    <row r="130">
      <c r="A130" s="17" t="s">
        <v>399</v>
      </c>
      <c r="B130" s="17" t="s">
        <v>395</v>
      </c>
      <c r="C130" s="17" t="s">
        <v>394</v>
      </c>
    </row>
    <row r="131">
      <c r="A131" s="17" t="s">
        <v>400</v>
      </c>
      <c r="B131" s="17" t="s">
        <v>395</v>
      </c>
      <c r="C131" s="17" t="s">
        <v>394</v>
      </c>
    </row>
    <row r="132">
      <c r="A132" s="17" t="s">
        <v>401</v>
      </c>
      <c r="B132" s="17" t="s">
        <v>395</v>
      </c>
      <c r="C132" s="17" t="s">
        <v>394</v>
      </c>
    </row>
    <row r="133">
      <c r="A133" s="17" t="s">
        <v>402</v>
      </c>
      <c r="B133" s="17" t="s">
        <v>403</v>
      </c>
      <c r="C133" s="17" t="s">
        <v>403</v>
      </c>
    </row>
    <row r="134">
      <c r="A134" s="17" t="s">
        <v>404</v>
      </c>
      <c r="B134" s="17" t="s">
        <v>403</v>
      </c>
      <c r="C134" s="17" t="s">
        <v>403</v>
      </c>
    </row>
    <row r="135">
      <c r="A135" s="17" t="s">
        <v>53</v>
      </c>
      <c r="B135" s="17" t="s">
        <v>403</v>
      </c>
      <c r="C135" s="17" t="s">
        <v>403</v>
      </c>
    </row>
    <row r="136">
      <c r="A136" s="17" t="s">
        <v>405</v>
      </c>
      <c r="B136" s="17" t="s">
        <v>403</v>
      </c>
      <c r="C136" s="17" t="s">
        <v>403</v>
      </c>
    </row>
    <row r="137">
      <c r="A137" s="17" t="s">
        <v>406</v>
      </c>
      <c r="B137" s="17" t="s">
        <v>403</v>
      </c>
      <c r="C137" s="17" t="s">
        <v>403</v>
      </c>
    </row>
    <row r="138">
      <c r="A138" s="17" t="s">
        <v>407</v>
      </c>
      <c r="B138" s="17" t="s">
        <v>403</v>
      </c>
      <c r="C138" s="17" t="s">
        <v>403</v>
      </c>
    </row>
    <row r="139">
      <c r="A139" s="17" t="s">
        <v>408</v>
      </c>
      <c r="B139" s="17" t="s">
        <v>403</v>
      </c>
      <c r="C139" s="17" t="s">
        <v>403</v>
      </c>
    </row>
    <row r="140">
      <c r="A140" s="17" t="s">
        <v>409</v>
      </c>
      <c r="B140" s="17" t="s">
        <v>403</v>
      </c>
      <c r="C140" s="17" t="s">
        <v>403</v>
      </c>
    </row>
    <row r="141">
      <c r="A141" s="17" t="s">
        <v>410</v>
      </c>
      <c r="B141" s="17" t="s">
        <v>403</v>
      </c>
      <c r="C141" s="17" t="s">
        <v>403</v>
      </c>
    </row>
    <row r="142" ht="6.75" customHeight="1">
      <c r="A142" s="171"/>
      <c r="B142" s="171"/>
      <c r="C142" s="17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1.25"/>
    <col customWidth="1" min="3" max="3" width="9.0"/>
  </cols>
  <sheetData>
    <row r="1">
      <c r="A1" s="180" t="s">
        <v>411</v>
      </c>
      <c r="B1" s="181" t="s">
        <v>13</v>
      </c>
      <c r="C1" s="180" t="s">
        <v>412</v>
      </c>
      <c r="D1" s="180" t="s">
        <v>413</v>
      </c>
    </row>
    <row r="2">
      <c r="A2" s="182" t="s">
        <v>414</v>
      </c>
      <c r="B2" s="174" t="s">
        <v>415</v>
      </c>
      <c r="C2" s="176" t="str">
        <f t="shared" ref="C2:C1054" si="1">IMAGE("https://serebii.net/pokedex-sv/icon/"&amp;A2&amp;".png")</f>
        <v>#REF!</v>
      </c>
      <c r="D2" s="183" t="s">
        <v>416</v>
      </c>
      <c r="E2" s="176" t="str">
        <f>IMAGE("https://archives.bulbagarden.net/media/upload/2/26/Bug_icon_LA.png")</f>
        <v>#REF!</v>
      </c>
    </row>
    <row r="3">
      <c r="A3" s="182" t="s">
        <v>417</v>
      </c>
      <c r="B3" s="174" t="s">
        <v>418</v>
      </c>
      <c r="C3" s="176" t="str">
        <f t="shared" si="1"/>
        <v>#REF!</v>
      </c>
      <c r="D3" s="184" t="s">
        <v>419</v>
      </c>
      <c r="E3" s="176" t="str">
        <f>IMAGE("https://upload.wikimedia.org/wikipedia/commons/thumb/0/09/Pok%C3%A9mon_Dark_Type_Icon.svg/768px-Pok%C3%A9mon_Dark_Type_Icon.svg.png")</f>
        <v>#REF!</v>
      </c>
    </row>
    <row r="4">
      <c r="A4" s="182" t="s">
        <v>420</v>
      </c>
      <c r="B4" s="174" t="s">
        <v>421</v>
      </c>
      <c r="C4" s="176" t="str">
        <f t="shared" si="1"/>
        <v>#REF!</v>
      </c>
      <c r="D4" s="183" t="s">
        <v>422</v>
      </c>
      <c r="E4" s="176" t="str">
        <f>IMAGE("https://archives.bulbagarden.net/media/upload/2/28/Dragon_icon_LA.png")</f>
        <v>#REF!</v>
      </c>
    </row>
    <row r="5">
      <c r="A5" s="182" t="s">
        <v>423</v>
      </c>
      <c r="B5" s="174" t="s">
        <v>424</v>
      </c>
      <c r="C5" s="176" t="str">
        <f t="shared" si="1"/>
        <v>#REF!</v>
      </c>
      <c r="D5" s="183" t="s">
        <v>425</v>
      </c>
      <c r="E5" s="176" t="str">
        <f>IMAGE("https://upload.wikimedia.org/wikipedia/commons/thumb/a/a9/Pok%C3%A9mon_Electric_Type_Icon.svg/768px-Pok%C3%A9mon_Electric_Type_Icon.svg.png")</f>
        <v>#REF!</v>
      </c>
    </row>
    <row r="6">
      <c r="A6" s="182" t="s">
        <v>426</v>
      </c>
      <c r="B6" s="174" t="s">
        <v>427</v>
      </c>
      <c r="C6" s="176" t="str">
        <f t="shared" si="1"/>
        <v>#REF!</v>
      </c>
      <c r="D6" s="183" t="s">
        <v>48</v>
      </c>
      <c r="E6" s="176" t="str">
        <f>IMAGE("https://upload.wikimedia.org/wikipedia/commons/thumb/0/08/Pok%C3%A9mon_Fairy_Type_Icon.svg/768px-Pok%C3%A9mon_Fairy_Type_Icon.svg.png")</f>
        <v>#REF!</v>
      </c>
    </row>
    <row r="7">
      <c r="A7" s="182" t="s">
        <v>428</v>
      </c>
      <c r="B7" s="174" t="s">
        <v>429</v>
      </c>
      <c r="C7" s="176" t="str">
        <f t="shared" si="1"/>
        <v>#REF!</v>
      </c>
      <c r="D7" s="183" t="s">
        <v>430</v>
      </c>
      <c r="E7" s="176" t="str">
        <f>IMAGE("https://upload.wikimedia.org/wikipedia/commons/thumb/b/be/Pok%C3%A9mon_Fighting_Type_Icon.svg/768px-Pok%C3%A9mon_Fighting_Type_Icon.svg.png")</f>
        <v>#REF!</v>
      </c>
    </row>
    <row r="8">
      <c r="A8" s="182" t="s">
        <v>431</v>
      </c>
      <c r="B8" s="174" t="s">
        <v>432</v>
      </c>
      <c r="C8" s="176" t="str">
        <f t="shared" si="1"/>
        <v>#REF!</v>
      </c>
      <c r="D8" s="183" t="s">
        <v>433</v>
      </c>
      <c r="E8" s="176" t="str">
        <f>IMAGE("https://archives.bulbagarden.net/media/upload/4/48/Fire_icon_LA.png")</f>
        <v>#REF!</v>
      </c>
    </row>
    <row r="9">
      <c r="A9" s="182" t="s">
        <v>434</v>
      </c>
      <c r="B9" s="174" t="s">
        <v>435</v>
      </c>
      <c r="C9" s="176" t="str">
        <f t="shared" si="1"/>
        <v>#REF!</v>
      </c>
      <c r="D9" s="183" t="s">
        <v>52</v>
      </c>
      <c r="E9" s="176" t="str">
        <f>IMAGE("https://archives.bulbagarden.net/media/upload/d/de/Flying_icon_LA.png")</f>
        <v>#REF!</v>
      </c>
    </row>
    <row r="10">
      <c r="A10" s="182" t="s">
        <v>436</v>
      </c>
      <c r="B10" s="174" t="s">
        <v>437</v>
      </c>
      <c r="C10" s="176" t="str">
        <f t="shared" si="1"/>
        <v>#REF!</v>
      </c>
      <c r="D10" s="183" t="s">
        <v>438</v>
      </c>
      <c r="E10" s="176" t="str">
        <f>IMAGE("https://archives.bulbagarden.net/media/upload/b/b5/Ghost_icon_LA.png")</f>
        <v>#REF!</v>
      </c>
    </row>
    <row r="11">
      <c r="A11" s="182" t="s">
        <v>439</v>
      </c>
      <c r="B11" s="174" t="s">
        <v>440</v>
      </c>
      <c r="C11" s="176" t="str">
        <f t="shared" si="1"/>
        <v>#REF!</v>
      </c>
      <c r="D11" s="184" t="s">
        <v>50</v>
      </c>
      <c r="E11" s="176" t="str">
        <f>IMAGE("https://archives.bulbagarden.net/media/upload/1/1b/Grass_icon_LA.png")</f>
        <v>#REF!</v>
      </c>
    </row>
    <row r="12">
      <c r="A12" s="182" t="s">
        <v>441</v>
      </c>
      <c r="B12" s="174" t="s">
        <v>442</v>
      </c>
      <c r="C12" s="176" t="str">
        <f t="shared" si="1"/>
        <v>#REF!</v>
      </c>
      <c r="D12" s="183" t="s">
        <v>443</v>
      </c>
      <c r="E12" s="176" t="str">
        <f>IMAGE("https://upload.wikimedia.org/wikipedia/commons/thumb/8/8d/Pok%C3%A9mon_Ground_Type_Icon.svg/768px-Pok%C3%A9mon_Ground_Type_Icon.svg.png")</f>
        <v>#REF!</v>
      </c>
    </row>
    <row r="13">
      <c r="A13" s="182" t="s">
        <v>444</v>
      </c>
      <c r="B13" s="174" t="s">
        <v>445</v>
      </c>
      <c r="C13" s="176" t="str">
        <f t="shared" si="1"/>
        <v>#REF!</v>
      </c>
      <c r="D13" s="183" t="s">
        <v>49</v>
      </c>
      <c r="E13" s="176" t="str">
        <f>IMAGE("https://upload.wikimedia.org/wikipedia/commons/thumb/8/88/Pok%C3%A9mon_Ice_Type_Icon.svg/768px-Pok%C3%A9mon_Ice_Type_Icon.svg.png")</f>
        <v>#REF!</v>
      </c>
    </row>
    <row r="14">
      <c r="A14" s="182" t="s">
        <v>446</v>
      </c>
      <c r="B14" s="174" t="s">
        <v>447</v>
      </c>
      <c r="C14" s="176" t="str">
        <f t="shared" si="1"/>
        <v>#REF!</v>
      </c>
      <c r="D14" s="183" t="s">
        <v>448</v>
      </c>
      <c r="E14" s="176" t="str">
        <f>IMAGE("https://upload.wikimedia.org/wikipedia/commons/thumb/a/aa/Pok%C3%A9mon_Normal_Type_Icon.svg/768px-Pok%C3%A9mon_Normal_Type_Icon.svg.png")</f>
        <v>#REF!</v>
      </c>
    </row>
    <row r="15">
      <c r="A15" s="182" t="s">
        <v>449</v>
      </c>
      <c r="B15" s="174" t="s">
        <v>450</v>
      </c>
      <c r="C15" s="176" t="str">
        <f t="shared" si="1"/>
        <v>#REF!</v>
      </c>
      <c r="D15" s="183" t="s">
        <v>451</v>
      </c>
      <c r="E15" s="176" t="str">
        <f>IMAGE("https://upload.wikimedia.org/wikipedia/commons/thumb/c/c4/Pok%C3%A9mon_Poison_Type_Icon.svg/768px-Pok%C3%A9mon_Poison_Type_Icon.svg.png")</f>
        <v>#REF!</v>
      </c>
    </row>
    <row r="16">
      <c r="A16" s="182" t="s">
        <v>452</v>
      </c>
      <c r="B16" s="174" t="s">
        <v>453</v>
      </c>
      <c r="C16" s="176" t="str">
        <f t="shared" si="1"/>
        <v>#REF!</v>
      </c>
      <c r="D16" s="184" t="s">
        <v>454</v>
      </c>
      <c r="E16" s="176" t="str">
        <f>IMAGE("https://upload.wikimedia.org/wikipedia/commons/thumb/a/ab/Pok%C3%A9mon_Psychic_Type_Icon.svg/768px-Pok%C3%A9mon_Psychic_Type_Icon.svg.png")</f>
        <v>#REF!</v>
      </c>
    </row>
    <row r="17">
      <c r="A17" s="182" t="s">
        <v>455</v>
      </c>
      <c r="B17" s="174" t="s">
        <v>456</v>
      </c>
      <c r="C17" s="176" t="str">
        <f t="shared" si="1"/>
        <v>#REF!</v>
      </c>
      <c r="D17" s="183" t="s">
        <v>457</v>
      </c>
      <c r="E17" s="176" t="str">
        <f>IMAGE("https://upload.wikimedia.org/wikipedia/commons/thumb/b/bb/Pok%C3%A9mon_Rock_Type_Icon.svg/768px-Pok%C3%A9mon_Rock_Type_Icon.svg.png")</f>
        <v>#REF!</v>
      </c>
    </row>
    <row r="18">
      <c r="A18" s="182" t="s">
        <v>458</v>
      </c>
      <c r="B18" s="174" t="s">
        <v>459</v>
      </c>
      <c r="C18" s="176" t="str">
        <f t="shared" si="1"/>
        <v>#REF!</v>
      </c>
      <c r="D18" s="183" t="s">
        <v>51</v>
      </c>
      <c r="E18" s="176" t="str">
        <f>IMAGE("https://upload.wikimedia.org/wikipedia/commons/thumb/3/38/Pok%C3%A9mon_Steel_Type_Icon.svg/768px-Pok%C3%A9mon_Steel_Type_Icon.svg.png")</f>
        <v>#REF!</v>
      </c>
    </row>
    <row r="19">
      <c r="A19" s="182" t="s">
        <v>460</v>
      </c>
      <c r="B19" s="174" t="s">
        <v>461</v>
      </c>
      <c r="C19" s="176" t="str">
        <f t="shared" si="1"/>
        <v>#REF!</v>
      </c>
      <c r="D19" s="183" t="s">
        <v>462</v>
      </c>
      <c r="E19" s="176" t="str">
        <f>IMAGE("https://upload.wikimedia.org/wikipedia/commons/thumb/0/0b/Pok%C3%A9mon_Water_Type_Icon.svg/768px-Pok%C3%A9mon_Water_Type_Icon.svg.png")</f>
        <v>#REF!</v>
      </c>
    </row>
    <row r="20">
      <c r="A20" s="182" t="s">
        <v>463</v>
      </c>
      <c r="B20" s="174" t="s">
        <v>464</v>
      </c>
      <c r="C20" s="176" t="str">
        <f t="shared" si="1"/>
        <v>#REF!</v>
      </c>
      <c r="D20" s="185" t="s">
        <v>465</v>
      </c>
      <c r="E20" s="176" t="str">
        <f>IMAGE("https://images.wikidexcdn.net/mwuploads/wikidex/6/6a/latest/20231216092512/Teratipo_astral_icono_EP.png")</f>
        <v>#REF!</v>
      </c>
    </row>
    <row r="21">
      <c r="A21" s="182" t="s">
        <v>466</v>
      </c>
      <c r="B21" s="174" t="s">
        <v>467</v>
      </c>
      <c r="C21" s="176" t="str">
        <f t="shared" si="1"/>
        <v>#REF!</v>
      </c>
      <c r="D21" s="176"/>
      <c r="E21" s="176"/>
    </row>
    <row r="22">
      <c r="A22" s="182" t="s">
        <v>468</v>
      </c>
      <c r="B22" s="174" t="s">
        <v>469</v>
      </c>
      <c r="C22" s="176" t="str">
        <f t="shared" si="1"/>
        <v>#REF!</v>
      </c>
      <c r="D22" s="176"/>
      <c r="E22" s="176"/>
    </row>
    <row r="23">
      <c r="A23" s="182" t="s">
        <v>470</v>
      </c>
      <c r="B23" s="174" t="s">
        <v>471</v>
      </c>
      <c r="C23" s="176" t="str">
        <f t="shared" si="1"/>
        <v>#REF!</v>
      </c>
      <c r="D23" s="176"/>
      <c r="E23" s="176"/>
    </row>
    <row r="24">
      <c r="A24" s="182" t="s">
        <v>472</v>
      </c>
      <c r="B24" s="174" t="s">
        <v>473</v>
      </c>
      <c r="C24" s="176" t="str">
        <f t="shared" si="1"/>
        <v>#REF!</v>
      </c>
      <c r="D24" s="176"/>
      <c r="E24" s="176"/>
    </row>
    <row r="25">
      <c r="A25" s="182" t="s">
        <v>474</v>
      </c>
      <c r="B25" s="174" t="s">
        <v>475</v>
      </c>
      <c r="C25" s="176" t="str">
        <f t="shared" si="1"/>
        <v>#REF!</v>
      </c>
      <c r="D25" s="176"/>
      <c r="E25" s="176"/>
    </row>
    <row r="26">
      <c r="A26" s="182" t="s">
        <v>476</v>
      </c>
      <c r="B26" s="174" t="s">
        <v>477</v>
      </c>
      <c r="C26" s="176" t="str">
        <f t="shared" si="1"/>
        <v>#REF!</v>
      </c>
      <c r="D26" s="176"/>
      <c r="E26" s="176"/>
    </row>
    <row r="27">
      <c r="A27" s="182" t="s">
        <v>478</v>
      </c>
      <c r="B27" s="174" t="s">
        <v>479</v>
      </c>
      <c r="C27" s="176" t="str">
        <f t="shared" si="1"/>
        <v>#REF!</v>
      </c>
      <c r="D27" s="176"/>
      <c r="E27" s="176"/>
    </row>
    <row r="28">
      <c r="A28" s="182" t="s">
        <v>480</v>
      </c>
      <c r="B28" s="174" t="s">
        <v>481</v>
      </c>
      <c r="C28" s="176" t="str">
        <f t="shared" si="1"/>
        <v>#REF!</v>
      </c>
      <c r="D28" s="176"/>
      <c r="E28" s="176"/>
    </row>
    <row r="29">
      <c r="A29" s="182" t="s">
        <v>482</v>
      </c>
      <c r="B29" s="174" t="s">
        <v>483</v>
      </c>
      <c r="C29" s="176" t="str">
        <f t="shared" si="1"/>
        <v>#REF!</v>
      </c>
      <c r="D29" s="176"/>
      <c r="E29" s="176"/>
    </row>
    <row r="30">
      <c r="A30" s="182" t="s">
        <v>484</v>
      </c>
      <c r="B30" s="174" t="s">
        <v>485</v>
      </c>
      <c r="C30" s="176" t="str">
        <f t="shared" si="1"/>
        <v>#REF!</v>
      </c>
      <c r="D30" s="176"/>
      <c r="E30" s="176"/>
    </row>
    <row r="31">
      <c r="A31" s="182" t="s">
        <v>486</v>
      </c>
      <c r="B31" s="174" t="s">
        <v>487</v>
      </c>
      <c r="C31" s="176" t="str">
        <f t="shared" si="1"/>
        <v>#REF!</v>
      </c>
      <c r="D31" s="176"/>
      <c r="E31" s="176"/>
    </row>
    <row r="32">
      <c r="A32" s="182" t="s">
        <v>488</v>
      </c>
      <c r="B32" s="174" t="s">
        <v>489</v>
      </c>
      <c r="C32" s="176" t="str">
        <f t="shared" si="1"/>
        <v>#REF!</v>
      </c>
      <c r="D32" s="176"/>
      <c r="E32" s="176"/>
    </row>
    <row r="33">
      <c r="A33" s="182" t="s">
        <v>490</v>
      </c>
      <c r="B33" s="174" t="s">
        <v>491</v>
      </c>
      <c r="C33" s="176" t="str">
        <f t="shared" si="1"/>
        <v>#REF!</v>
      </c>
      <c r="D33" s="176"/>
      <c r="E33" s="176"/>
    </row>
    <row r="34">
      <c r="A34" s="182" t="s">
        <v>492</v>
      </c>
      <c r="B34" s="174" t="s">
        <v>493</v>
      </c>
      <c r="C34" s="176" t="str">
        <f t="shared" si="1"/>
        <v>#REF!</v>
      </c>
      <c r="D34" s="176"/>
      <c r="E34" s="176"/>
    </row>
    <row r="35">
      <c r="A35" s="182" t="s">
        <v>494</v>
      </c>
      <c r="B35" s="174" t="s">
        <v>346</v>
      </c>
      <c r="C35" s="176" t="str">
        <f t="shared" si="1"/>
        <v>#REF!</v>
      </c>
      <c r="D35" s="176"/>
      <c r="E35" s="176"/>
    </row>
    <row r="36">
      <c r="A36" s="182" t="s">
        <v>495</v>
      </c>
      <c r="B36" s="174" t="s">
        <v>345</v>
      </c>
      <c r="C36" s="176" t="str">
        <f t="shared" si="1"/>
        <v>#REF!</v>
      </c>
      <c r="D36" s="176"/>
      <c r="E36" s="176"/>
    </row>
    <row r="37">
      <c r="A37" s="182" t="s">
        <v>496</v>
      </c>
      <c r="B37" s="174" t="s">
        <v>352</v>
      </c>
      <c r="C37" s="176" t="str">
        <f t="shared" si="1"/>
        <v>#REF!</v>
      </c>
      <c r="D37" s="176"/>
      <c r="E37" s="176"/>
    </row>
    <row r="38">
      <c r="A38" s="182" t="s">
        <v>497</v>
      </c>
      <c r="B38" s="174" t="s">
        <v>351</v>
      </c>
      <c r="C38" s="176" t="str">
        <f t="shared" si="1"/>
        <v>#REF!</v>
      </c>
      <c r="D38" s="176"/>
      <c r="E38" s="176"/>
    </row>
    <row r="39">
      <c r="A39" s="182" t="s">
        <v>498</v>
      </c>
      <c r="B39" s="174" t="s">
        <v>355</v>
      </c>
      <c r="C39" s="176" t="str">
        <f t="shared" si="1"/>
        <v>#REF!</v>
      </c>
      <c r="D39" s="176"/>
      <c r="E39" s="176"/>
    </row>
    <row r="40">
      <c r="A40" s="182" t="s">
        <v>499</v>
      </c>
      <c r="B40" s="174" t="s">
        <v>354</v>
      </c>
      <c r="C40" s="176" t="str">
        <f t="shared" si="1"/>
        <v>#REF!</v>
      </c>
      <c r="D40" s="176"/>
      <c r="E40" s="176"/>
    </row>
    <row r="41">
      <c r="A41" s="182" t="s">
        <v>500</v>
      </c>
      <c r="B41" s="174" t="s">
        <v>501</v>
      </c>
      <c r="C41" s="176" t="str">
        <f t="shared" si="1"/>
        <v>#REF!</v>
      </c>
      <c r="D41" s="176"/>
      <c r="E41" s="176"/>
    </row>
    <row r="42">
      <c r="A42" s="182" t="s">
        <v>502</v>
      </c>
      <c r="B42" s="174" t="s">
        <v>503</v>
      </c>
      <c r="C42" s="176" t="str">
        <f t="shared" si="1"/>
        <v>#REF!</v>
      </c>
      <c r="D42" s="176"/>
      <c r="E42" s="176"/>
    </row>
    <row r="43">
      <c r="A43" s="182" t="s">
        <v>504</v>
      </c>
      <c r="B43" s="174" t="s">
        <v>505</v>
      </c>
      <c r="C43" s="176" t="str">
        <f t="shared" si="1"/>
        <v>#REF!</v>
      </c>
      <c r="D43" s="176"/>
      <c r="E43" s="176"/>
    </row>
    <row r="44">
      <c r="A44" s="182" t="s">
        <v>506</v>
      </c>
      <c r="B44" s="174" t="s">
        <v>507</v>
      </c>
      <c r="C44" s="176" t="str">
        <f t="shared" si="1"/>
        <v>#REF!</v>
      </c>
      <c r="D44" s="176"/>
      <c r="E44" s="176"/>
    </row>
    <row r="45">
      <c r="A45" s="182" t="s">
        <v>508</v>
      </c>
      <c r="B45" s="174" t="s">
        <v>509</v>
      </c>
      <c r="C45" s="176" t="str">
        <f t="shared" si="1"/>
        <v>#REF!</v>
      </c>
      <c r="D45" s="176"/>
      <c r="E45" s="176"/>
    </row>
    <row r="46">
      <c r="A46" s="182" t="s">
        <v>510</v>
      </c>
      <c r="B46" s="174" t="s">
        <v>511</v>
      </c>
      <c r="C46" s="176" t="str">
        <f t="shared" si="1"/>
        <v>#REF!</v>
      </c>
      <c r="D46" s="176"/>
      <c r="E46" s="176"/>
    </row>
    <row r="47">
      <c r="A47" s="182" t="s">
        <v>512</v>
      </c>
      <c r="B47" s="174" t="s">
        <v>513</v>
      </c>
      <c r="C47" s="176" t="str">
        <f t="shared" si="1"/>
        <v>#REF!</v>
      </c>
      <c r="D47" s="176"/>
      <c r="E47" s="176"/>
    </row>
    <row r="48">
      <c r="A48" s="182" t="s">
        <v>514</v>
      </c>
      <c r="B48" s="174" t="s">
        <v>515</v>
      </c>
      <c r="C48" s="176" t="str">
        <f t="shared" si="1"/>
        <v>#REF!</v>
      </c>
      <c r="D48" s="176"/>
      <c r="E48" s="176"/>
    </row>
    <row r="49">
      <c r="A49" s="182" t="s">
        <v>516</v>
      </c>
      <c r="B49" s="174" t="s">
        <v>360</v>
      </c>
      <c r="C49" s="176" t="str">
        <f t="shared" si="1"/>
        <v>#REF!</v>
      </c>
      <c r="D49" s="176"/>
      <c r="E49" s="176"/>
    </row>
    <row r="50">
      <c r="A50" s="182" t="s">
        <v>517</v>
      </c>
      <c r="B50" s="174" t="s">
        <v>359</v>
      </c>
      <c r="C50" s="176" t="str">
        <f t="shared" si="1"/>
        <v>#REF!</v>
      </c>
      <c r="D50" s="176"/>
      <c r="E50" s="176"/>
    </row>
    <row r="51">
      <c r="A51" s="182" t="s">
        <v>518</v>
      </c>
      <c r="B51" s="174" t="s">
        <v>363</v>
      </c>
      <c r="C51" s="176" t="str">
        <f t="shared" si="1"/>
        <v>#REF!</v>
      </c>
      <c r="D51" s="176"/>
      <c r="E51" s="176"/>
    </row>
    <row r="52">
      <c r="A52" s="182" t="s">
        <v>519</v>
      </c>
      <c r="B52" s="174" t="s">
        <v>362</v>
      </c>
      <c r="C52" s="176" t="str">
        <f t="shared" si="1"/>
        <v>#REF!</v>
      </c>
      <c r="D52" s="176"/>
      <c r="E52" s="176"/>
    </row>
    <row r="53">
      <c r="A53" s="182" t="s">
        <v>520</v>
      </c>
      <c r="B53" s="174" t="s">
        <v>521</v>
      </c>
      <c r="C53" s="176" t="str">
        <f t="shared" si="1"/>
        <v>#REF!</v>
      </c>
      <c r="D53" s="176"/>
      <c r="E53" s="176"/>
    </row>
    <row r="54">
      <c r="A54" s="182" t="s">
        <v>522</v>
      </c>
      <c r="B54" s="174" t="s">
        <v>523</v>
      </c>
      <c r="C54" s="176" t="str">
        <f t="shared" si="1"/>
        <v>#REF!</v>
      </c>
      <c r="D54" s="176"/>
      <c r="E54" s="176"/>
    </row>
    <row r="55">
      <c r="A55" s="182" t="s">
        <v>524</v>
      </c>
      <c r="B55" s="174" t="s">
        <v>525</v>
      </c>
      <c r="C55" s="176" t="str">
        <f t="shared" si="1"/>
        <v>#REF!</v>
      </c>
      <c r="D55" s="176"/>
      <c r="E55" s="176"/>
    </row>
    <row r="56">
      <c r="A56" s="182" t="s">
        <v>526</v>
      </c>
      <c r="B56" s="174" t="s">
        <v>527</v>
      </c>
      <c r="C56" s="176" t="str">
        <f t="shared" si="1"/>
        <v>#REF!</v>
      </c>
      <c r="D56" s="176"/>
      <c r="E56" s="176"/>
    </row>
    <row r="57">
      <c r="A57" s="182" t="s">
        <v>528</v>
      </c>
      <c r="B57" s="174" t="s">
        <v>529</v>
      </c>
      <c r="C57" s="176" t="str">
        <f t="shared" si="1"/>
        <v>#REF!</v>
      </c>
      <c r="D57" s="176"/>
      <c r="E57" s="176"/>
    </row>
    <row r="58">
      <c r="A58" s="182" t="s">
        <v>530</v>
      </c>
      <c r="B58" s="174" t="s">
        <v>531</v>
      </c>
      <c r="C58" s="176" t="str">
        <f t="shared" si="1"/>
        <v>#REF!</v>
      </c>
      <c r="D58" s="176"/>
      <c r="E58" s="176"/>
    </row>
    <row r="59">
      <c r="A59" s="182" t="s">
        <v>532</v>
      </c>
      <c r="B59" s="174" t="s">
        <v>533</v>
      </c>
      <c r="C59" s="176" t="str">
        <f t="shared" si="1"/>
        <v>#REF!</v>
      </c>
      <c r="D59" s="176"/>
      <c r="E59" s="176"/>
    </row>
    <row r="60">
      <c r="A60" s="182" t="s">
        <v>534</v>
      </c>
      <c r="B60" s="174" t="s">
        <v>535</v>
      </c>
      <c r="C60" s="176" t="str">
        <f t="shared" si="1"/>
        <v>#REF!</v>
      </c>
      <c r="D60" s="176"/>
      <c r="E60" s="176"/>
    </row>
    <row r="61">
      <c r="A61" s="182" t="s">
        <v>536</v>
      </c>
      <c r="B61" s="174" t="s">
        <v>537</v>
      </c>
      <c r="C61" s="176" t="str">
        <f t="shared" si="1"/>
        <v>#REF!</v>
      </c>
      <c r="D61" s="176"/>
      <c r="E61" s="176"/>
    </row>
    <row r="62">
      <c r="A62" s="182" t="s">
        <v>538</v>
      </c>
      <c r="B62" s="174" t="s">
        <v>539</v>
      </c>
      <c r="C62" s="176" t="str">
        <f t="shared" si="1"/>
        <v>#REF!</v>
      </c>
      <c r="D62" s="176"/>
      <c r="E62" s="176"/>
    </row>
    <row r="63">
      <c r="A63" s="182" t="s">
        <v>540</v>
      </c>
      <c r="B63" s="174" t="s">
        <v>541</v>
      </c>
      <c r="C63" s="176" t="str">
        <f t="shared" si="1"/>
        <v>#REF!</v>
      </c>
      <c r="D63" s="176"/>
      <c r="E63" s="176"/>
    </row>
    <row r="64">
      <c r="A64" s="182" t="s">
        <v>542</v>
      </c>
      <c r="B64" s="174" t="s">
        <v>332</v>
      </c>
      <c r="C64" s="176" t="str">
        <f t="shared" si="1"/>
        <v>#REF!</v>
      </c>
      <c r="D64" s="176"/>
      <c r="E64" s="176"/>
    </row>
    <row r="65">
      <c r="A65" s="182" t="s">
        <v>543</v>
      </c>
      <c r="B65" s="174" t="s">
        <v>331</v>
      </c>
      <c r="C65" s="176" t="str">
        <f t="shared" si="1"/>
        <v>#REF!</v>
      </c>
      <c r="D65" s="176"/>
      <c r="E65" s="176"/>
    </row>
    <row r="66">
      <c r="A66" s="182" t="s">
        <v>544</v>
      </c>
      <c r="B66" s="174" t="s">
        <v>335</v>
      </c>
      <c r="C66" s="176" t="str">
        <f t="shared" si="1"/>
        <v>#REF!</v>
      </c>
      <c r="D66" s="176"/>
      <c r="E66" s="176"/>
    </row>
    <row r="67">
      <c r="A67" s="182" t="s">
        <v>545</v>
      </c>
      <c r="B67" s="174" t="s">
        <v>334</v>
      </c>
      <c r="C67" s="176" t="str">
        <f t="shared" si="1"/>
        <v>#REF!</v>
      </c>
      <c r="D67" s="176"/>
      <c r="E67" s="176"/>
    </row>
    <row r="68">
      <c r="A68" s="182" t="s">
        <v>546</v>
      </c>
      <c r="B68" s="174" t="s">
        <v>338</v>
      </c>
      <c r="C68" s="176" t="str">
        <f t="shared" si="1"/>
        <v>#REF!</v>
      </c>
      <c r="D68" s="176"/>
      <c r="E68" s="176"/>
    </row>
    <row r="69">
      <c r="A69" s="182" t="s">
        <v>547</v>
      </c>
      <c r="B69" s="174" t="s">
        <v>340</v>
      </c>
      <c r="C69" s="176" t="str">
        <f t="shared" si="1"/>
        <v>#REF!</v>
      </c>
      <c r="D69" s="176"/>
      <c r="E69" s="176"/>
    </row>
    <row r="70">
      <c r="A70" s="186" t="s">
        <v>548</v>
      </c>
      <c r="B70" s="174" t="s">
        <v>337</v>
      </c>
      <c r="C70" s="176" t="str">
        <f t="shared" si="1"/>
        <v>#REF!</v>
      </c>
      <c r="D70" s="176"/>
      <c r="E70" s="176"/>
    </row>
    <row r="71">
      <c r="A71" s="182" t="s">
        <v>549</v>
      </c>
      <c r="B71" s="174" t="s">
        <v>343</v>
      </c>
      <c r="C71" s="176" t="str">
        <f t="shared" si="1"/>
        <v>#REF!</v>
      </c>
      <c r="D71" s="176"/>
      <c r="E71" s="176"/>
    </row>
    <row r="72">
      <c r="A72" s="182" t="s">
        <v>550</v>
      </c>
      <c r="B72" s="174" t="s">
        <v>342</v>
      </c>
      <c r="C72" s="176" t="str">
        <f t="shared" si="1"/>
        <v>#REF!</v>
      </c>
      <c r="D72" s="176"/>
      <c r="E72" s="176"/>
    </row>
    <row r="73">
      <c r="A73" s="182" t="s">
        <v>551</v>
      </c>
      <c r="B73" s="174" t="s">
        <v>552</v>
      </c>
      <c r="C73" s="176" t="str">
        <f t="shared" si="1"/>
        <v>#REF!</v>
      </c>
      <c r="D73" s="176"/>
      <c r="E73" s="176"/>
    </row>
    <row r="74">
      <c r="A74" s="182" t="s">
        <v>553</v>
      </c>
      <c r="B74" s="174" t="s">
        <v>554</v>
      </c>
      <c r="C74" s="176" t="str">
        <f t="shared" si="1"/>
        <v>#REF!</v>
      </c>
      <c r="D74" s="176"/>
      <c r="E74" s="176"/>
    </row>
    <row r="75">
      <c r="A75" s="182" t="s">
        <v>555</v>
      </c>
      <c r="B75" s="174" t="s">
        <v>556</v>
      </c>
      <c r="C75" s="176" t="str">
        <f t="shared" si="1"/>
        <v>#REF!</v>
      </c>
      <c r="D75" s="176"/>
      <c r="E75" s="176"/>
    </row>
    <row r="76">
      <c r="A76" s="182" t="s">
        <v>557</v>
      </c>
      <c r="B76" s="174" t="s">
        <v>558</v>
      </c>
      <c r="C76" s="176" t="str">
        <f t="shared" si="1"/>
        <v>#REF!</v>
      </c>
      <c r="D76" s="176"/>
      <c r="E76" s="176"/>
    </row>
    <row r="77">
      <c r="A77" s="182" t="s">
        <v>559</v>
      </c>
      <c r="B77" s="174" t="s">
        <v>267</v>
      </c>
      <c r="C77" s="176" t="str">
        <f t="shared" si="1"/>
        <v>#REF!</v>
      </c>
      <c r="D77" s="176"/>
      <c r="E77" s="176"/>
    </row>
    <row r="78">
      <c r="A78" s="182" t="s">
        <v>560</v>
      </c>
      <c r="B78" s="174" t="s">
        <v>266</v>
      </c>
      <c r="C78" s="176" t="str">
        <f t="shared" si="1"/>
        <v>#REF!</v>
      </c>
      <c r="D78" s="176"/>
      <c r="E78" s="176"/>
    </row>
    <row r="79">
      <c r="A79" s="182" t="s">
        <v>561</v>
      </c>
      <c r="B79" s="174" t="s">
        <v>270</v>
      </c>
      <c r="C79" s="176" t="str">
        <f t="shared" si="1"/>
        <v>#REF!</v>
      </c>
      <c r="D79" s="176"/>
      <c r="E79" s="176"/>
    </row>
    <row r="80">
      <c r="A80" s="182" t="s">
        <v>562</v>
      </c>
      <c r="B80" s="174" t="s">
        <v>269</v>
      </c>
      <c r="C80" s="176" t="str">
        <f t="shared" si="1"/>
        <v>#REF!</v>
      </c>
      <c r="D80" s="176"/>
      <c r="E80" s="176"/>
    </row>
    <row r="81">
      <c r="A81" s="182" t="s">
        <v>563</v>
      </c>
      <c r="B81" s="174" t="s">
        <v>564</v>
      </c>
      <c r="C81" s="176" t="str">
        <f t="shared" si="1"/>
        <v>#REF!</v>
      </c>
      <c r="D81" s="176"/>
      <c r="E81" s="176"/>
    </row>
    <row r="82">
      <c r="A82" s="182" t="s">
        <v>565</v>
      </c>
      <c r="B82" s="174" t="s">
        <v>566</v>
      </c>
      <c r="C82" s="176" t="str">
        <f t="shared" si="1"/>
        <v>#REF!</v>
      </c>
      <c r="D82" s="176"/>
      <c r="E82" s="176"/>
    </row>
    <row r="83">
      <c r="A83" s="182" t="s">
        <v>567</v>
      </c>
      <c r="B83" s="174" t="s">
        <v>568</v>
      </c>
      <c r="C83" s="176" t="str">
        <f t="shared" si="1"/>
        <v>#REF!</v>
      </c>
      <c r="D83" s="176"/>
      <c r="E83" s="176"/>
    </row>
    <row r="84">
      <c r="A84" s="182" t="s">
        <v>569</v>
      </c>
      <c r="B84" s="174" t="s">
        <v>570</v>
      </c>
      <c r="C84" s="176" t="str">
        <f t="shared" si="1"/>
        <v>#REF!</v>
      </c>
      <c r="D84" s="176"/>
      <c r="E84" s="176"/>
    </row>
    <row r="85">
      <c r="A85" s="182" t="s">
        <v>571</v>
      </c>
      <c r="B85" s="174" t="s">
        <v>572</v>
      </c>
      <c r="C85" s="176" t="str">
        <f t="shared" si="1"/>
        <v>#REF!</v>
      </c>
      <c r="D85" s="176"/>
      <c r="E85" s="176"/>
    </row>
    <row r="86">
      <c r="A86" s="182" t="s">
        <v>573</v>
      </c>
      <c r="B86" s="174" t="s">
        <v>574</v>
      </c>
      <c r="C86" s="176" t="str">
        <f t="shared" si="1"/>
        <v>#REF!</v>
      </c>
      <c r="D86" s="176"/>
      <c r="E86" s="176"/>
    </row>
    <row r="87">
      <c r="A87" s="182" t="s">
        <v>575</v>
      </c>
      <c r="B87" s="174" t="s">
        <v>576</v>
      </c>
      <c r="C87" s="176" t="str">
        <f t="shared" si="1"/>
        <v>#REF!</v>
      </c>
      <c r="D87" s="176"/>
      <c r="E87" s="176"/>
    </row>
    <row r="88">
      <c r="A88" s="182" t="s">
        <v>577</v>
      </c>
      <c r="B88" s="174" t="s">
        <v>578</v>
      </c>
      <c r="C88" s="176" t="str">
        <f t="shared" si="1"/>
        <v>#REF!</v>
      </c>
      <c r="D88" s="176"/>
      <c r="E88" s="176"/>
    </row>
    <row r="89">
      <c r="A89" s="182" t="s">
        <v>579</v>
      </c>
      <c r="B89" s="174" t="s">
        <v>580</v>
      </c>
      <c r="C89" s="176" t="str">
        <f t="shared" si="1"/>
        <v>#REF!</v>
      </c>
      <c r="D89" s="176"/>
      <c r="E89" s="176"/>
    </row>
    <row r="90">
      <c r="A90" s="182" t="s">
        <v>581</v>
      </c>
      <c r="B90" s="174" t="s">
        <v>582</v>
      </c>
      <c r="C90" s="176" t="str">
        <f t="shared" si="1"/>
        <v>#REF!</v>
      </c>
      <c r="D90" s="176"/>
      <c r="E90" s="176"/>
    </row>
    <row r="91">
      <c r="A91" s="182" t="s">
        <v>583</v>
      </c>
      <c r="B91" s="174" t="s">
        <v>584</v>
      </c>
      <c r="C91" s="176" t="str">
        <f t="shared" si="1"/>
        <v>#REF!</v>
      </c>
      <c r="D91" s="176"/>
      <c r="E91" s="176"/>
    </row>
    <row r="92">
      <c r="A92" s="182" t="s">
        <v>585</v>
      </c>
      <c r="B92" s="174" t="s">
        <v>586</v>
      </c>
      <c r="C92" s="176" t="str">
        <f t="shared" si="1"/>
        <v>#REF!</v>
      </c>
      <c r="D92" s="176"/>
      <c r="E92" s="176"/>
    </row>
    <row r="93">
      <c r="A93" s="182" t="s">
        <v>587</v>
      </c>
      <c r="B93" s="174" t="s">
        <v>588</v>
      </c>
      <c r="C93" s="176" t="str">
        <f t="shared" si="1"/>
        <v>#REF!</v>
      </c>
      <c r="D93" s="176"/>
      <c r="E93" s="176"/>
    </row>
    <row r="94">
      <c r="A94" s="182" t="s">
        <v>589</v>
      </c>
      <c r="B94" s="174" t="s">
        <v>590</v>
      </c>
      <c r="C94" s="176" t="str">
        <f t="shared" si="1"/>
        <v>#REF!</v>
      </c>
      <c r="D94" s="176"/>
      <c r="E94" s="176"/>
    </row>
    <row r="95">
      <c r="A95" s="182" t="s">
        <v>591</v>
      </c>
      <c r="B95" s="174" t="s">
        <v>592</v>
      </c>
      <c r="C95" s="176" t="str">
        <f t="shared" si="1"/>
        <v>#REF!</v>
      </c>
      <c r="D95" s="176"/>
      <c r="E95" s="176"/>
    </row>
    <row r="96">
      <c r="A96" s="182" t="s">
        <v>593</v>
      </c>
      <c r="B96" s="174" t="s">
        <v>366</v>
      </c>
      <c r="C96" s="176" t="str">
        <f t="shared" si="1"/>
        <v>#REF!</v>
      </c>
      <c r="D96" s="176"/>
      <c r="E96" s="176"/>
    </row>
    <row r="97">
      <c r="A97" s="182" t="s">
        <v>594</v>
      </c>
      <c r="B97" s="174" t="s">
        <v>365</v>
      </c>
      <c r="C97" s="176" t="str">
        <f t="shared" si="1"/>
        <v>#REF!</v>
      </c>
      <c r="D97" s="176"/>
      <c r="E97" s="176"/>
    </row>
    <row r="98">
      <c r="A98" s="182" t="s">
        <v>595</v>
      </c>
      <c r="B98" s="174" t="s">
        <v>369</v>
      </c>
      <c r="C98" s="176" t="str">
        <f t="shared" si="1"/>
        <v>#REF!</v>
      </c>
      <c r="D98" s="176"/>
      <c r="E98" s="176"/>
    </row>
    <row r="99">
      <c r="A99" s="182" t="s">
        <v>596</v>
      </c>
      <c r="B99" s="174" t="s">
        <v>368</v>
      </c>
      <c r="C99" s="176" t="str">
        <f t="shared" si="1"/>
        <v>#REF!</v>
      </c>
      <c r="D99" s="176"/>
      <c r="E99" s="176"/>
    </row>
    <row r="100">
      <c r="A100" s="182" t="s">
        <v>597</v>
      </c>
      <c r="B100" s="174" t="s">
        <v>372</v>
      </c>
      <c r="C100" s="176" t="str">
        <f t="shared" si="1"/>
        <v>#REF!</v>
      </c>
      <c r="D100" s="176"/>
      <c r="E100" s="176"/>
    </row>
    <row r="101">
      <c r="A101" s="182" t="s">
        <v>598</v>
      </c>
      <c r="B101" s="174" t="s">
        <v>371</v>
      </c>
      <c r="C101" s="176" t="str">
        <f t="shared" si="1"/>
        <v>#REF!</v>
      </c>
      <c r="D101" s="176"/>
      <c r="E101" s="176"/>
    </row>
    <row r="102">
      <c r="A102" s="182" t="s">
        <v>599</v>
      </c>
      <c r="B102" s="174" t="s">
        <v>600</v>
      </c>
      <c r="C102" s="176" t="str">
        <f t="shared" si="1"/>
        <v>#REF!</v>
      </c>
      <c r="D102" s="176"/>
      <c r="E102" s="176"/>
    </row>
    <row r="103">
      <c r="A103" s="182" t="s">
        <v>601</v>
      </c>
      <c r="B103" s="174" t="s">
        <v>602</v>
      </c>
      <c r="C103" s="176" t="str">
        <f t="shared" si="1"/>
        <v>#REF!</v>
      </c>
      <c r="D103" s="176"/>
      <c r="E103" s="176"/>
    </row>
    <row r="104">
      <c r="A104" s="182" t="s">
        <v>603</v>
      </c>
      <c r="B104" s="174" t="s">
        <v>604</v>
      </c>
      <c r="C104" s="176" t="str">
        <f t="shared" si="1"/>
        <v>#REF!</v>
      </c>
      <c r="D104" s="176"/>
      <c r="E104" s="176"/>
    </row>
    <row r="105">
      <c r="A105" s="182" t="s">
        <v>605</v>
      </c>
      <c r="B105" s="174" t="s">
        <v>606</v>
      </c>
      <c r="C105" s="176" t="str">
        <f t="shared" si="1"/>
        <v>#REF!</v>
      </c>
      <c r="D105" s="176"/>
      <c r="E105" s="176"/>
    </row>
    <row r="106">
      <c r="A106" s="182" t="s">
        <v>607</v>
      </c>
      <c r="B106" s="174" t="s">
        <v>349</v>
      </c>
      <c r="C106" s="176" t="str">
        <f t="shared" si="1"/>
        <v>#REF!</v>
      </c>
      <c r="D106" s="176"/>
      <c r="E106" s="176"/>
    </row>
    <row r="107">
      <c r="A107" s="182" t="s">
        <v>608</v>
      </c>
      <c r="B107" s="174" t="s">
        <v>348</v>
      </c>
      <c r="C107" s="176" t="str">
        <f t="shared" si="1"/>
        <v>#REF!</v>
      </c>
      <c r="D107" s="176"/>
      <c r="E107" s="176"/>
    </row>
    <row r="108">
      <c r="A108" s="182" t="s">
        <v>609</v>
      </c>
      <c r="B108" s="174" t="s">
        <v>323</v>
      </c>
      <c r="C108" s="176" t="str">
        <f t="shared" si="1"/>
        <v>#REF!</v>
      </c>
      <c r="D108" s="176"/>
      <c r="E108" s="176"/>
    </row>
    <row r="109">
      <c r="A109" s="182" t="s">
        <v>610</v>
      </c>
      <c r="B109" s="174" t="s">
        <v>322</v>
      </c>
      <c r="C109" s="176" t="str">
        <f t="shared" si="1"/>
        <v>#REF!</v>
      </c>
      <c r="D109" s="176"/>
      <c r="E109" s="176"/>
    </row>
    <row r="110">
      <c r="A110" s="182" t="s">
        <v>611</v>
      </c>
      <c r="B110" s="174" t="s">
        <v>612</v>
      </c>
      <c r="C110" s="176" t="str">
        <f t="shared" si="1"/>
        <v>#REF!</v>
      </c>
      <c r="D110" s="176"/>
      <c r="E110" s="176"/>
    </row>
    <row r="111">
      <c r="A111" s="182" t="s">
        <v>613</v>
      </c>
      <c r="B111" s="174" t="s">
        <v>614</v>
      </c>
      <c r="C111" s="176" t="str">
        <f t="shared" si="1"/>
        <v>#REF!</v>
      </c>
      <c r="D111" s="176"/>
      <c r="E111" s="176"/>
    </row>
    <row r="112">
      <c r="A112" s="182" t="s">
        <v>615</v>
      </c>
      <c r="B112" s="174" t="s">
        <v>616</v>
      </c>
      <c r="C112" s="176" t="str">
        <f t="shared" si="1"/>
        <v>#REF!</v>
      </c>
      <c r="D112" s="176"/>
      <c r="E112" s="176"/>
    </row>
    <row r="113">
      <c r="A113" s="182" t="s">
        <v>617</v>
      </c>
      <c r="B113" s="174" t="s">
        <v>618</v>
      </c>
      <c r="C113" s="176" t="str">
        <f t="shared" si="1"/>
        <v>#REF!</v>
      </c>
      <c r="D113" s="176"/>
      <c r="E113" s="176"/>
    </row>
    <row r="114">
      <c r="A114" s="182" t="s">
        <v>619</v>
      </c>
      <c r="B114" s="174" t="s">
        <v>620</v>
      </c>
      <c r="C114" s="176" t="str">
        <f t="shared" si="1"/>
        <v>#REF!</v>
      </c>
      <c r="D114" s="176"/>
      <c r="E114" s="176"/>
    </row>
    <row r="115">
      <c r="A115" s="182" t="s">
        <v>621</v>
      </c>
      <c r="B115" s="174" t="s">
        <v>622</v>
      </c>
      <c r="C115" s="176" t="str">
        <f t="shared" si="1"/>
        <v>#REF!</v>
      </c>
      <c r="D115" s="176"/>
      <c r="E115" s="176"/>
    </row>
    <row r="116">
      <c r="A116" s="182" t="s">
        <v>623</v>
      </c>
      <c r="B116" s="174" t="s">
        <v>624</v>
      </c>
      <c r="C116" s="176" t="str">
        <f t="shared" si="1"/>
        <v>#REF!</v>
      </c>
      <c r="D116" s="176"/>
      <c r="E116" s="176"/>
    </row>
    <row r="117">
      <c r="A117" s="182" t="s">
        <v>625</v>
      </c>
      <c r="B117" s="174" t="s">
        <v>626</v>
      </c>
      <c r="C117" s="176" t="str">
        <f t="shared" si="1"/>
        <v>#REF!</v>
      </c>
      <c r="D117" s="176"/>
      <c r="E117" s="176"/>
    </row>
    <row r="118">
      <c r="A118" s="182" t="s">
        <v>627</v>
      </c>
      <c r="B118" s="174" t="s">
        <v>628</v>
      </c>
      <c r="C118" s="176" t="str">
        <f t="shared" si="1"/>
        <v>#REF!</v>
      </c>
      <c r="D118" s="176"/>
      <c r="E118" s="176"/>
    </row>
    <row r="119">
      <c r="A119" s="182" t="s">
        <v>629</v>
      </c>
      <c r="B119" s="174" t="s">
        <v>329</v>
      </c>
      <c r="C119" s="176" t="str">
        <f t="shared" si="1"/>
        <v>#REF!</v>
      </c>
      <c r="D119" s="176"/>
      <c r="E119" s="176"/>
    </row>
    <row r="120">
      <c r="A120" s="182" t="s">
        <v>630</v>
      </c>
      <c r="B120" s="174" t="s">
        <v>328</v>
      </c>
      <c r="C120" s="176" t="str">
        <f t="shared" si="1"/>
        <v>#REF!</v>
      </c>
      <c r="D120" s="176"/>
      <c r="E120" s="176"/>
    </row>
    <row r="121">
      <c r="A121" s="182" t="s">
        <v>631</v>
      </c>
      <c r="B121" s="174" t="s">
        <v>326</v>
      </c>
      <c r="C121" s="176" t="str">
        <f t="shared" si="1"/>
        <v>#REF!</v>
      </c>
      <c r="D121" s="176"/>
      <c r="E121" s="176"/>
    </row>
    <row r="122">
      <c r="A122" s="182" t="s">
        <v>632</v>
      </c>
      <c r="B122" s="174" t="s">
        <v>325</v>
      </c>
      <c r="C122" s="176" t="str">
        <f t="shared" si="1"/>
        <v>#REF!</v>
      </c>
      <c r="D122" s="176"/>
      <c r="E122" s="176"/>
    </row>
    <row r="123">
      <c r="A123" s="182" t="s">
        <v>633</v>
      </c>
      <c r="B123" s="174" t="s">
        <v>634</v>
      </c>
      <c r="C123" s="176" t="str">
        <f t="shared" si="1"/>
        <v>#REF!</v>
      </c>
      <c r="D123" s="176"/>
      <c r="E123" s="176"/>
    </row>
    <row r="124">
      <c r="A124" s="182" t="s">
        <v>635</v>
      </c>
      <c r="B124" s="174" t="s">
        <v>636</v>
      </c>
      <c r="C124" s="176" t="str">
        <f t="shared" si="1"/>
        <v>#REF!</v>
      </c>
      <c r="D124" s="176"/>
      <c r="E124" s="176"/>
    </row>
    <row r="125">
      <c r="A125" s="182" t="s">
        <v>637</v>
      </c>
      <c r="B125" s="174" t="s">
        <v>638</v>
      </c>
      <c r="C125" s="176" t="str">
        <f t="shared" si="1"/>
        <v>#REF!</v>
      </c>
      <c r="D125" s="176"/>
      <c r="E125" s="176"/>
    </row>
    <row r="126">
      <c r="A126" s="182" t="s">
        <v>639</v>
      </c>
      <c r="B126" s="174" t="s">
        <v>640</v>
      </c>
      <c r="C126" s="176" t="str">
        <f t="shared" si="1"/>
        <v>#REF!</v>
      </c>
      <c r="D126" s="176"/>
      <c r="E126" s="176"/>
    </row>
    <row r="127">
      <c r="A127" s="182" t="s">
        <v>641</v>
      </c>
      <c r="B127" s="174" t="s">
        <v>642</v>
      </c>
      <c r="C127" s="176" t="str">
        <f t="shared" si="1"/>
        <v>#REF!</v>
      </c>
      <c r="D127" s="176"/>
      <c r="E127" s="176"/>
    </row>
    <row r="128">
      <c r="A128" s="182" t="s">
        <v>643</v>
      </c>
      <c r="B128" s="174" t="s">
        <v>644</v>
      </c>
      <c r="C128" s="176" t="str">
        <f t="shared" si="1"/>
        <v>#REF!</v>
      </c>
      <c r="D128" s="176"/>
      <c r="E128" s="176"/>
    </row>
    <row r="129">
      <c r="A129" s="182" t="s">
        <v>645</v>
      </c>
      <c r="B129" s="174" t="s">
        <v>646</v>
      </c>
      <c r="C129" s="176" t="str">
        <f t="shared" si="1"/>
        <v>#REF!</v>
      </c>
      <c r="D129" s="176"/>
      <c r="E129" s="176"/>
    </row>
    <row r="130">
      <c r="A130" s="182" t="s">
        <v>647</v>
      </c>
      <c r="B130" s="174" t="s">
        <v>648</v>
      </c>
      <c r="C130" s="176" t="str">
        <f t="shared" si="1"/>
        <v>#REF!</v>
      </c>
      <c r="D130" s="176"/>
      <c r="E130" s="176"/>
    </row>
    <row r="131">
      <c r="A131" s="182" t="s">
        <v>649</v>
      </c>
      <c r="B131" s="174" t="s">
        <v>650</v>
      </c>
      <c r="C131" s="176" t="str">
        <f t="shared" si="1"/>
        <v>#REF!</v>
      </c>
      <c r="D131" s="176"/>
      <c r="E131" s="176"/>
    </row>
    <row r="132">
      <c r="A132" s="182" t="s">
        <v>651</v>
      </c>
      <c r="B132" s="174" t="s">
        <v>652</v>
      </c>
      <c r="C132" s="176" t="str">
        <f t="shared" si="1"/>
        <v>#REF!</v>
      </c>
      <c r="D132" s="176"/>
      <c r="E132" s="176"/>
    </row>
    <row r="133">
      <c r="A133" s="182" t="s">
        <v>653</v>
      </c>
      <c r="B133" s="174" t="s">
        <v>654</v>
      </c>
      <c r="C133" s="176" t="str">
        <f t="shared" si="1"/>
        <v>#REF!</v>
      </c>
      <c r="D133" s="176"/>
      <c r="E133" s="176"/>
    </row>
    <row r="134">
      <c r="A134" s="182" t="s">
        <v>655</v>
      </c>
      <c r="B134" s="174" t="s">
        <v>273</v>
      </c>
      <c r="C134" s="176" t="str">
        <f t="shared" si="1"/>
        <v>#REF!</v>
      </c>
      <c r="D134" s="176"/>
      <c r="E134" s="176"/>
    </row>
    <row r="135">
      <c r="A135" s="182" t="s">
        <v>656</v>
      </c>
      <c r="B135" s="174" t="s">
        <v>272</v>
      </c>
      <c r="C135" s="176" t="str">
        <f t="shared" si="1"/>
        <v>#REF!</v>
      </c>
      <c r="D135" s="176"/>
      <c r="E135" s="176"/>
    </row>
    <row r="136">
      <c r="A136" s="182" t="s">
        <v>657</v>
      </c>
      <c r="B136" s="174" t="s">
        <v>276</v>
      </c>
      <c r="C136" s="176" t="str">
        <f t="shared" si="1"/>
        <v>#REF!</v>
      </c>
      <c r="D136" s="176"/>
      <c r="E136" s="176"/>
    </row>
    <row r="137">
      <c r="A137" s="182" t="s">
        <v>658</v>
      </c>
      <c r="B137" s="174" t="s">
        <v>275</v>
      </c>
      <c r="C137" s="176" t="str">
        <f t="shared" si="1"/>
        <v>#REF!</v>
      </c>
      <c r="D137" s="176"/>
      <c r="E137" s="176"/>
    </row>
    <row r="138">
      <c r="A138" s="182" t="s">
        <v>659</v>
      </c>
      <c r="B138" s="174" t="s">
        <v>660</v>
      </c>
      <c r="C138" s="176" t="str">
        <f t="shared" si="1"/>
        <v>#REF!</v>
      </c>
      <c r="D138" s="176"/>
      <c r="E138" s="176"/>
    </row>
    <row r="139">
      <c r="A139" s="182" t="s">
        <v>661</v>
      </c>
      <c r="B139" s="174" t="s">
        <v>357</v>
      </c>
      <c r="C139" s="176" t="str">
        <f t="shared" si="1"/>
        <v>#REF!</v>
      </c>
      <c r="D139" s="176"/>
      <c r="E139" s="176"/>
    </row>
    <row r="140">
      <c r="A140" s="182" t="s">
        <v>662</v>
      </c>
      <c r="B140" s="174" t="s">
        <v>356</v>
      </c>
      <c r="C140" s="176" t="str">
        <f t="shared" si="1"/>
        <v>#REF!</v>
      </c>
      <c r="D140" s="176"/>
      <c r="E140" s="176"/>
    </row>
    <row r="141">
      <c r="A141" s="182" t="s">
        <v>663</v>
      </c>
      <c r="B141" s="174" t="s">
        <v>664</v>
      </c>
      <c r="C141" s="176" t="str">
        <f t="shared" si="1"/>
        <v>#REF!</v>
      </c>
      <c r="D141" s="176"/>
      <c r="E141" s="176"/>
    </row>
    <row r="142">
      <c r="A142" s="182" t="s">
        <v>665</v>
      </c>
      <c r="B142" s="174" t="s">
        <v>666</v>
      </c>
      <c r="C142" s="176" t="str">
        <f t="shared" si="1"/>
        <v>#REF!</v>
      </c>
      <c r="D142" s="176"/>
      <c r="E142" s="176"/>
    </row>
    <row r="143">
      <c r="A143" s="182" t="s">
        <v>667</v>
      </c>
      <c r="B143" s="174" t="s">
        <v>668</v>
      </c>
      <c r="C143" s="176" t="str">
        <f t="shared" si="1"/>
        <v>#REF!</v>
      </c>
      <c r="D143" s="176"/>
      <c r="E143" s="176"/>
    </row>
    <row r="144">
      <c r="A144" s="182" t="s">
        <v>669</v>
      </c>
      <c r="B144" s="174" t="s">
        <v>670</v>
      </c>
      <c r="C144" s="176" t="str">
        <f t="shared" si="1"/>
        <v>#REF!</v>
      </c>
      <c r="D144" s="176"/>
      <c r="E144" s="176"/>
    </row>
    <row r="145">
      <c r="A145" s="182" t="s">
        <v>671</v>
      </c>
      <c r="B145" s="174" t="s">
        <v>672</v>
      </c>
      <c r="C145" s="176" t="str">
        <f t="shared" si="1"/>
        <v>#REF!</v>
      </c>
      <c r="D145" s="176"/>
      <c r="E145" s="176"/>
    </row>
    <row r="146">
      <c r="A146" s="182" t="s">
        <v>673</v>
      </c>
      <c r="B146" s="174" t="s">
        <v>674</v>
      </c>
      <c r="C146" s="176" t="str">
        <f t="shared" si="1"/>
        <v>#REF!</v>
      </c>
      <c r="D146" s="176"/>
      <c r="E146" s="176"/>
    </row>
    <row r="147">
      <c r="A147" s="182" t="s">
        <v>675</v>
      </c>
      <c r="B147" s="174" t="s">
        <v>676</v>
      </c>
      <c r="C147" s="176" t="str">
        <f t="shared" si="1"/>
        <v>#REF!</v>
      </c>
      <c r="D147" s="176"/>
      <c r="E147" s="176"/>
    </row>
    <row r="148">
      <c r="A148" s="182" t="s">
        <v>677</v>
      </c>
      <c r="B148" s="174" t="s">
        <v>375</v>
      </c>
      <c r="C148" s="176" t="str">
        <f t="shared" si="1"/>
        <v>#REF!</v>
      </c>
      <c r="D148" s="176"/>
      <c r="E148" s="176"/>
    </row>
    <row r="149">
      <c r="A149" s="182" t="s">
        <v>678</v>
      </c>
      <c r="B149" s="174" t="s">
        <v>374</v>
      </c>
      <c r="C149" s="176" t="str">
        <f t="shared" si="1"/>
        <v>#REF!</v>
      </c>
      <c r="D149" s="176"/>
      <c r="E149" s="176"/>
    </row>
    <row r="150">
      <c r="A150" s="182" t="s">
        <v>679</v>
      </c>
      <c r="B150" s="174" t="s">
        <v>680</v>
      </c>
      <c r="C150" s="176" t="str">
        <f t="shared" si="1"/>
        <v>#REF!</v>
      </c>
      <c r="D150" s="176"/>
      <c r="E150" s="176"/>
    </row>
    <row r="151">
      <c r="A151" s="182" t="s">
        <v>681</v>
      </c>
      <c r="B151" s="174" t="s">
        <v>682</v>
      </c>
      <c r="C151" s="176" t="str">
        <f t="shared" si="1"/>
        <v>#REF!</v>
      </c>
      <c r="D151" s="176"/>
      <c r="E151" s="176"/>
    </row>
    <row r="152">
      <c r="A152" s="182" t="s">
        <v>683</v>
      </c>
      <c r="B152" s="174" t="s">
        <v>684</v>
      </c>
      <c r="C152" s="176" t="str">
        <f t="shared" si="1"/>
        <v>#REF!</v>
      </c>
      <c r="D152" s="176"/>
      <c r="E152" s="176"/>
    </row>
    <row r="153">
      <c r="A153" s="182" t="s">
        <v>685</v>
      </c>
      <c r="B153" s="174" t="s">
        <v>686</v>
      </c>
      <c r="C153" s="176" t="str">
        <f t="shared" si="1"/>
        <v>#REF!</v>
      </c>
      <c r="D153" s="176"/>
      <c r="E153" s="176"/>
    </row>
    <row r="154">
      <c r="A154" s="182" t="s">
        <v>687</v>
      </c>
      <c r="B154" s="174" t="s">
        <v>688</v>
      </c>
      <c r="C154" s="176" t="str">
        <f t="shared" si="1"/>
        <v>#REF!</v>
      </c>
      <c r="D154" s="176"/>
      <c r="E154" s="176"/>
    </row>
    <row r="155">
      <c r="A155" s="182" t="s">
        <v>689</v>
      </c>
      <c r="B155" s="174" t="s">
        <v>690</v>
      </c>
      <c r="C155" s="176" t="str">
        <f t="shared" si="1"/>
        <v>#REF!</v>
      </c>
      <c r="D155" s="176"/>
      <c r="E155" s="176"/>
    </row>
    <row r="156">
      <c r="A156" s="182" t="s">
        <v>691</v>
      </c>
      <c r="B156" s="174" t="s">
        <v>692</v>
      </c>
      <c r="C156" s="176" t="str">
        <f t="shared" si="1"/>
        <v>#REF!</v>
      </c>
      <c r="D156" s="176"/>
      <c r="E156" s="176"/>
    </row>
    <row r="157">
      <c r="A157" s="182" t="s">
        <v>693</v>
      </c>
      <c r="B157" s="174" t="s">
        <v>694</v>
      </c>
      <c r="C157" s="176" t="str">
        <f t="shared" si="1"/>
        <v>#REF!</v>
      </c>
      <c r="D157" s="176"/>
      <c r="E157" s="176"/>
    </row>
    <row r="158">
      <c r="A158" s="182" t="s">
        <v>695</v>
      </c>
      <c r="B158" s="174" t="s">
        <v>696</v>
      </c>
      <c r="C158" s="176" t="str">
        <f t="shared" si="1"/>
        <v>#REF!</v>
      </c>
      <c r="D158" s="176"/>
      <c r="E158" s="176"/>
    </row>
    <row r="159">
      <c r="A159" s="182" t="s">
        <v>697</v>
      </c>
      <c r="B159" s="174" t="s">
        <v>698</v>
      </c>
      <c r="C159" s="176" t="str">
        <f t="shared" si="1"/>
        <v>#REF!</v>
      </c>
      <c r="D159" s="176"/>
      <c r="E159" s="176"/>
    </row>
    <row r="160">
      <c r="A160" s="182" t="s">
        <v>699</v>
      </c>
      <c r="B160" s="174" t="s">
        <v>700</v>
      </c>
      <c r="C160" s="176" t="str">
        <f t="shared" si="1"/>
        <v>#REF!</v>
      </c>
      <c r="D160" s="176"/>
      <c r="E160" s="176"/>
    </row>
    <row r="161">
      <c r="A161" s="182" t="s">
        <v>701</v>
      </c>
      <c r="B161" s="174" t="s">
        <v>702</v>
      </c>
      <c r="C161" s="176" t="str">
        <f t="shared" si="1"/>
        <v>#REF!</v>
      </c>
      <c r="D161" s="176"/>
      <c r="E161" s="176"/>
    </row>
    <row r="162">
      <c r="A162" s="182" t="s">
        <v>703</v>
      </c>
      <c r="B162" s="174" t="s">
        <v>704</v>
      </c>
      <c r="C162" s="176" t="str">
        <f t="shared" si="1"/>
        <v>#REF!</v>
      </c>
      <c r="D162" s="176"/>
      <c r="E162" s="176"/>
    </row>
    <row r="163">
      <c r="A163" s="182" t="s">
        <v>705</v>
      </c>
      <c r="B163" s="174" t="s">
        <v>706</v>
      </c>
      <c r="C163" s="176" t="str">
        <f t="shared" si="1"/>
        <v>#REF!</v>
      </c>
      <c r="D163" s="176"/>
      <c r="E163" s="176"/>
    </row>
    <row r="164">
      <c r="A164" s="182" t="s">
        <v>707</v>
      </c>
      <c r="B164" s="174" t="s">
        <v>708</v>
      </c>
      <c r="C164" s="176" t="str">
        <f t="shared" si="1"/>
        <v>#REF!</v>
      </c>
      <c r="D164" s="176"/>
      <c r="E164" s="176"/>
    </row>
    <row r="165">
      <c r="A165" s="182" t="s">
        <v>709</v>
      </c>
      <c r="B165" s="174" t="s">
        <v>710</v>
      </c>
      <c r="C165" s="176" t="str">
        <f t="shared" si="1"/>
        <v>#REF!</v>
      </c>
      <c r="D165" s="176"/>
      <c r="E165" s="176"/>
    </row>
    <row r="166">
      <c r="A166" s="182" t="s">
        <v>711</v>
      </c>
      <c r="B166" s="174" t="s">
        <v>712</v>
      </c>
      <c r="C166" s="176" t="str">
        <f t="shared" si="1"/>
        <v>#REF!</v>
      </c>
      <c r="D166" s="176"/>
      <c r="E166" s="176"/>
    </row>
    <row r="167">
      <c r="A167" s="182" t="s">
        <v>713</v>
      </c>
      <c r="B167" s="174" t="s">
        <v>714</v>
      </c>
      <c r="C167" s="176" t="str">
        <f t="shared" si="1"/>
        <v>#REF!</v>
      </c>
      <c r="D167" s="176"/>
      <c r="E167" s="176"/>
    </row>
    <row r="168">
      <c r="A168" s="182" t="s">
        <v>715</v>
      </c>
      <c r="B168" s="174" t="s">
        <v>716</v>
      </c>
      <c r="C168" s="176" t="str">
        <f t="shared" si="1"/>
        <v>#REF!</v>
      </c>
      <c r="D168" s="176"/>
      <c r="E168" s="176"/>
    </row>
    <row r="169">
      <c r="A169" s="182" t="s">
        <v>717</v>
      </c>
      <c r="B169" s="174" t="s">
        <v>718</v>
      </c>
      <c r="C169" s="176" t="str">
        <f t="shared" si="1"/>
        <v>#REF!</v>
      </c>
      <c r="D169" s="176"/>
      <c r="E169" s="176"/>
    </row>
    <row r="170">
      <c r="A170" s="182" t="s">
        <v>719</v>
      </c>
      <c r="B170" s="174" t="s">
        <v>165</v>
      </c>
      <c r="C170" s="176" t="str">
        <f t="shared" si="1"/>
        <v>#REF!</v>
      </c>
      <c r="D170" s="176"/>
      <c r="E170" s="176"/>
    </row>
    <row r="171">
      <c r="A171" s="182" t="s">
        <v>720</v>
      </c>
      <c r="B171" s="174" t="s">
        <v>721</v>
      </c>
      <c r="C171" s="176" t="str">
        <f t="shared" si="1"/>
        <v>#REF!</v>
      </c>
      <c r="D171" s="176"/>
      <c r="E171" s="176"/>
    </row>
    <row r="172">
      <c r="A172" s="182" t="s">
        <v>722</v>
      </c>
      <c r="B172" s="175" t="s">
        <v>164</v>
      </c>
      <c r="C172" s="176" t="str">
        <f t="shared" si="1"/>
        <v>#REF!</v>
      </c>
      <c r="D172" s="176"/>
      <c r="E172" s="176"/>
    </row>
    <row r="173">
      <c r="A173" s="182" t="s">
        <v>723</v>
      </c>
      <c r="B173" s="174" t="s">
        <v>167</v>
      </c>
      <c r="C173" s="176" t="str">
        <f t="shared" si="1"/>
        <v>#REF!</v>
      </c>
      <c r="D173" s="176"/>
      <c r="E173" s="176"/>
    </row>
    <row r="174">
      <c r="A174" s="182" t="s">
        <v>724</v>
      </c>
      <c r="B174" s="174" t="s">
        <v>725</v>
      </c>
      <c r="C174" s="176" t="str">
        <f t="shared" si="1"/>
        <v>#REF!</v>
      </c>
      <c r="D174" s="176"/>
      <c r="E174" s="176"/>
    </row>
    <row r="175">
      <c r="A175" s="182" t="s">
        <v>726</v>
      </c>
      <c r="B175" s="174" t="s">
        <v>727</v>
      </c>
      <c r="C175" s="176" t="str">
        <f t="shared" si="1"/>
        <v>#REF!</v>
      </c>
      <c r="D175" s="176"/>
      <c r="E175" s="176"/>
    </row>
    <row r="176">
      <c r="A176" s="182" t="s">
        <v>728</v>
      </c>
      <c r="B176" s="174" t="s">
        <v>729</v>
      </c>
      <c r="C176" s="176" t="str">
        <f t="shared" si="1"/>
        <v>#REF!</v>
      </c>
      <c r="D176" s="176"/>
      <c r="E176" s="176"/>
    </row>
    <row r="177">
      <c r="A177" s="182" t="s">
        <v>730</v>
      </c>
      <c r="B177" s="174" t="s">
        <v>731</v>
      </c>
      <c r="C177" s="176" t="str">
        <f t="shared" si="1"/>
        <v>#REF!</v>
      </c>
      <c r="D177" s="176"/>
      <c r="E177" s="176"/>
    </row>
    <row r="178">
      <c r="A178" s="182" t="s">
        <v>732</v>
      </c>
      <c r="B178" s="174" t="s">
        <v>733</v>
      </c>
      <c r="C178" s="176" t="str">
        <f t="shared" si="1"/>
        <v>#REF!</v>
      </c>
      <c r="D178" s="176"/>
      <c r="E178" s="176"/>
    </row>
    <row r="179">
      <c r="A179" s="182" t="s">
        <v>734</v>
      </c>
      <c r="B179" s="174" t="s">
        <v>735</v>
      </c>
      <c r="C179" s="176" t="str">
        <f t="shared" si="1"/>
        <v>#REF!</v>
      </c>
      <c r="D179" s="176"/>
      <c r="E179" s="176"/>
    </row>
    <row r="180">
      <c r="A180" s="182" t="s">
        <v>736</v>
      </c>
      <c r="B180" s="174" t="s">
        <v>737</v>
      </c>
      <c r="C180" s="176" t="str">
        <f t="shared" si="1"/>
        <v>#REF!</v>
      </c>
      <c r="D180" s="176"/>
      <c r="E180" s="176"/>
    </row>
    <row r="181">
      <c r="A181" s="182" t="s">
        <v>738</v>
      </c>
      <c r="B181" s="174" t="s">
        <v>739</v>
      </c>
      <c r="C181" s="176" t="str">
        <f t="shared" si="1"/>
        <v>#REF!</v>
      </c>
      <c r="D181" s="176"/>
      <c r="E181" s="176"/>
    </row>
    <row r="182">
      <c r="A182" s="182" t="s">
        <v>740</v>
      </c>
      <c r="B182" s="174" t="s">
        <v>741</v>
      </c>
      <c r="C182" s="176" t="str">
        <f t="shared" si="1"/>
        <v>#REF!</v>
      </c>
      <c r="D182" s="176"/>
      <c r="E182" s="176"/>
    </row>
    <row r="183">
      <c r="A183" s="182" t="s">
        <v>742</v>
      </c>
      <c r="B183" s="174" t="s">
        <v>743</v>
      </c>
      <c r="C183" s="176" t="str">
        <f t="shared" si="1"/>
        <v>#REF!</v>
      </c>
      <c r="D183" s="176"/>
      <c r="E183" s="176"/>
    </row>
    <row r="184">
      <c r="A184" s="182" t="s">
        <v>744</v>
      </c>
      <c r="B184" s="174" t="s">
        <v>745</v>
      </c>
      <c r="C184" s="176" t="str">
        <f t="shared" si="1"/>
        <v>#REF!</v>
      </c>
      <c r="D184" s="176"/>
      <c r="E184" s="176"/>
    </row>
    <row r="185">
      <c r="A185" s="182" t="s">
        <v>746</v>
      </c>
      <c r="B185" s="174" t="s">
        <v>747</v>
      </c>
      <c r="C185" s="176" t="str">
        <f t="shared" si="1"/>
        <v>#REF!</v>
      </c>
      <c r="D185" s="176"/>
      <c r="E185" s="176"/>
    </row>
    <row r="186">
      <c r="A186" s="182" t="s">
        <v>748</v>
      </c>
      <c r="B186" s="174" t="s">
        <v>749</v>
      </c>
      <c r="C186" s="176" t="str">
        <f t="shared" si="1"/>
        <v>#REF!</v>
      </c>
      <c r="D186" s="176"/>
      <c r="E186" s="176"/>
    </row>
    <row r="187">
      <c r="A187" s="182" t="s">
        <v>750</v>
      </c>
      <c r="B187" s="174" t="s">
        <v>751</v>
      </c>
      <c r="C187" s="176" t="str">
        <f t="shared" si="1"/>
        <v>#REF!</v>
      </c>
      <c r="D187" s="176"/>
      <c r="E187" s="176"/>
    </row>
    <row r="188">
      <c r="A188" s="182" t="s">
        <v>752</v>
      </c>
      <c r="B188" s="174" t="s">
        <v>753</v>
      </c>
      <c r="C188" s="176" t="str">
        <f t="shared" si="1"/>
        <v>#REF!</v>
      </c>
      <c r="D188" s="176"/>
      <c r="E188" s="176"/>
    </row>
    <row r="189">
      <c r="A189" s="182" t="s">
        <v>754</v>
      </c>
      <c r="B189" s="174" t="s">
        <v>755</v>
      </c>
      <c r="C189" s="176" t="str">
        <f t="shared" si="1"/>
        <v>#REF!</v>
      </c>
      <c r="D189" s="176"/>
      <c r="E189" s="176"/>
    </row>
    <row r="190">
      <c r="A190" s="182">
        <v>143.0</v>
      </c>
      <c r="B190" s="174" t="s">
        <v>756</v>
      </c>
      <c r="C190" s="176" t="str">
        <f t="shared" si="1"/>
        <v>#REF!</v>
      </c>
      <c r="D190" s="176"/>
      <c r="E190" s="176"/>
    </row>
    <row r="191">
      <c r="A191" s="182" t="s">
        <v>757</v>
      </c>
      <c r="B191" s="174" t="s">
        <v>317</v>
      </c>
      <c r="C191" s="176" t="str">
        <f t="shared" si="1"/>
        <v>#REF!</v>
      </c>
      <c r="D191" s="176"/>
      <c r="E191" s="176"/>
    </row>
    <row r="192">
      <c r="A192" s="182" t="s">
        <v>758</v>
      </c>
      <c r="B192" s="174" t="s">
        <v>316</v>
      </c>
      <c r="C192" s="176" t="str">
        <f t="shared" si="1"/>
        <v>#REF!</v>
      </c>
      <c r="D192" s="176"/>
      <c r="E192" s="176"/>
    </row>
    <row r="193">
      <c r="A193" s="182" t="s">
        <v>759</v>
      </c>
      <c r="B193" s="174" t="s">
        <v>314</v>
      </c>
      <c r="C193" s="176" t="str">
        <f t="shared" si="1"/>
        <v>#REF!</v>
      </c>
      <c r="D193" s="176"/>
      <c r="E193" s="176"/>
    </row>
    <row r="194">
      <c r="A194" s="182" t="s">
        <v>760</v>
      </c>
      <c r="B194" s="174" t="s">
        <v>313</v>
      </c>
      <c r="C194" s="176" t="str">
        <f t="shared" si="1"/>
        <v>#REF!</v>
      </c>
      <c r="D194" s="176"/>
      <c r="E194" s="176"/>
    </row>
    <row r="195">
      <c r="A195" s="182">
        <v>146.0</v>
      </c>
      <c r="B195" s="174" t="s">
        <v>311</v>
      </c>
      <c r="C195" s="176" t="str">
        <f t="shared" si="1"/>
        <v>#REF!</v>
      </c>
      <c r="D195" s="176"/>
      <c r="E195" s="176"/>
    </row>
    <row r="196">
      <c r="A196" s="182" t="s">
        <v>761</v>
      </c>
      <c r="B196" s="174" t="s">
        <v>310</v>
      </c>
      <c r="C196" s="176" t="str">
        <f t="shared" si="1"/>
        <v>#REF!</v>
      </c>
      <c r="D196" s="176"/>
      <c r="E196" s="176"/>
    </row>
    <row r="197">
      <c r="A197" s="182" t="s">
        <v>762</v>
      </c>
      <c r="B197" s="174" t="s">
        <v>763</v>
      </c>
      <c r="C197" s="176" t="str">
        <f t="shared" si="1"/>
        <v>#REF!</v>
      </c>
      <c r="D197" s="176"/>
      <c r="E197" s="176"/>
    </row>
    <row r="198">
      <c r="A198" s="182" t="s">
        <v>764</v>
      </c>
      <c r="B198" s="174" t="s">
        <v>765</v>
      </c>
      <c r="C198" s="176" t="str">
        <f t="shared" si="1"/>
        <v>#REF!</v>
      </c>
      <c r="D198" s="176"/>
      <c r="E198" s="176"/>
    </row>
    <row r="199">
      <c r="A199" s="182" t="s">
        <v>766</v>
      </c>
      <c r="B199" s="174" t="s">
        <v>767</v>
      </c>
      <c r="C199" s="176" t="str">
        <f t="shared" si="1"/>
        <v>#REF!</v>
      </c>
      <c r="D199" s="176"/>
      <c r="E199" s="176"/>
    </row>
    <row r="200">
      <c r="A200" s="182" t="s">
        <v>768</v>
      </c>
      <c r="B200" s="174" t="s">
        <v>769</v>
      </c>
      <c r="C200" s="176" t="str">
        <f t="shared" si="1"/>
        <v>#REF!</v>
      </c>
      <c r="D200" s="176"/>
      <c r="E200" s="176"/>
    </row>
    <row r="201">
      <c r="A201" s="182" t="s">
        <v>770</v>
      </c>
      <c r="B201" s="174" t="s">
        <v>771</v>
      </c>
      <c r="C201" s="176" t="str">
        <f t="shared" si="1"/>
        <v>#REF!</v>
      </c>
      <c r="D201" s="176"/>
      <c r="E201" s="176"/>
    </row>
    <row r="202">
      <c r="A202" s="182" t="s">
        <v>772</v>
      </c>
      <c r="B202" s="174" t="s">
        <v>773</v>
      </c>
      <c r="C202" s="176" t="str">
        <f t="shared" si="1"/>
        <v>#REF!</v>
      </c>
      <c r="D202" s="176"/>
      <c r="E202" s="176"/>
    </row>
    <row r="203">
      <c r="A203" s="182" t="s">
        <v>774</v>
      </c>
      <c r="B203" s="174" t="s">
        <v>775</v>
      </c>
      <c r="C203" s="176" t="str">
        <f t="shared" si="1"/>
        <v>#REF!</v>
      </c>
      <c r="D203" s="176"/>
      <c r="E203" s="176"/>
    </row>
    <row r="204">
      <c r="A204" s="182" t="s">
        <v>776</v>
      </c>
      <c r="B204" s="174" t="s">
        <v>777</v>
      </c>
      <c r="C204" s="176" t="str">
        <f t="shared" si="1"/>
        <v>#REF!</v>
      </c>
      <c r="D204" s="176"/>
      <c r="E204" s="176"/>
    </row>
    <row r="205">
      <c r="A205" s="182" t="s">
        <v>778</v>
      </c>
      <c r="B205" s="174" t="s">
        <v>779</v>
      </c>
      <c r="C205" s="176" t="str">
        <f t="shared" si="1"/>
        <v>#REF!</v>
      </c>
      <c r="D205" s="176"/>
      <c r="E205" s="176"/>
    </row>
    <row r="206">
      <c r="A206" s="182" t="s">
        <v>780</v>
      </c>
      <c r="B206" s="174" t="s">
        <v>781</v>
      </c>
      <c r="C206" s="176" t="str">
        <f t="shared" si="1"/>
        <v>#REF!</v>
      </c>
      <c r="D206" s="176"/>
      <c r="E206" s="176"/>
    </row>
    <row r="207">
      <c r="A207" s="182" t="s">
        <v>782</v>
      </c>
      <c r="B207" s="174" t="s">
        <v>783</v>
      </c>
      <c r="C207" s="176" t="str">
        <f t="shared" si="1"/>
        <v>#REF!</v>
      </c>
      <c r="D207" s="176"/>
      <c r="E207" s="176"/>
    </row>
    <row r="208">
      <c r="A208" s="182" t="s">
        <v>784</v>
      </c>
      <c r="B208" s="174" t="s">
        <v>785</v>
      </c>
      <c r="C208" s="176" t="str">
        <f t="shared" si="1"/>
        <v>#REF!</v>
      </c>
      <c r="D208" s="176"/>
      <c r="E208" s="176"/>
    </row>
    <row r="209">
      <c r="A209" s="182" t="s">
        <v>786</v>
      </c>
      <c r="B209" s="174" t="s">
        <v>279</v>
      </c>
      <c r="C209" s="176" t="str">
        <f t="shared" si="1"/>
        <v>#REF!</v>
      </c>
      <c r="D209" s="176"/>
      <c r="E209" s="176"/>
    </row>
    <row r="210">
      <c r="A210" s="182" t="s">
        <v>787</v>
      </c>
      <c r="B210" s="174" t="s">
        <v>278</v>
      </c>
      <c r="C210" s="176" t="str">
        <f t="shared" si="1"/>
        <v>#REF!</v>
      </c>
      <c r="D210" s="176"/>
      <c r="E210" s="176"/>
    </row>
    <row r="211">
      <c r="A211" s="182" t="s">
        <v>788</v>
      </c>
      <c r="B211" s="174" t="s">
        <v>789</v>
      </c>
      <c r="C211" s="176" t="str">
        <f t="shared" si="1"/>
        <v>#REF!</v>
      </c>
      <c r="D211" s="176"/>
      <c r="E211" s="176"/>
    </row>
    <row r="212">
      <c r="A212" s="182" t="s">
        <v>790</v>
      </c>
      <c r="B212" s="174" t="s">
        <v>791</v>
      </c>
      <c r="C212" s="176" t="str">
        <f t="shared" si="1"/>
        <v>#REF!</v>
      </c>
      <c r="D212" s="176"/>
      <c r="E212" s="176"/>
    </row>
    <row r="213">
      <c r="A213" s="182" t="s">
        <v>792</v>
      </c>
      <c r="B213" s="174" t="s">
        <v>793</v>
      </c>
      <c r="C213" s="176" t="str">
        <f t="shared" si="1"/>
        <v>#REF!</v>
      </c>
      <c r="D213" s="176"/>
      <c r="E213" s="176"/>
    </row>
    <row r="214">
      <c r="A214" s="182" t="s">
        <v>794</v>
      </c>
      <c r="B214" s="174" t="s">
        <v>795</v>
      </c>
      <c r="C214" s="176" t="str">
        <f t="shared" si="1"/>
        <v>#REF!</v>
      </c>
      <c r="D214" s="176"/>
      <c r="E214" s="176"/>
    </row>
    <row r="215">
      <c r="A215" s="182" t="s">
        <v>796</v>
      </c>
      <c r="B215" s="174" t="s">
        <v>797</v>
      </c>
      <c r="C215" s="176" t="str">
        <f t="shared" si="1"/>
        <v>#REF!</v>
      </c>
      <c r="D215" s="176"/>
      <c r="E215" s="176"/>
    </row>
    <row r="216">
      <c r="A216" s="182" t="s">
        <v>798</v>
      </c>
      <c r="B216" s="174" t="s">
        <v>799</v>
      </c>
      <c r="C216" s="176" t="str">
        <f t="shared" si="1"/>
        <v>#REF!</v>
      </c>
      <c r="D216" s="176"/>
      <c r="E216" s="176"/>
    </row>
    <row r="217">
      <c r="A217" s="182" t="s">
        <v>800</v>
      </c>
      <c r="B217" s="174" t="s">
        <v>801</v>
      </c>
      <c r="C217" s="176" t="str">
        <f t="shared" si="1"/>
        <v>#REF!</v>
      </c>
      <c r="D217" s="176"/>
      <c r="E217" s="176"/>
    </row>
    <row r="218">
      <c r="A218" s="182" t="s">
        <v>802</v>
      </c>
      <c r="B218" s="174" t="s">
        <v>803</v>
      </c>
      <c r="C218" s="176" t="str">
        <f t="shared" si="1"/>
        <v>#REF!</v>
      </c>
      <c r="D218" s="176"/>
      <c r="E218" s="176"/>
    </row>
    <row r="219">
      <c r="A219" s="182" t="s">
        <v>804</v>
      </c>
      <c r="B219" s="174" t="s">
        <v>805</v>
      </c>
      <c r="C219" s="176" t="str">
        <f t="shared" si="1"/>
        <v>#REF!</v>
      </c>
      <c r="D219" s="176"/>
      <c r="E219" s="176"/>
    </row>
    <row r="220">
      <c r="A220" s="182" t="s">
        <v>806</v>
      </c>
      <c r="B220" s="174" t="s">
        <v>807</v>
      </c>
      <c r="C220" s="176" t="str">
        <f t="shared" si="1"/>
        <v>#REF!</v>
      </c>
      <c r="D220" s="176"/>
      <c r="E220" s="176"/>
    </row>
    <row r="221">
      <c r="A221" s="182" t="s">
        <v>808</v>
      </c>
      <c r="B221" s="174" t="s">
        <v>809</v>
      </c>
      <c r="C221" s="176" t="str">
        <f t="shared" si="1"/>
        <v>#REF!</v>
      </c>
      <c r="D221" s="176"/>
      <c r="E221" s="176"/>
    </row>
    <row r="222">
      <c r="A222" s="182" t="s">
        <v>810</v>
      </c>
      <c r="B222" s="174" t="s">
        <v>811</v>
      </c>
      <c r="C222" s="176" t="str">
        <f t="shared" si="1"/>
        <v>#REF!</v>
      </c>
      <c r="D222" s="176"/>
      <c r="E222" s="176"/>
    </row>
    <row r="223">
      <c r="A223" s="182" t="s">
        <v>812</v>
      </c>
      <c r="B223" s="174" t="s">
        <v>813</v>
      </c>
      <c r="C223" s="176" t="str">
        <f t="shared" si="1"/>
        <v>#REF!</v>
      </c>
      <c r="D223" s="176"/>
      <c r="E223" s="176"/>
    </row>
    <row r="224">
      <c r="A224" s="182" t="s">
        <v>814</v>
      </c>
      <c r="B224" s="174" t="s">
        <v>815</v>
      </c>
      <c r="C224" s="176" t="str">
        <f t="shared" si="1"/>
        <v>#REF!</v>
      </c>
      <c r="D224" s="176"/>
      <c r="E224" s="176"/>
    </row>
    <row r="225">
      <c r="A225" s="182" t="s">
        <v>816</v>
      </c>
      <c r="B225" s="174" t="s">
        <v>817</v>
      </c>
      <c r="C225" s="176" t="str">
        <f t="shared" si="1"/>
        <v>#REF!</v>
      </c>
      <c r="D225" s="176"/>
      <c r="E225" s="176"/>
    </row>
    <row r="226">
      <c r="A226" s="182" t="s">
        <v>818</v>
      </c>
      <c r="B226" s="174" t="s">
        <v>819</v>
      </c>
      <c r="C226" s="176" t="str">
        <f t="shared" si="1"/>
        <v>#REF!</v>
      </c>
      <c r="D226" s="176"/>
      <c r="E226" s="176"/>
    </row>
    <row r="227">
      <c r="A227" s="182" t="s">
        <v>820</v>
      </c>
      <c r="B227" s="174" t="s">
        <v>821</v>
      </c>
      <c r="C227" s="176" t="str">
        <f t="shared" si="1"/>
        <v>#REF!</v>
      </c>
      <c r="D227" s="176"/>
      <c r="E227" s="176"/>
    </row>
    <row r="228">
      <c r="A228" s="182" t="s">
        <v>822</v>
      </c>
      <c r="B228" s="174" t="s">
        <v>823</v>
      </c>
      <c r="C228" s="176" t="str">
        <f t="shared" si="1"/>
        <v>#REF!</v>
      </c>
      <c r="D228" s="176"/>
      <c r="E228" s="176"/>
    </row>
    <row r="229">
      <c r="A229" s="182" t="s">
        <v>824</v>
      </c>
      <c r="B229" s="174" t="s">
        <v>825</v>
      </c>
      <c r="C229" s="176" t="str">
        <f t="shared" si="1"/>
        <v>#REF!</v>
      </c>
      <c r="D229" s="176"/>
      <c r="E229" s="176"/>
    </row>
    <row r="230">
      <c r="A230" s="182" t="s">
        <v>826</v>
      </c>
      <c r="B230" s="174" t="s">
        <v>827</v>
      </c>
      <c r="C230" s="176" t="str">
        <f t="shared" si="1"/>
        <v>#REF!</v>
      </c>
      <c r="D230" s="176"/>
      <c r="E230" s="176"/>
    </row>
    <row r="231">
      <c r="A231" s="182" t="s">
        <v>828</v>
      </c>
      <c r="B231" s="174" t="s">
        <v>829</v>
      </c>
      <c r="C231" s="176" t="str">
        <f t="shared" si="1"/>
        <v>#REF!</v>
      </c>
      <c r="D231" s="176"/>
      <c r="E231" s="176"/>
    </row>
    <row r="232">
      <c r="A232" s="182" t="s">
        <v>830</v>
      </c>
      <c r="B232" s="174" t="s">
        <v>831</v>
      </c>
      <c r="C232" s="176" t="str">
        <f t="shared" si="1"/>
        <v>#REF!</v>
      </c>
      <c r="D232" s="176"/>
      <c r="E232" s="176"/>
    </row>
    <row r="233">
      <c r="A233" s="182" t="s">
        <v>832</v>
      </c>
      <c r="B233" s="174" t="s">
        <v>833</v>
      </c>
      <c r="C233" s="176" t="str">
        <f t="shared" si="1"/>
        <v>#REF!</v>
      </c>
      <c r="D233" s="176"/>
      <c r="E233" s="176"/>
    </row>
    <row r="234">
      <c r="A234" s="182" t="s">
        <v>834</v>
      </c>
      <c r="B234" s="174" t="s">
        <v>835</v>
      </c>
      <c r="C234" s="176" t="str">
        <f t="shared" si="1"/>
        <v>#REF!</v>
      </c>
      <c r="D234" s="176"/>
      <c r="E234" s="176"/>
    </row>
    <row r="235">
      <c r="A235" s="182" t="s">
        <v>836</v>
      </c>
      <c r="B235" s="174" t="s">
        <v>837</v>
      </c>
      <c r="C235" s="176" t="str">
        <f t="shared" si="1"/>
        <v>#REF!</v>
      </c>
      <c r="D235" s="176"/>
      <c r="E235" s="176"/>
    </row>
    <row r="236">
      <c r="A236" s="182" t="s">
        <v>838</v>
      </c>
      <c r="B236" s="174" t="s">
        <v>839</v>
      </c>
      <c r="C236" s="176" t="str">
        <f t="shared" si="1"/>
        <v>#REF!</v>
      </c>
      <c r="D236" s="176"/>
      <c r="E236" s="176"/>
    </row>
    <row r="237">
      <c r="A237" s="182" t="s">
        <v>840</v>
      </c>
      <c r="B237" s="174" t="s">
        <v>841</v>
      </c>
      <c r="C237" s="176" t="str">
        <f t="shared" si="1"/>
        <v>#REF!</v>
      </c>
      <c r="D237" s="176"/>
      <c r="E237" s="176"/>
    </row>
    <row r="238">
      <c r="A238" s="182" t="s">
        <v>842</v>
      </c>
      <c r="B238" s="174" t="s">
        <v>843</v>
      </c>
      <c r="C238" s="176" t="str">
        <f t="shared" si="1"/>
        <v>#REF!</v>
      </c>
      <c r="D238" s="176"/>
      <c r="E238" s="176"/>
    </row>
    <row r="239">
      <c r="A239" s="182" t="s">
        <v>844</v>
      </c>
      <c r="B239" s="174" t="s">
        <v>845</v>
      </c>
      <c r="C239" s="176" t="str">
        <f t="shared" si="1"/>
        <v>#REF!</v>
      </c>
      <c r="D239" s="176"/>
      <c r="E239" s="176"/>
    </row>
    <row r="240">
      <c r="A240" s="182" t="s">
        <v>846</v>
      </c>
      <c r="B240" s="174" t="s">
        <v>847</v>
      </c>
      <c r="C240" s="176" t="str">
        <f t="shared" si="1"/>
        <v>#REF!</v>
      </c>
      <c r="D240" s="176"/>
      <c r="E240" s="176"/>
    </row>
    <row r="241">
      <c r="A241" s="182" t="s">
        <v>848</v>
      </c>
      <c r="B241" s="174" t="s">
        <v>849</v>
      </c>
      <c r="C241" s="176" t="str">
        <f t="shared" si="1"/>
        <v>#REF!</v>
      </c>
      <c r="D241" s="176"/>
      <c r="E241" s="176"/>
    </row>
    <row r="242">
      <c r="A242" s="182" t="s">
        <v>850</v>
      </c>
      <c r="B242" s="174" t="s">
        <v>851</v>
      </c>
      <c r="C242" s="176" t="str">
        <f t="shared" si="1"/>
        <v>#REF!</v>
      </c>
      <c r="D242" s="176"/>
      <c r="E242" s="176"/>
    </row>
    <row r="243">
      <c r="A243" s="182" t="s">
        <v>852</v>
      </c>
      <c r="B243" s="174" t="s">
        <v>853</v>
      </c>
      <c r="C243" s="176" t="str">
        <f t="shared" si="1"/>
        <v>#REF!</v>
      </c>
      <c r="D243" s="176"/>
      <c r="E243" s="176"/>
    </row>
    <row r="244">
      <c r="A244" s="182" t="s">
        <v>854</v>
      </c>
      <c r="B244" s="174" t="s">
        <v>855</v>
      </c>
      <c r="C244" s="176" t="str">
        <f t="shared" si="1"/>
        <v>#REF!</v>
      </c>
      <c r="D244" s="176"/>
      <c r="E244" s="176"/>
    </row>
    <row r="245">
      <c r="A245" s="182" t="s">
        <v>856</v>
      </c>
      <c r="B245" s="174" t="s">
        <v>857</v>
      </c>
      <c r="C245" s="176" t="str">
        <f t="shared" si="1"/>
        <v>#REF!</v>
      </c>
      <c r="D245" s="176"/>
      <c r="E245" s="176"/>
    </row>
    <row r="246">
      <c r="A246" s="182" t="s">
        <v>858</v>
      </c>
      <c r="B246" s="174" t="s">
        <v>859</v>
      </c>
      <c r="C246" s="176" t="str">
        <f t="shared" si="1"/>
        <v>#REF!</v>
      </c>
      <c r="D246" s="176"/>
      <c r="E246" s="176"/>
    </row>
    <row r="247">
      <c r="A247" s="182" t="s">
        <v>860</v>
      </c>
      <c r="B247" s="174" t="s">
        <v>861</v>
      </c>
      <c r="C247" s="176" t="str">
        <f t="shared" si="1"/>
        <v>#REF!</v>
      </c>
      <c r="D247" s="176"/>
      <c r="E247" s="176"/>
    </row>
    <row r="248">
      <c r="A248" s="182" t="s">
        <v>862</v>
      </c>
      <c r="B248" s="174" t="s">
        <v>207</v>
      </c>
      <c r="C248" s="176" t="str">
        <f t="shared" si="1"/>
        <v>#REF!</v>
      </c>
      <c r="D248" s="176"/>
      <c r="E248" s="176"/>
    </row>
    <row r="249">
      <c r="A249" s="182" t="s">
        <v>863</v>
      </c>
      <c r="B249" s="174" t="s">
        <v>206</v>
      </c>
      <c r="C249" s="176" t="str">
        <f t="shared" si="1"/>
        <v>#REF!</v>
      </c>
      <c r="D249" s="176"/>
      <c r="E249" s="176"/>
    </row>
    <row r="250">
      <c r="A250" s="182" t="s">
        <v>864</v>
      </c>
      <c r="B250" s="174" t="s">
        <v>865</v>
      </c>
      <c r="C250" s="176" t="str">
        <f t="shared" si="1"/>
        <v>#REF!</v>
      </c>
      <c r="D250" s="176"/>
      <c r="E250" s="176"/>
    </row>
    <row r="251">
      <c r="A251" s="182" t="s">
        <v>866</v>
      </c>
      <c r="B251" s="174" t="s">
        <v>867</v>
      </c>
      <c r="C251" s="176" t="str">
        <f t="shared" si="1"/>
        <v>#REF!</v>
      </c>
      <c r="D251" s="176"/>
      <c r="E251" s="176"/>
    </row>
    <row r="252">
      <c r="A252" s="182" t="s">
        <v>868</v>
      </c>
      <c r="B252" s="174" t="s">
        <v>869</v>
      </c>
      <c r="C252" s="176" t="str">
        <f t="shared" si="1"/>
        <v>#REF!</v>
      </c>
      <c r="D252" s="176"/>
      <c r="E252" s="176"/>
    </row>
    <row r="253">
      <c r="A253" s="182" t="s">
        <v>870</v>
      </c>
      <c r="B253" s="174" t="s">
        <v>871</v>
      </c>
      <c r="C253" s="176" t="str">
        <f t="shared" si="1"/>
        <v>#REF!</v>
      </c>
      <c r="D253" s="176"/>
      <c r="E253" s="176"/>
    </row>
    <row r="254">
      <c r="A254" s="182" t="s">
        <v>872</v>
      </c>
      <c r="B254" s="174" t="s">
        <v>320</v>
      </c>
      <c r="C254" s="176" t="str">
        <f t="shared" si="1"/>
        <v>#REF!</v>
      </c>
      <c r="D254" s="176"/>
      <c r="E254" s="176"/>
    </row>
    <row r="255">
      <c r="A255" s="182" t="s">
        <v>873</v>
      </c>
      <c r="B255" s="174" t="s">
        <v>319</v>
      </c>
      <c r="C255" s="176" t="str">
        <f t="shared" si="1"/>
        <v>#REF!</v>
      </c>
      <c r="D255" s="176"/>
      <c r="E255" s="176"/>
    </row>
    <row r="256">
      <c r="A256" s="182" t="s">
        <v>874</v>
      </c>
      <c r="B256" s="174" t="s">
        <v>875</v>
      </c>
      <c r="C256" s="176" t="str">
        <f t="shared" si="1"/>
        <v>#REF!</v>
      </c>
      <c r="D256" s="176"/>
      <c r="E256" s="176"/>
    </row>
    <row r="257">
      <c r="A257" s="182" t="s">
        <v>876</v>
      </c>
      <c r="B257" s="174" t="s">
        <v>877</v>
      </c>
      <c r="C257" s="176" t="str">
        <f t="shared" si="1"/>
        <v>#REF!</v>
      </c>
      <c r="D257" s="176"/>
      <c r="E257" s="176"/>
    </row>
    <row r="258">
      <c r="A258" s="182" t="s">
        <v>878</v>
      </c>
      <c r="B258" s="174" t="s">
        <v>879</v>
      </c>
      <c r="C258" s="176" t="str">
        <f t="shared" si="1"/>
        <v>#REF!</v>
      </c>
      <c r="D258" s="176"/>
      <c r="E258" s="176"/>
    </row>
    <row r="259">
      <c r="A259" s="182" t="s">
        <v>880</v>
      </c>
      <c r="B259" s="174" t="s">
        <v>881</v>
      </c>
      <c r="C259" s="176" t="str">
        <f t="shared" si="1"/>
        <v>#REF!</v>
      </c>
      <c r="D259" s="176"/>
      <c r="E259" s="176"/>
    </row>
    <row r="260">
      <c r="A260" s="182" t="s">
        <v>882</v>
      </c>
      <c r="B260" s="174" t="s">
        <v>883</v>
      </c>
      <c r="C260" s="176" t="str">
        <f t="shared" si="1"/>
        <v>#REF!</v>
      </c>
      <c r="D260" s="176"/>
      <c r="E260" s="176"/>
    </row>
    <row r="261">
      <c r="A261" s="182" t="s">
        <v>884</v>
      </c>
      <c r="B261" s="174" t="s">
        <v>885</v>
      </c>
      <c r="C261" s="176" t="str">
        <f t="shared" si="1"/>
        <v>#REF!</v>
      </c>
      <c r="D261" s="176"/>
      <c r="E261" s="176"/>
    </row>
    <row r="262">
      <c r="A262" s="182" t="s">
        <v>886</v>
      </c>
      <c r="B262" s="174" t="s">
        <v>887</v>
      </c>
      <c r="C262" s="176" t="str">
        <f t="shared" si="1"/>
        <v>#REF!</v>
      </c>
      <c r="D262" s="176"/>
      <c r="E262" s="176"/>
    </row>
    <row r="263">
      <c r="A263" s="182" t="s">
        <v>888</v>
      </c>
      <c r="B263" s="174" t="s">
        <v>889</v>
      </c>
      <c r="C263" s="176" t="str">
        <f t="shared" si="1"/>
        <v>#REF!</v>
      </c>
      <c r="D263" s="176"/>
      <c r="E263" s="176"/>
    </row>
    <row r="264">
      <c r="A264" s="182" t="s">
        <v>890</v>
      </c>
      <c r="B264" s="174" t="s">
        <v>891</v>
      </c>
      <c r="C264" s="176" t="str">
        <f t="shared" si="1"/>
        <v>#REF!</v>
      </c>
      <c r="D264" s="176"/>
      <c r="E264" s="176"/>
    </row>
    <row r="265">
      <c r="A265" s="182" t="s">
        <v>892</v>
      </c>
      <c r="B265" s="174" t="s">
        <v>893</v>
      </c>
      <c r="C265" s="176" t="str">
        <f t="shared" si="1"/>
        <v>#REF!</v>
      </c>
      <c r="D265" s="176"/>
      <c r="E265" s="176"/>
    </row>
    <row r="266">
      <c r="A266" s="182" t="s">
        <v>894</v>
      </c>
      <c r="B266" s="174" t="s">
        <v>895</v>
      </c>
      <c r="C266" s="176" t="str">
        <f t="shared" si="1"/>
        <v>#REF!</v>
      </c>
      <c r="D266" s="176"/>
      <c r="E266" s="176"/>
    </row>
    <row r="267">
      <c r="A267" s="182" t="s">
        <v>896</v>
      </c>
      <c r="B267" s="174" t="s">
        <v>897</v>
      </c>
      <c r="C267" s="176" t="str">
        <f t="shared" si="1"/>
        <v>#REF!</v>
      </c>
      <c r="D267" s="176"/>
      <c r="E267" s="176"/>
    </row>
    <row r="268">
      <c r="A268" s="182" t="s">
        <v>898</v>
      </c>
      <c r="B268" s="174" t="s">
        <v>282</v>
      </c>
      <c r="C268" s="176" t="str">
        <f t="shared" si="1"/>
        <v>#REF!</v>
      </c>
      <c r="D268" s="176"/>
      <c r="E268" s="176"/>
    </row>
    <row r="269">
      <c r="A269" s="182" t="s">
        <v>899</v>
      </c>
      <c r="B269" s="174" t="s">
        <v>281</v>
      </c>
      <c r="C269" s="176" t="str">
        <f t="shared" si="1"/>
        <v>#REF!</v>
      </c>
      <c r="D269" s="176"/>
      <c r="E269" s="176"/>
    </row>
    <row r="270">
      <c r="A270" s="182" t="s">
        <v>900</v>
      </c>
      <c r="B270" s="174" t="s">
        <v>901</v>
      </c>
      <c r="C270" s="176" t="str">
        <f t="shared" si="1"/>
        <v>#REF!</v>
      </c>
      <c r="D270" s="176"/>
      <c r="E270" s="176"/>
    </row>
    <row r="271">
      <c r="A271" s="182" t="s">
        <v>902</v>
      </c>
      <c r="B271" s="174" t="s">
        <v>903</v>
      </c>
      <c r="C271" s="176" t="str">
        <f t="shared" si="1"/>
        <v>#REF!</v>
      </c>
      <c r="D271" s="176"/>
      <c r="E271" s="176"/>
    </row>
    <row r="272">
      <c r="A272" s="182" t="s">
        <v>904</v>
      </c>
      <c r="B272" s="174" t="s">
        <v>905</v>
      </c>
      <c r="C272" s="176" t="str">
        <f t="shared" si="1"/>
        <v>#REF!</v>
      </c>
      <c r="D272" s="176"/>
      <c r="E272" s="176"/>
    </row>
    <row r="273">
      <c r="A273" s="182" t="s">
        <v>906</v>
      </c>
      <c r="B273" s="174" t="s">
        <v>907</v>
      </c>
      <c r="C273" s="176" t="str">
        <f t="shared" si="1"/>
        <v>#REF!</v>
      </c>
      <c r="D273" s="176"/>
      <c r="E273" s="176"/>
    </row>
    <row r="274">
      <c r="A274" s="182" t="s">
        <v>908</v>
      </c>
      <c r="B274" s="174" t="s">
        <v>909</v>
      </c>
      <c r="C274" s="176" t="str">
        <f t="shared" si="1"/>
        <v>#REF!</v>
      </c>
      <c r="D274" s="176"/>
      <c r="E274" s="176"/>
    </row>
    <row r="275">
      <c r="A275" s="182" t="s">
        <v>910</v>
      </c>
      <c r="B275" s="174" t="s">
        <v>285</v>
      </c>
      <c r="C275" s="176" t="str">
        <f t="shared" si="1"/>
        <v>#REF!</v>
      </c>
      <c r="D275" s="176"/>
      <c r="E275" s="176"/>
    </row>
    <row r="276">
      <c r="A276" s="182" t="s">
        <v>911</v>
      </c>
      <c r="B276" s="174" t="s">
        <v>284</v>
      </c>
      <c r="C276" s="176" t="str">
        <f t="shared" si="1"/>
        <v>#REF!</v>
      </c>
      <c r="D276" s="176"/>
      <c r="E276" s="176"/>
    </row>
    <row r="277">
      <c r="A277" s="182" t="s">
        <v>912</v>
      </c>
      <c r="B277" s="174" t="s">
        <v>913</v>
      </c>
      <c r="C277" s="176" t="str">
        <f t="shared" si="1"/>
        <v>#REF!</v>
      </c>
      <c r="D277" s="176"/>
      <c r="E277" s="176"/>
    </row>
    <row r="278">
      <c r="A278" s="182" t="s">
        <v>914</v>
      </c>
      <c r="B278" s="174" t="s">
        <v>915</v>
      </c>
      <c r="C278" s="176" t="str">
        <f t="shared" si="1"/>
        <v>#REF!</v>
      </c>
      <c r="D278" s="176"/>
      <c r="E278" s="176"/>
    </row>
    <row r="279">
      <c r="A279" s="182" t="s">
        <v>916</v>
      </c>
      <c r="B279" s="174" t="s">
        <v>917</v>
      </c>
      <c r="C279" s="176" t="str">
        <f t="shared" si="1"/>
        <v>#REF!</v>
      </c>
      <c r="D279" s="176"/>
      <c r="E279" s="176"/>
    </row>
    <row r="280">
      <c r="A280" s="182" t="s">
        <v>918</v>
      </c>
      <c r="B280" s="174" t="s">
        <v>919</v>
      </c>
      <c r="C280" s="176" t="str">
        <f t="shared" si="1"/>
        <v>#REF!</v>
      </c>
      <c r="D280" s="176"/>
      <c r="E280" s="176"/>
    </row>
    <row r="281">
      <c r="A281" s="182" t="s">
        <v>920</v>
      </c>
      <c r="B281" s="174" t="s">
        <v>921</v>
      </c>
      <c r="C281" s="176" t="str">
        <f t="shared" si="1"/>
        <v>#REF!</v>
      </c>
      <c r="D281" s="176"/>
      <c r="E281" s="176"/>
    </row>
    <row r="282">
      <c r="A282" s="182" t="s">
        <v>922</v>
      </c>
      <c r="B282" s="174" t="s">
        <v>923</v>
      </c>
      <c r="C282" s="176" t="str">
        <f t="shared" si="1"/>
        <v>#REF!</v>
      </c>
      <c r="D282" s="176"/>
      <c r="E282" s="176"/>
    </row>
    <row r="283">
      <c r="A283" s="182" t="s">
        <v>924</v>
      </c>
      <c r="B283" s="174" t="s">
        <v>925</v>
      </c>
      <c r="C283" s="176" t="str">
        <f t="shared" si="1"/>
        <v>#REF!</v>
      </c>
      <c r="D283" s="176"/>
      <c r="E283" s="176"/>
    </row>
    <row r="284">
      <c r="A284" s="182" t="s">
        <v>926</v>
      </c>
      <c r="B284" s="174" t="s">
        <v>927</v>
      </c>
      <c r="C284" s="176" t="str">
        <f t="shared" si="1"/>
        <v>#REF!</v>
      </c>
      <c r="D284" s="176"/>
      <c r="E284" s="176"/>
    </row>
    <row r="285">
      <c r="A285" s="182" t="s">
        <v>928</v>
      </c>
      <c r="B285" s="174" t="s">
        <v>929</v>
      </c>
      <c r="C285" s="176" t="str">
        <f t="shared" si="1"/>
        <v>#REF!</v>
      </c>
      <c r="D285" s="176"/>
      <c r="E285" s="176"/>
    </row>
    <row r="286">
      <c r="A286" s="182" t="s">
        <v>930</v>
      </c>
      <c r="B286" s="174" t="s">
        <v>931</v>
      </c>
      <c r="C286" s="176" t="str">
        <f t="shared" si="1"/>
        <v>#REF!</v>
      </c>
      <c r="D286" s="176"/>
      <c r="E286" s="176"/>
    </row>
    <row r="287">
      <c r="A287" s="182" t="s">
        <v>932</v>
      </c>
      <c r="B287" s="174" t="s">
        <v>933</v>
      </c>
      <c r="C287" s="176" t="str">
        <f t="shared" si="1"/>
        <v>#REF!</v>
      </c>
      <c r="D287" s="176"/>
      <c r="E287" s="176"/>
    </row>
    <row r="288">
      <c r="A288" s="182" t="s">
        <v>934</v>
      </c>
      <c r="B288" s="174" t="s">
        <v>935</v>
      </c>
      <c r="C288" s="176" t="str">
        <f t="shared" si="1"/>
        <v>#REF!</v>
      </c>
      <c r="D288" s="176"/>
      <c r="E288" s="176"/>
    </row>
    <row r="289">
      <c r="A289" s="182" t="s">
        <v>936</v>
      </c>
      <c r="B289" s="174" t="s">
        <v>937</v>
      </c>
      <c r="C289" s="176" t="str">
        <f t="shared" si="1"/>
        <v>#REF!</v>
      </c>
      <c r="D289" s="176"/>
      <c r="E289" s="176"/>
    </row>
    <row r="290">
      <c r="A290" s="182" t="s">
        <v>938</v>
      </c>
      <c r="B290" s="174" t="s">
        <v>939</v>
      </c>
      <c r="C290" s="176" t="str">
        <f t="shared" si="1"/>
        <v>#REF!</v>
      </c>
      <c r="D290" s="176"/>
      <c r="E290" s="176"/>
    </row>
    <row r="291">
      <c r="A291" s="182" t="s">
        <v>940</v>
      </c>
      <c r="B291" s="174" t="s">
        <v>941</v>
      </c>
      <c r="C291" s="176" t="str">
        <f t="shared" si="1"/>
        <v>#REF!</v>
      </c>
      <c r="D291" s="176"/>
      <c r="E291" s="176"/>
    </row>
    <row r="292">
      <c r="A292" s="182" t="s">
        <v>942</v>
      </c>
      <c r="B292" s="174" t="s">
        <v>943</v>
      </c>
      <c r="C292" s="176" t="str">
        <f t="shared" si="1"/>
        <v>#REF!</v>
      </c>
      <c r="D292" s="176"/>
      <c r="E292" s="176"/>
    </row>
    <row r="293">
      <c r="A293" s="182" t="s">
        <v>944</v>
      </c>
      <c r="B293" s="174" t="s">
        <v>945</v>
      </c>
      <c r="C293" s="176" t="str">
        <f t="shared" si="1"/>
        <v>#REF!</v>
      </c>
      <c r="D293" s="176"/>
      <c r="E293" s="176"/>
    </row>
    <row r="294">
      <c r="A294" s="182" t="s">
        <v>946</v>
      </c>
      <c r="B294" s="174" t="s">
        <v>947</v>
      </c>
      <c r="C294" s="176" t="str">
        <f t="shared" si="1"/>
        <v>#REF!</v>
      </c>
      <c r="D294" s="176"/>
      <c r="E294" s="176"/>
    </row>
    <row r="295">
      <c r="A295" s="182" t="s">
        <v>948</v>
      </c>
      <c r="B295" s="174" t="s">
        <v>949</v>
      </c>
      <c r="C295" s="176" t="str">
        <f t="shared" si="1"/>
        <v>#REF!</v>
      </c>
      <c r="D295" s="176"/>
      <c r="E295" s="176"/>
    </row>
    <row r="296">
      <c r="A296" s="182" t="s">
        <v>950</v>
      </c>
      <c r="B296" s="174" t="s">
        <v>951</v>
      </c>
      <c r="C296" s="176" t="str">
        <f t="shared" si="1"/>
        <v>#REF!</v>
      </c>
      <c r="D296" s="176"/>
      <c r="E296" s="176"/>
    </row>
    <row r="297">
      <c r="A297" s="182" t="s">
        <v>952</v>
      </c>
      <c r="B297" s="174" t="s">
        <v>953</v>
      </c>
      <c r="C297" s="176" t="str">
        <f t="shared" si="1"/>
        <v>#REF!</v>
      </c>
      <c r="D297" s="176"/>
      <c r="E297" s="176"/>
    </row>
    <row r="298">
      <c r="A298" s="182" t="s">
        <v>954</v>
      </c>
      <c r="B298" s="174" t="s">
        <v>955</v>
      </c>
      <c r="C298" s="176" t="str">
        <f t="shared" si="1"/>
        <v>#REF!</v>
      </c>
      <c r="D298" s="176"/>
      <c r="E298" s="176"/>
    </row>
    <row r="299">
      <c r="A299" s="182" t="s">
        <v>956</v>
      </c>
      <c r="B299" s="174" t="s">
        <v>957</v>
      </c>
      <c r="C299" s="176" t="str">
        <f t="shared" si="1"/>
        <v>#REF!</v>
      </c>
      <c r="D299" s="176"/>
      <c r="E299" s="176"/>
    </row>
    <row r="300">
      <c r="A300" s="182" t="s">
        <v>958</v>
      </c>
      <c r="B300" s="174" t="s">
        <v>959</v>
      </c>
      <c r="C300" s="176" t="str">
        <f t="shared" si="1"/>
        <v>#REF!</v>
      </c>
      <c r="D300" s="176"/>
      <c r="E300" s="176"/>
    </row>
    <row r="301">
      <c r="A301" s="182" t="s">
        <v>960</v>
      </c>
      <c r="B301" s="174" t="s">
        <v>961</v>
      </c>
      <c r="C301" s="176" t="str">
        <f t="shared" si="1"/>
        <v>#REF!</v>
      </c>
      <c r="D301" s="176"/>
      <c r="E301" s="176"/>
    </row>
    <row r="302">
      <c r="A302" s="182" t="s">
        <v>962</v>
      </c>
      <c r="B302" s="174" t="s">
        <v>963</v>
      </c>
      <c r="C302" s="176" t="str">
        <f t="shared" si="1"/>
        <v>#REF!</v>
      </c>
      <c r="D302" s="176"/>
      <c r="E302" s="176"/>
    </row>
    <row r="303">
      <c r="A303" s="182" t="s">
        <v>964</v>
      </c>
      <c r="B303" s="174" t="s">
        <v>965</v>
      </c>
      <c r="C303" s="176" t="str">
        <f t="shared" si="1"/>
        <v>#REF!</v>
      </c>
      <c r="D303" s="176"/>
      <c r="E303" s="176"/>
    </row>
    <row r="304">
      <c r="A304" s="182" t="s">
        <v>966</v>
      </c>
      <c r="B304" s="174" t="s">
        <v>967</v>
      </c>
      <c r="C304" s="176" t="str">
        <f t="shared" si="1"/>
        <v>#REF!</v>
      </c>
      <c r="D304" s="176"/>
      <c r="E304" s="176"/>
    </row>
    <row r="305">
      <c r="A305" s="182" t="s">
        <v>968</v>
      </c>
      <c r="B305" s="174" t="s">
        <v>969</v>
      </c>
      <c r="C305" s="176" t="str">
        <f t="shared" si="1"/>
        <v>#REF!</v>
      </c>
      <c r="D305" s="176"/>
      <c r="E305" s="176"/>
    </row>
    <row r="306">
      <c r="A306" s="182" t="s">
        <v>970</v>
      </c>
      <c r="B306" s="174" t="s">
        <v>971</v>
      </c>
      <c r="C306" s="176" t="str">
        <f t="shared" si="1"/>
        <v>#REF!</v>
      </c>
      <c r="D306" s="176"/>
      <c r="E306" s="176"/>
    </row>
    <row r="307">
      <c r="A307" s="182" t="s">
        <v>972</v>
      </c>
      <c r="B307" s="174" t="s">
        <v>973</v>
      </c>
      <c r="C307" s="176" t="str">
        <f t="shared" si="1"/>
        <v>#REF!</v>
      </c>
      <c r="D307" s="176"/>
      <c r="E307" s="176"/>
    </row>
    <row r="308">
      <c r="A308" s="182" t="s">
        <v>974</v>
      </c>
      <c r="B308" s="174" t="s">
        <v>975</v>
      </c>
      <c r="C308" s="176" t="str">
        <f t="shared" si="1"/>
        <v>#REF!</v>
      </c>
      <c r="D308" s="176"/>
      <c r="E308" s="176"/>
    </row>
    <row r="309">
      <c r="A309" s="182" t="s">
        <v>976</v>
      </c>
      <c r="B309" s="174" t="s">
        <v>977</v>
      </c>
      <c r="C309" s="176" t="str">
        <f t="shared" si="1"/>
        <v>#REF!</v>
      </c>
      <c r="D309" s="176"/>
      <c r="E309" s="176"/>
    </row>
    <row r="310">
      <c r="A310" s="182" t="s">
        <v>978</v>
      </c>
      <c r="B310" s="174" t="s">
        <v>979</v>
      </c>
      <c r="C310" s="176" t="str">
        <f t="shared" si="1"/>
        <v>#REF!</v>
      </c>
      <c r="D310" s="176"/>
      <c r="E310" s="176"/>
    </row>
    <row r="311">
      <c r="A311" s="182" t="s">
        <v>980</v>
      </c>
      <c r="B311" s="174" t="s">
        <v>981</v>
      </c>
      <c r="C311" s="176" t="str">
        <f t="shared" si="1"/>
        <v>#REF!</v>
      </c>
      <c r="D311" s="176"/>
      <c r="E311" s="176"/>
    </row>
    <row r="312">
      <c r="A312" s="182" t="s">
        <v>982</v>
      </c>
      <c r="B312" s="174" t="s">
        <v>983</v>
      </c>
      <c r="C312" s="176" t="str">
        <f t="shared" si="1"/>
        <v>#REF!</v>
      </c>
      <c r="D312" s="176"/>
      <c r="E312" s="176"/>
    </row>
    <row r="313">
      <c r="A313" s="182" t="s">
        <v>984</v>
      </c>
      <c r="B313" s="174" t="s">
        <v>985</v>
      </c>
      <c r="C313" s="176" t="str">
        <f t="shared" si="1"/>
        <v>#REF!</v>
      </c>
      <c r="D313" s="176"/>
      <c r="E313" s="176"/>
    </row>
    <row r="314">
      <c r="A314" s="182" t="s">
        <v>986</v>
      </c>
      <c r="B314" s="174" t="s">
        <v>987</v>
      </c>
      <c r="C314" s="176" t="str">
        <f t="shared" si="1"/>
        <v>#REF!</v>
      </c>
      <c r="D314" s="176"/>
      <c r="E314" s="176"/>
    </row>
    <row r="315">
      <c r="A315" s="182" t="s">
        <v>988</v>
      </c>
      <c r="B315" s="174" t="s">
        <v>989</v>
      </c>
      <c r="C315" s="176" t="str">
        <f t="shared" si="1"/>
        <v>#REF!</v>
      </c>
      <c r="D315" s="176"/>
      <c r="E315" s="176"/>
    </row>
    <row r="316">
      <c r="A316" s="182" t="s">
        <v>990</v>
      </c>
      <c r="B316" s="174" t="s">
        <v>991</v>
      </c>
      <c r="C316" s="176" t="str">
        <f t="shared" si="1"/>
        <v>#REF!</v>
      </c>
      <c r="D316" s="176"/>
      <c r="E316" s="176"/>
    </row>
    <row r="317">
      <c r="A317" s="182" t="s">
        <v>992</v>
      </c>
      <c r="B317" s="174" t="s">
        <v>993</v>
      </c>
      <c r="C317" s="176" t="str">
        <f t="shared" si="1"/>
        <v>#REF!</v>
      </c>
      <c r="D317" s="176"/>
      <c r="E317" s="176"/>
    </row>
    <row r="318">
      <c r="A318" s="182" t="s">
        <v>994</v>
      </c>
      <c r="B318" s="174" t="s">
        <v>995</v>
      </c>
      <c r="C318" s="176" t="str">
        <f t="shared" si="1"/>
        <v>#REF!</v>
      </c>
      <c r="D318" s="176"/>
      <c r="E318" s="176"/>
    </row>
    <row r="319">
      <c r="A319" s="182" t="s">
        <v>996</v>
      </c>
      <c r="B319" s="174" t="s">
        <v>997</v>
      </c>
      <c r="C319" s="176" t="str">
        <f t="shared" si="1"/>
        <v>#REF!</v>
      </c>
      <c r="D319" s="176"/>
      <c r="E319" s="176"/>
    </row>
    <row r="320">
      <c r="A320" s="182" t="s">
        <v>998</v>
      </c>
      <c r="B320" s="174" t="s">
        <v>999</v>
      </c>
      <c r="C320" s="176" t="str">
        <f t="shared" si="1"/>
        <v>#REF!</v>
      </c>
      <c r="D320" s="176"/>
      <c r="E320" s="176"/>
    </row>
    <row r="321">
      <c r="A321" s="182" t="s">
        <v>1000</v>
      </c>
      <c r="B321" s="174" t="s">
        <v>1001</v>
      </c>
      <c r="C321" s="176" t="str">
        <f t="shared" si="1"/>
        <v>#REF!</v>
      </c>
      <c r="D321" s="176"/>
      <c r="E321" s="176"/>
    </row>
    <row r="322">
      <c r="A322" s="182" t="s">
        <v>1002</v>
      </c>
      <c r="B322" s="174" t="s">
        <v>1003</v>
      </c>
      <c r="C322" s="176" t="str">
        <f t="shared" si="1"/>
        <v>#REF!</v>
      </c>
      <c r="D322" s="176"/>
      <c r="E322" s="176"/>
    </row>
    <row r="323">
      <c r="A323" s="182" t="s">
        <v>1004</v>
      </c>
      <c r="B323" s="174" t="s">
        <v>1005</v>
      </c>
      <c r="C323" s="176" t="str">
        <f t="shared" si="1"/>
        <v>#REF!</v>
      </c>
      <c r="D323" s="176"/>
      <c r="E323" s="176"/>
    </row>
    <row r="324">
      <c r="A324" s="182" t="s">
        <v>1006</v>
      </c>
      <c r="B324" s="174" t="s">
        <v>1007</v>
      </c>
      <c r="C324" s="176" t="str">
        <f t="shared" si="1"/>
        <v>#REF!</v>
      </c>
      <c r="D324" s="176"/>
      <c r="E324" s="176"/>
    </row>
    <row r="325">
      <c r="A325" s="182" t="s">
        <v>1008</v>
      </c>
      <c r="B325" s="174" t="s">
        <v>1009</v>
      </c>
      <c r="C325" s="176" t="str">
        <f t="shared" si="1"/>
        <v>#REF!</v>
      </c>
      <c r="D325" s="176"/>
      <c r="E325" s="176"/>
    </row>
    <row r="326">
      <c r="A326" s="182" t="s">
        <v>1010</v>
      </c>
      <c r="B326" s="174" t="s">
        <v>1011</v>
      </c>
      <c r="C326" s="176" t="str">
        <f t="shared" si="1"/>
        <v>#REF!</v>
      </c>
      <c r="D326" s="176"/>
      <c r="E326" s="176"/>
    </row>
    <row r="327">
      <c r="A327" s="182" t="s">
        <v>1012</v>
      </c>
      <c r="B327" s="174" t="s">
        <v>1013</v>
      </c>
      <c r="C327" s="176" t="str">
        <f t="shared" si="1"/>
        <v>#REF!</v>
      </c>
      <c r="D327" s="176"/>
      <c r="E327" s="176"/>
    </row>
    <row r="328">
      <c r="A328" s="182" t="s">
        <v>1014</v>
      </c>
      <c r="B328" s="174" t="s">
        <v>1015</v>
      </c>
      <c r="C328" s="176" t="str">
        <f t="shared" si="1"/>
        <v>#REF!</v>
      </c>
      <c r="D328" s="176"/>
      <c r="E328" s="176"/>
    </row>
    <row r="329">
      <c r="A329" s="182" t="s">
        <v>1016</v>
      </c>
      <c r="B329" s="174" t="s">
        <v>1017</v>
      </c>
      <c r="C329" s="176" t="str">
        <f t="shared" si="1"/>
        <v>#REF!</v>
      </c>
      <c r="D329" s="176"/>
      <c r="E329" s="176"/>
    </row>
    <row r="330">
      <c r="A330" s="182" t="s">
        <v>1018</v>
      </c>
      <c r="B330" s="174" t="s">
        <v>1019</v>
      </c>
      <c r="C330" s="176" t="str">
        <f t="shared" si="1"/>
        <v>#REF!</v>
      </c>
      <c r="D330" s="176"/>
      <c r="E330" s="176"/>
    </row>
    <row r="331">
      <c r="A331" s="182" t="s">
        <v>1020</v>
      </c>
      <c r="B331" s="174" t="s">
        <v>1021</v>
      </c>
      <c r="C331" s="176" t="str">
        <f t="shared" si="1"/>
        <v>#REF!</v>
      </c>
      <c r="D331" s="176"/>
      <c r="E331" s="176"/>
    </row>
    <row r="332">
      <c r="A332" s="182" t="s">
        <v>1022</v>
      </c>
      <c r="B332" s="174" t="s">
        <v>1023</v>
      </c>
      <c r="C332" s="176" t="str">
        <f t="shared" si="1"/>
        <v>#REF!</v>
      </c>
      <c r="D332" s="176"/>
      <c r="E332" s="176"/>
    </row>
    <row r="333">
      <c r="A333" s="182" t="s">
        <v>1024</v>
      </c>
      <c r="B333" s="174" t="s">
        <v>1025</v>
      </c>
      <c r="C333" s="176" t="str">
        <f t="shared" si="1"/>
        <v>#REF!</v>
      </c>
      <c r="D333" s="176"/>
      <c r="E333" s="176"/>
    </row>
    <row r="334">
      <c r="A334" s="182" t="s">
        <v>1026</v>
      </c>
      <c r="B334" s="174" t="s">
        <v>1027</v>
      </c>
      <c r="C334" s="176" t="str">
        <f t="shared" si="1"/>
        <v>#REF!</v>
      </c>
      <c r="D334" s="176"/>
      <c r="E334" s="176"/>
    </row>
    <row r="335">
      <c r="A335" s="182" t="s">
        <v>1028</v>
      </c>
      <c r="B335" s="174" t="s">
        <v>1029</v>
      </c>
      <c r="C335" s="176" t="str">
        <f t="shared" si="1"/>
        <v>#REF!</v>
      </c>
      <c r="D335" s="176"/>
      <c r="E335" s="176"/>
    </row>
    <row r="336">
      <c r="A336" s="182" t="s">
        <v>1030</v>
      </c>
      <c r="B336" s="174" t="s">
        <v>1031</v>
      </c>
      <c r="C336" s="176" t="str">
        <f t="shared" si="1"/>
        <v>#REF!</v>
      </c>
      <c r="D336" s="176"/>
      <c r="E336" s="176"/>
    </row>
    <row r="337">
      <c r="A337" s="182" t="s">
        <v>1032</v>
      </c>
      <c r="B337" s="174" t="s">
        <v>1033</v>
      </c>
      <c r="C337" s="176" t="str">
        <f t="shared" si="1"/>
        <v>#REF!</v>
      </c>
      <c r="D337" s="176"/>
      <c r="E337" s="176"/>
    </row>
    <row r="338">
      <c r="A338" s="182" t="s">
        <v>1034</v>
      </c>
      <c r="B338" s="174" t="s">
        <v>1035</v>
      </c>
      <c r="C338" s="176" t="str">
        <f t="shared" si="1"/>
        <v>#REF!</v>
      </c>
      <c r="D338" s="176"/>
      <c r="E338" s="176"/>
    </row>
    <row r="339">
      <c r="A339" s="182" t="s">
        <v>1036</v>
      </c>
      <c r="B339" s="174" t="s">
        <v>1037</v>
      </c>
      <c r="C339" s="176" t="str">
        <f t="shared" si="1"/>
        <v>#REF!</v>
      </c>
      <c r="D339" s="176"/>
      <c r="E339" s="176"/>
    </row>
    <row r="340">
      <c r="A340" s="182" t="s">
        <v>1038</v>
      </c>
      <c r="B340" s="174" t="s">
        <v>1039</v>
      </c>
      <c r="C340" s="176" t="str">
        <f t="shared" si="1"/>
        <v>#REF!</v>
      </c>
      <c r="D340" s="176"/>
      <c r="E340" s="176"/>
    </row>
    <row r="341">
      <c r="A341" s="182" t="s">
        <v>1040</v>
      </c>
      <c r="B341" s="174" t="s">
        <v>1041</v>
      </c>
      <c r="C341" s="176" t="str">
        <f t="shared" si="1"/>
        <v>#REF!</v>
      </c>
      <c r="D341" s="176"/>
      <c r="E341" s="176"/>
    </row>
    <row r="342">
      <c r="A342" s="182" t="s">
        <v>1042</v>
      </c>
      <c r="B342" s="174" t="s">
        <v>1043</v>
      </c>
      <c r="C342" s="176" t="str">
        <f t="shared" si="1"/>
        <v>#REF!</v>
      </c>
      <c r="D342" s="176"/>
      <c r="E342" s="176"/>
    </row>
    <row r="343">
      <c r="A343" s="182" t="s">
        <v>1044</v>
      </c>
      <c r="B343" s="174" t="s">
        <v>1045</v>
      </c>
      <c r="C343" s="176" t="str">
        <f t="shared" si="1"/>
        <v>#REF!</v>
      </c>
      <c r="D343" s="176"/>
      <c r="E343" s="176"/>
    </row>
    <row r="344">
      <c r="A344" s="182" t="s">
        <v>1046</v>
      </c>
      <c r="B344" s="174" t="s">
        <v>1047</v>
      </c>
      <c r="C344" s="176" t="str">
        <f t="shared" si="1"/>
        <v>#REF!</v>
      </c>
      <c r="D344" s="176"/>
      <c r="E344" s="176"/>
    </row>
    <row r="345">
      <c r="A345" s="182" t="s">
        <v>1048</v>
      </c>
      <c r="B345" s="174" t="s">
        <v>1049</v>
      </c>
      <c r="C345" s="176" t="str">
        <f t="shared" si="1"/>
        <v>#REF!</v>
      </c>
      <c r="D345" s="176"/>
      <c r="E345" s="176"/>
    </row>
    <row r="346">
      <c r="A346" s="182" t="s">
        <v>1050</v>
      </c>
      <c r="B346" s="174" t="s">
        <v>1051</v>
      </c>
      <c r="C346" s="176" t="str">
        <f t="shared" si="1"/>
        <v>#REF!</v>
      </c>
      <c r="D346" s="176"/>
      <c r="E346" s="176"/>
    </row>
    <row r="347">
      <c r="A347" s="182" t="s">
        <v>1052</v>
      </c>
      <c r="B347" s="174" t="s">
        <v>1053</v>
      </c>
      <c r="C347" s="176" t="str">
        <f t="shared" si="1"/>
        <v>#REF!</v>
      </c>
      <c r="D347" s="176"/>
      <c r="E347" s="176"/>
    </row>
    <row r="348">
      <c r="A348" s="182" t="s">
        <v>1054</v>
      </c>
      <c r="B348" s="174" t="s">
        <v>1055</v>
      </c>
      <c r="C348" s="176" t="str">
        <f t="shared" si="1"/>
        <v>#REF!</v>
      </c>
      <c r="D348" s="176"/>
      <c r="E348" s="176"/>
    </row>
    <row r="349">
      <c r="A349" s="182" t="s">
        <v>1056</v>
      </c>
      <c r="B349" s="174" t="s">
        <v>1057</v>
      </c>
      <c r="C349" s="176" t="str">
        <f t="shared" si="1"/>
        <v>#REF!</v>
      </c>
      <c r="D349" s="176"/>
      <c r="E349" s="176"/>
    </row>
    <row r="350">
      <c r="A350" s="182" t="s">
        <v>1058</v>
      </c>
      <c r="B350" s="174" t="s">
        <v>1059</v>
      </c>
      <c r="C350" s="176" t="str">
        <f t="shared" si="1"/>
        <v>#REF!</v>
      </c>
      <c r="D350" s="176"/>
      <c r="E350" s="176"/>
    </row>
    <row r="351">
      <c r="A351" s="182" t="s">
        <v>1060</v>
      </c>
      <c r="B351" s="174" t="s">
        <v>1061</v>
      </c>
      <c r="C351" s="176" t="str">
        <f t="shared" si="1"/>
        <v>#REF!</v>
      </c>
      <c r="D351" s="176"/>
      <c r="E351" s="176"/>
    </row>
    <row r="352">
      <c r="A352" s="182" t="s">
        <v>1062</v>
      </c>
      <c r="B352" s="174" t="s">
        <v>1063</v>
      </c>
      <c r="C352" s="176" t="str">
        <f t="shared" si="1"/>
        <v>#REF!</v>
      </c>
      <c r="D352" s="176"/>
      <c r="E352" s="176"/>
    </row>
    <row r="353">
      <c r="A353" s="182" t="s">
        <v>1064</v>
      </c>
      <c r="B353" s="174" t="s">
        <v>1065</v>
      </c>
      <c r="C353" s="176" t="str">
        <f t="shared" si="1"/>
        <v>#REF!</v>
      </c>
      <c r="D353" s="176"/>
      <c r="E353" s="176"/>
    </row>
    <row r="354">
      <c r="A354" s="182" t="s">
        <v>1066</v>
      </c>
      <c r="B354" s="174" t="s">
        <v>1067</v>
      </c>
      <c r="C354" s="176" t="str">
        <f t="shared" si="1"/>
        <v>#REF!</v>
      </c>
      <c r="D354" s="176"/>
      <c r="E354" s="176"/>
    </row>
    <row r="355">
      <c r="A355" s="182" t="s">
        <v>1068</v>
      </c>
      <c r="B355" s="174" t="s">
        <v>1069</v>
      </c>
      <c r="C355" s="176" t="str">
        <f t="shared" si="1"/>
        <v>#REF!</v>
      </c>
      <c r="D355" s="176"/>
      <c r="E355" s="176"/>
    </row>
    <row r="356">
      <c r="A356" s="182" t="s">
        <v>1070</v>
      </c>
      <c r="B356" s="174" t="s">
        <v>1071</v>
      </c>
      <c r="C356" s="176" t="str">
        <f t="shared" si="1"/>
        <v>#REF!</v>
      </c>
      <c r="D356" s="176"/>
      <c r="E356" s="176"/>
    </row>
    <row r="357">
      <c r="A357" s="182" t="s">
        <v>1072</v>
      </c>
      <c r="B357" s="174" t="s">
        <v>1073</v>
      </c>
      <c r="C357" s="176" t="str">
        <f t="shared" si="1"/>
        <v>#REF!</v>
      </c>
      <c r="D357" s="176"/>
      <c r="E357" s="176"/>
    </row>
    <row r="358">
      <c r="A358" s="182" t="s">
        <v>1074</v>
      </c>
      <c r="B358" s="174" t="s">
        <v>1075</v>
      </c>
      <c r="C358" s="176" t="str">
        <f t="shared" si="1"/>
        <v>#REF!</v>
      </c>
      <c r="D358" s="176"/>
      <c r="E358" s="176"/>
    </row>
    <row r="359">
      <c r="A359" s="182" t="s">
        <v>1076</v>
      </c>
      <c r="B359" s="174" t="s">
        <v>1077</v>
      </c>
      <c r="C359" s="176" t="str">
        <f t="shared" si="1"/>
        <v>#REF!</v>
      </c>
      <c r="D359" s="176"/>
      <c r="E359" s="176"/>
    </row>
    <row r="360">
      <c r="A360" s="182" t="s">
        <v>1078</v>
      </c>
      <c r="B360" s="174" t="s">
        <v>1079</v>
      </c>
      <c r="C360" s="176" t="str">
        <f t="shared" si="1"/>
        <v>#REF!</v>
      </c>
      <c r="D360" s="176"/>
      <c r="E360" s="176"/>
    </row>
    <row r="361">
      <c r="A361" s="182" t="s">
        <v>1080</v>
      </c>
      <c r="B361" s="174" t="s">
        <v>1081</v>
      </c>
      <c r="C361" s="176" t="str">
        <f t="shared" si="1"/>
        <v>#REF!</v>
      </c>
      <c r="D361" s="176"/>
      <c r="E361" s="176"/>
    </row>
    <row r="362">
      <c r="A362" s="182" t="s">
        <v>1082</v>
      </c>
      <c r="B362" s="174" t="s">
        <v>1083</v>
      </c>
      <c r="C362" s="176" t="str">
        <f t="shared" si="1"/>
        <v>#REF!</v>
      </c>
      <c r="D362" s="176"/>
      <c r="E362" s="176"/>
    </row>
    <row r="363">
      <c r="A363" s="182" t="s">
        <v>1084</v>
      </c>
      <c r="B363" s="174" t="s">
        <v>1085</v>
      </c>
      <c r="C363" s="176" t="str">
        <f t="shared" si="1"/>
        <v>#REF!</v>
      </c>
      <c r="D363" s="176"/>
      <c r="E363" s="176"/>
    </row>
    <row r="364">
      <c r="A364" s="182" t="s">
        <v>1086</v>
      </c>
      <c r="B364" s="174" t="s">
        <v>1087</v>
      </c>
      <c r="C364" s="176" t="str">
        <f t="shared" si="1"/>
        <v>#REF!</v>
      </c>
      <c r="D364" s="176"/>
      <c r="E364" s="176"/>
    </row>
    <row r="365">
      <c r="A365" s="182" t="s">
        <v>1088</v>
      </c>
      <c r="B365" s="174" t="s">
        <v>1089</v>
      </c>
      <c r="C365" s="176" t="str">
        <f t="shared" si="1"/>
        <v>#REF!</v>
      </c>
      <c r="D365" s="176"/>
      <c r="E365" s="176"/>
    </row>
    <row r="366">
      <c r="A366" s="182" t="s">
        <v>1090</v>
      </c>
      <c r="B366" s="174" t="s">
        <v>1091</v>
      </c>
      <c r="C366" s="176" t="str">
        <f t="shared" si="1"/>
        <v>#REF!</v>
      </c>
      <c r="D366" s="176"/>
      <c r="E366" s="176"/>
    </row>
    <row r="367">
      <c r="A367" s="182" t="s">
        <v>1092</v>
      </c>
      <c r="B367" s="174" t="s">
        <v>1093</v>
      </c>
      <c r="C367" s="176" t="str">
        <f t="shared" si="1"/>
        <v>#REF!</v>
      </c>
      <c r="D367" s="176"/>
      <c r="E367" s="176"/>
    </row>
    <row r="368">
      <c r="A368" s="182" t="s">
        <v>1094</v>
      </c>
      <c r="B368" s="174" t="s">
        <v>1095</v>
      </c>
      <c r="C368" s="176" t="str">
        <f t="shared" si="1"/>
        <v>#REF!</v>
      </c>
      <c r="D368" s="176"/>
      <c r="E368" s="176"/>
    </row>
    <row r="369">
      <c r="A369" s="182" t="s">
        <v>1096</v>
      </c>
      <c r="B369" s="174" t="s">
        <v>1097</v>
      </c>
      <c r="C369" s="176" t="str">
        <f t="shared" si="1"/>
        <v>#REF!</v>
      </c>
      <c r="D369" s="176"/>
      <c r="E369" s="176"/>
    </row>
    <row r="370">
      <c r="A370" s="182" t="s">
        <v>1098</v>
      </c>
      <c r="B370" s="174" t="s">
        <v>1099</v>
      </c>
      <c r="C370" s="176" t="str">
        <f t="shared" si="1"/>
        <v>#REF!</v>
      </c>
      <c r="D370" s="176"/>
      <c r="E370" s="176"/>
    </row>
    <row r="371">
      <c r="A371" s="182" t="s">
        <v>1100</v>
      </c>
      <c r="B371" s="174" t="s">
        <v>1101</v>
      </c>
      <c r="C371" s="176" t="str">
        <f t="shared" si="1"/>
        <v>#REF!</v>
      </c>
      <c r="D371" s="176"/>
      <c r="E371" s="176"/>
    </row>
    <row r="372">
      <c r="A372" s="182" t="s">
        <v>1102</v>
      </c>
      <c r="B372" s="174" t="s">
        <v>1103</v>
      </c>
      <c r="C372" s="176" t="str">
        <f t="shared" si="1"/>
        <v>#REF!</v>
      </c>
      <c r="D372" s="176"/>
      <c r="E372" s="176"/>
    </row>
    <row r="373">
      <c r="A373" s="182" t="s">
        <v>1104</v>
      </c>
      <c r="B373" s="174" t="s">
        <v>1105</v>
      </c>
      <c r="C373" s="176" t="str">
        <f t="shared" si="1"/>
        <v>#REF!</v>
      </c>
      <c r="D373" s="176"/>
      <c r="E373" s="176"/>
    </row>
    <row r="374">
      <c r="A374" s="182" t="s">
        <v>1106</v>
      </c>
      <c r="B374" s="174" t="s">
        <v>1107</v>
      </c>
      <c r="C374" s="176" t="str">
        <f t="shared" si="1"/>
        <v>#REF!</v>
      </c>
      <c r="D374" s="176"/>
      <c r="E374" s="176"/>
    </row>
    <row r="375">
      <c r="A375" s="182" t="s">
        <v>1108</v>
      </c>
      <c r="B375" s="174" t="s">
        <v>1109</v>
      </c>
      <c r="C375" s="176" t="str">
        <f t="shared" si="1"/>
        <v>#REF!</v>
      </c>
      <c r="D375" s="176"/>
      <c r="E375" s="176"/>
    </row>
    <row r="376">
      <c r="A376" s="182" t="s">
        <v>1110</v>
      </c>
      <c r="B376" s="174" t="s">
        <v>1111</v>
      </c>
      <c r="C376" s="176" t="str">
        <f t="shared" si="1"/>
        <v>#REF!</v>
      </c>
      <c r="D376" s="176"/>
      <c r="E376" s="176"/>
    </row>
    <row r="377">
      <c r="A377" s="182" t="s">
        <v>1112</v>
      </c>
      <c r="B377" s="174" t="s">
        <v>1113</v>
      </c>
      <c r="C377" s="176" t="str">
        <f t="shared" si="1"/>
        <v>#REF!</v>
      </c>
      <c r="D377" s="176"/>
      <c r="E377" s="176"/>
    </row>
    <row r="378">
      <c r="A378" s="182" t="s">
        <v>1114</v>
      </c>
      <c r="B378" s="174" t="s">
        <v>1115</v>
      </c>
      <c r="C378" s="176" t="str">
        <f t="shared" si="1"/>
        <v>#REF!</v>
      </c>
      <c r="D378" s="176"/>
      <c r="E378" s="176"/>
    </row>
    <row r="379">
      <c r="A379" s="182" t="s">
        <v>1116</v>
      </c>
      <c r="B379" s="174" t="s">
        <v>1117</v>
      </c>
      <c r="C379" s="176" t="str">
        <f t="shared" si="1"/>
        <v>#REF!</v>
      </c>
      <c r="D379" s="176"/>
      <c r="E379" s="176"/>
    </row>
    <row r="380">
      <c r="A380" s="182" t="s">
        <v>1118</v>
      </c>
      <c r="B380" s="174" t="s">
        <v>1119</v>
      </c>
      <c r="C380" s="176" t="str">
        <f t="shared" si="1"/>
        <v>#REF!</v>
      </c>
      <c r="D380" s="176"/>
      <c r="E380" s="176"/>
    </row>
    <row r="381">
      <c r="A381" s="182" t="s">
        <v>1120</v>
      </c>
      <c r="B381" s="174" t="s">
        <v>1121</v>
      </c>
      <c r="C381" s="176" t="str">
        <f t="shared" si="1"/>
        <v>#REF!</v>
      </c>
      <c r="D381" s="176"/>
      <c r="E381" s="176"/>
    </row>
    <row r="382">
      <c r="A382" s="182" t="s">
        <v>1122</v>
      </c>
      <c r="B382" s="174" t="s">
        <v>1123</v>
      </c>
      <c r="C382" s="176" t="str">
        <f t="shared" si="1"/>
        <v>#REF!</v>
      </c>
      <c r="D382" s="176"/>
      <c r="E382" s="176"/>
    </row>
    <row r="383">
      <c r="A383" s="182" t="s">
        <v>1124</v>
      </c>
      <c r="B383" s="174" t="s">
        <v>1125</v>
      </c>
      <c r="C383" s="176" t="str">
        <f t="shared" si="1"/>
        <v>#REF!</v>
      </c>
      <c r="D383" s="176"/>
      <c r="E383" s="176"/>
    </row>
    <row r="384">
      <c r="A384" s="182" t="s">
        <v>1126</v>
      </c>
      <c r="B384" s="174" t="s">
        <v>1127</v>
      </c>
      <c r="C384" s="176" t="str">
        <f t="shared" si="1"/>
        <v>#REF!</v>
      </c>
      <c r="D384" s="176"/>
      <c r="E384" s="176"/>
    </row>
    <row r="385">
      <c r="A385" s="182" t="s">
        <v>1128</v>
      </c>
      <c r="B385" s="174" t="s">
        <v>1129</v>
      </c>
      <c r="C385" s="176" t="str">
        <f t="shared" si="1"/>
        <v>#REF!</v>
      </c>
      <c r="D385" s="176"/>
      <c r="E385" s="176"/>
    </row>
    <row r="386">
      <c r="A386" s="182" t="s">
        <v>1130</v>
      </c>
      <c r="B386" s="174" t="s">
        <v>1131</v>
      </c>
      <c r="C386" s="176" t="str">
        <f t="shared" si="1"/>
        <v>#REF!</v>
      </c>
      <c r="D386" s="176"/>
      <c r="E386" s="176"/>
    </row>
    <row r="387">
      <c r="A387" s="182" t="s">
        <v>1132</v>
      </c>
      <c r="B387" s="174" t="s">
        <v>1133</v>
      </c>
      <c r="C387" s="176" t="str">
        <f t="shared" si="1"/>
        <v>#REF!</v>
      </c>
      <c r="D387" s="176"/>
      <c r="E387" s="176"/>
    </row>
    <row r="388">
      <c r="A388" s="182" t="s">
        <v>1134</v>
      </c>
      <c r="B388" s="174" t="s">
        <v>1135</v>
      </c>
      <c r="C388" s="176" t="str">
        <f t="shared" si="1"/>
        <v>#REF!</v>
      </c>
      <c r="D388" s="176"/>
      <c r="E388" s="176"/>
    </row>
    <row r="389">
      <c r="A389" s="182" t="s">
        <v>1136</v>
      </c>
      <c r="B389" s="174" t="s">
        <v>1137</v>
      </c>
      <c r="C389" s="176" t="str">
        <f t="shared" si="1"/>
        <v>#REF!</v>
      </c>
      <c r="D389" s="176"/>
      <c r="E389" s="176"/>
    </row>
    <row r="390">
      <c r="A390" s="182" t="s">
        <v>1138</v>
      </c>
      <c r="B390" s="174" t="s">
        <v>1139</v>
      </c>
      <c r="C390" s="176" t="str">
        <f t="shared" si="1"/>
        <v>#REF!</v>
      </c>
      <c r="D390" s="176"/>
      <c r="E390" s="176"/>
    </row>
    <row r="391">
      <c r="A391" s="182" t="s">
        <v>1140</v>
      </c>
      <c r="B391" s="174" t="s">
        <v>1141</v>
      </c>
      <c r="C391" s="176" t="str">
        <f t="shared" si="1"/>
        <v>#REF!</v>
      </c>
      <c r="D391" s="176"/>
      <c r="E391" s="176"/>
    </row>
    <row r="392">
      <c r="A392" s="182" t="s">
        <v>1142</v>
      </c>
      <c r="B392" s="174" t="s">
        <v>1143</v>
      </c>
      <c r="C392" s="176" t="str">
        <f t="shared" si="1"/>
        <v>#REF!</v>
      </c>
      <c r="D392" s="176"/>
      <c r="E392" s="176"/>
    </row>
    <row r="393">
      <c r="A393" s="182" t="s">
        <v>1144</v>
      </c>
      <c r="B393" s="174" t="s">
        <v>1145</v>
      </c>
      <c r="C393" s="176" t="str">
        <f t="shared" si="1"/>
        <v>#REF!</v>
      </c>
      <c r="D393" s="176"/>
      <c r="E393" s="176"/>
    </row>
    <row r="394">
      <c r="A394" s="182" t="s">
        <v>1146</v>
      </c>
      <c r="B394" s="174" t="s">
        <v>1147</v>
      </c>
      <c r="C394" s="176" t="str">
        <f t="shared" si="1"/>
        <v>#REF!</v>
      </c>
      <c r="D394" s="176"/>
      <c r="E394" s="176"/>
    </row>
    <row r="395">
      <c r="A395" s="182" t="s">
        <v>1148</v>
      </c>
      <c r="B395" s="174" t="s">
        <v>1149</v>
      </c>
      <c r="C395" s="176" t="str">
        <f t="shared" si="1"/>
        <v>#REF!</v>
      </c>
      <c r="D395" s="176"/>
      <c r="E395" s="176"/>
    </row>
    <row r="396">
      <c r="A396" s="182" t="s">
        <v>1150</v>
      </c>
      <c r="B396" s="174" t="s">
        <v>1151</v>
      </c>
      <c r="C396" s="176" t="str">
        <f t="shared" si="1"/>
        <v>#REF!</v>
      </c>
      <c r="D396" s="176"/>
      <c r="E396" s="176"/>
    </row>
    <row r="397">
      <c r="A397" s="182" t="s">
        <v>1152</v>
      </c>
      <c r="B397" s="174" t="s">
        <v>1153</v>
      </c>
      <c r="C397" s="176" t="str">
        <f t="shared" si="1"/>
        <v>#REF!</v>
      </c>
      <c r="D397" s="176"/>
      <c r="E397" s="176"/>
    </row>
    <row r="398">
      <c r="A398" s="182" t="s">
        <v>1154</v>
      </c>
      <c r="B398" s="174" t="s">
        <v>1155</v>
      </c>
      <c r="C398" s="176" t="str">
        <f t="shared" si="1"/>
        <v>#REF!</v>
      </c>
      <c r="D398" s="176"/>
      <c r="E398" s="176"/>
    </row>
    <row r="399">
      <c r="A399" s="182" t="s">
        <v>1156</v>
      </c>
      <c r="B399" s="174" t="s">
        <v>1157</v>
      </c>
      <c r="C399" s="176" t="str">
        <f t="shared" si="1"/>
        <v>#REF!</v>
      </c>
      <c r="D399" s="176"/>
      <c r="E399" s="176"/>
    </row>
    <row r="400">
      <c r="A400" s="182" t="s">
        <v>1158</v>
      </c>
      <c r="B400" s="174" t="s">
        <v>1159</v>
      </c>
      <c r="C400" s="176" t="str">
        <f t="shared" si="1"/>
        <v>#REF!</v>
      </c>
      <c r="D400" s="176"/>
      <c r="E400" s="176"/>
    </row>
    <row r="401">
      <c r="A401" s="182" t="s">
        <v>1160</v>
      </c>
      <c r="B401" s="174" t="s">
        <v>1161</v>
      </c>
      <c r="C401" s="176" t="str">
        <f t="shared" si="1"/>
        <v>#REF!</v>
      </c>
      <c r="D401" s="176"/>
      <c r="E401" s="176"/>
    </row>
    <row r="402">
      <c r="A402" s="182" t="s">
        <v>1162</v>
      </c>
      <c r="B402" s="174" t="s">
        <v>1163</v>
      </c>
      <c r="C402" s="176" t="str">
        <f t="shared" si="1"/>
        <v>#REF!</v>
      </c>
      <c r="D402" s="176"/>
      <c r="E402" s="176"/>
    </row>
    <row r="403">
      <c r="A403" s="182" t="s">
        <v>1164</v>
      </c>
      <c r="B403" s="174" t="s">
        <v>1165</v>
      </c>
      <c r="C403" s="176" t="str">
        <f t="shared" si="1"/>
        <v>#REF!</v>
      </c>
      <c r="D403" s="176"/>
      <c r="E403" s="176"/>
    </row>
    <row r="404">
      <c r="A404" s="182" t="s">
        <v>1166</v>
      </c>
      <c r="B404" s="174" t="s">
        <v>1167</v>
      </c>
      <c r="C404" s="176" t="str">
        <f t="shared" si="1"/>
        <v>#REF!</v>
      </c>
      <c r="D404" s="176"/>
      <c r="E404" s="176"/>
    </row>
    <row r="405">
      <c r="A405" s="182" t="s">
        <v>1168</v>
      </c>
      <c r="B405" s="174" t="s">
        <v>1169</v>
      </c>
      <c r="C405" s="176" t="str">
        <f t="shared" si="1"/>
        <v>#REF!</v>
      </c>
      <c r="D405" s="176"/>
      <c r="E405" s="176"/>
    </row>
    <row r="406">
      <c r="A406" s="182" t="s">
        <v>1170</v>
      </c>
      <c r="B406" s="174" t="s">
        <v>1171</v>
      </c>
      <c r="C406" s="176" t="str">
        <f t="shared" si="1"/>
        <v>#REF!</v>
      </c>
      <c r="D406" s="176"/>
      <c r="E406" s="176"/>
    </row>
    <row r="407">
      <c r="A407" s="182" t="s">
        <v>1172</v>
      </c>
      <c r="B407" s="174" t="s">
        <v>1173</v>
      </c>
      <c r="C407" s="176" t="str">
        <f t="shared" si="1"/>
        <v>#REF!</v>
      </c>
      <c r="D407" s="176"/>
      <c r="E407" s="176"/>
    </row>
    <row r="408">
      <c r="A408" s="182" t="s">
        <v>1174</v>
      </c>
      <c r="B408" s="174" t="s">
        <v>1175</v>
      </c>
      <c r="C408" s="176" t="str">
        <f t="shared" si="1"/>
        <v>#REF!</v>
      </c>
      <c r="D408" s="176"/>
      <c r="E408" s="176"/>
    </row>
    <row r="409">
      <c r="A409" s="182" t="s">
        <v>1176</v>
      </c>
      <c r="B409" s="174" t="s">
        <v>1177</v>
      </c>
      <c r="C409" s="176" t="str">
        <f t="shared" si="1"/>
        <v>#REF!</v>
      </c>
      <c r="D409" s="176"/>
      <c r="E409" s="176"/>
    </row>
    <row r="410">
      <c r="A410" s="182" t="s">
        <v>1178</v>
      </c>
      <c r="B410" s="174" t="s">
        <v>1179</v>
      </c>
      <c r="C410" s="176" t="str">
        <f t="shared" si="1"/>
        <v>#REF!</v>
      </c>
      <c r="D410" s="176"/>
      <c r="E410" s="176"/>
    </row>
    <row r="411">
      <c r="A411" s="182" t="s">
        <v>1180</v>
      </c>
      <c r="B411" s="174" t="s">
        <v>1181</v>
      </c>
      <c r="C411" s="176" t="str">
        <f t="shared" si="1"/>
        <v>#REF!</v>
      </c>
      <c r="D411" s="176"/>
      <c r="E411" s="176"/>
    </row>
    <row r="412">
      <c r="A412" s="182" t="s">
        <v>1182</v>
      </c>
      <c r="B412" s="174" t="s">
        <v>1183</v>
      </c>
      <c r="C412" s="176" t="str">
        <f t="shared" si="1"/>
        <v>#REF!</v>
      </c>
      <c r="D412" s="176"/>
      <c r="E412" s="176"/>
    </row>
    <row r="413">
      <c r="A413" s="182" t="s">
        <v>1184</v>
      </c>
      <c r="B413" s="174" t="s">
        <v>1185</v>
      </c>
      <c r="C413" s="176" t="str">
        <f t="shared" si="1"/>
        <v>#REF!</v>
      </c>
      <c r="D413" s="176"/>
      <c r="E413" s="176"/>
    </row>
    <row r="414">
      <c r="A414" s="182" t="s">
        <v>1186</v>
      </c>
      <c r="B414" s="174" t="s">
        <v>1187</v>
      </c>
      <c r="C414" s="176" t="str">
        <f t="shared" si="1"/>
        <v>#REF!</v>
      </c>
      <c r="D414" s="176"/>
      <c r="E414" s="176"/>
    </row>
    <row r="415">
      <c r="A415" s="182" t="s">
        <v>1188</v>
      </c>
      <c r="B415" s="174" t="s">
        <v>1189</v>
      </c>
      <c r="C415" s="176" t="str">
        <f t="shared" si="1"/>
        <v>#REF!</v>
      </c>
      <c r="D415" s="176"/>
      <c r="E415" s="176"/>
    </row>
    <row r="416">
      <c r="A416" s="182" t="s">
        <v>1190</v>
      </c>
      <c r="B416" s="174" t="s">
        <v>1191</v>
      </c>
      <c r="C416" s="176" t="str">
        <f t="shared" si="1"/>
        <v>#REF!</v>
      </c>
      <c r="D416" s="176"/>
      <c r="E416" s="176"/>
    </row>
    <row r="417">
      <c r="A417" s="182" t="s">
        <v>1192</v>
      </c>
      <c r="B417" s="174" t="s">
        <v>1193</v>
      </c>
      <c r="C417" s="176" t="str">
        <f t="shared" si="1"/>
        <v>#REF!</v>
      </c>
      <c r="D417" s="176"/>
      <c r="E417" s="176"/>
    </row>
    <row r="418">
      <c r="A418" s="182" t="s">
        <v>1194</v>
      </c>
      <c r="B418" s="174" t="s">
        <v>1195</v>
      </c>
      <c r="C418" s="176" t="str">
        <f t="shared" si="1"/>
        <v>#REF!</v>
      </c>
      <c r="D418" s="176"/>
      <c r="E418" s="176"/>
    </row>
    <row r="419">
      <c r="A419" s="182" t="s">
        <v>1196</v>
      </c>
      <c r="B419" s="174" t="s">
        <v>1197</v>
      </c>
      <c r="C419" s="176" t="str">
        <f t="shared" si="1"/>
        <v>#REF!</v>
      </c>
      <c r="D419" s="176"/>
      <c r="E419" s="176"/>
    </row>
    <row r="420">
      <c r="A420" s="182" t="s">
        <v>1198</v>
      </c>
      <c r="B420" s="174" t="s">
        <v>1199</v>
      </c>
      <c r="C420" s="176" t="str">
        <f t="shared" si="1"/>
        <v>#REF!</v>
      </c>
      <c r="D420" s="176"/>
      <c r="E420" s="176"/>
    </row>
    <row r="421">
      <c r="A421" s="182" t="s">
        <v>1200</v>
      </c>
      <c r="B421" s="174" t="s">
        <v>1201</v>
      </c>
      <c r="C421" s="176" t="str">
        <f t="shared" si="1"/>
        <v>#REF!</v>
      </c>
      <c r="D421" s="176"/>
      <c r="E421" s="176"/>
    </row>
    <row r="422">
      <c r="A422" s="182" t="s">
        <v>1202</v>
      </c>
      <c r="B422" s="174" t="s">
        <v>1203</v>
      </c>
      <c r="C422" s="176" t="str">
        <f t="shared" si="1"/>
        <v>#REF!</v>
      </c>
      <c r="D422" s="176"/>
      <c r="E422" s="176"/>
    </row>
    <row r="423">
      <c r="A423" s="182" t="s">
        <v>1204</v>
      </c>
      <c r="B423" s="174" t="s">
        <v>1205</v>
      </c>
      <c r="C423" s="176" t="str">
        <f t="shared" si="1"/>
        <v>#REF!</v>
      </c>
      <c r="D423" s="176"/>
      <c r="E423" s="176"/>
    </row>
    <row r="424">
      <c r="A424" s="182" t="s">
        <v>1206</v>
      </c>
      <c r="B424" s="174" t="s">
        <v>1207</v>
      </c>
      <c r="C424" s="176" t="str">
        <f t="shared" si="1"/>
        <v>#REF!</v>
      </c>
      <c r="D424" s="176"/>
      <c r="E424" s="176"/>
    </row>
    <row r="425">
      <c r="A425" s="182" t="s">
        <v>1208</v>
      </c>
      <c r="B425" s="174" t="s">
        <v>1209</v>
      </c>
      <c r="C425" s="176" t="str">
        <f t="shared" si="1"/>
        <v>#REF!</v>
      </c>
      <c r="D425" s="176"/>
      <c r="E425" s="176"/>
    </row>
    <row r="426">
      <c r="A426" s="182" t="s">
        <v>1210</v>
      </c>
      <c r="B426" s="174" t="s">
        <v>1211</v>
      </c>
      <c r="C426" s="176" t="str">
        <f t="shared" si="1"/>
        <v>#REF!</v>
      </c>
      <c r="D426" s="176"/>
      <c r="E426" s="176"/>
    </row>
    <row r="427">
      <c r="A427" s="182" t="s">
        <v>1212</v>
      </c>
      <c r="B427" s="174" t="s">
        <v>1213</v>
      </c>
      <c r="C427" s="176" t="str">
        <f t="shared" si="1"/>
        <v>#REF!</v>
      </c>
      <c r="D427" s="176"/>
      <c r="E427" s="176"/>
    </row>
    <row r="428">
      <c r="A428" s="182" t="s">
        <v>1214</v>
      </c>
      <c r="B428" s="174" t="s">
        <v>1215</v>
      </c>
      <c r="C428" s="176" t="str">
        <f t="shared" si="1"/>
        <v>#REF!</v>
      </c>
      <c r="D428" s="176"/>
      <c r="E428" s="176"/>
    </row>
    <row r="429">
      <c r="A429" s="182" t="s">
        <v>1216</v>
      </c>
      <c r="B429" s="174" t="s">
        <v>1217</v>
      </c>
      <c r="C429" s="176" t="str">
        <f t="shared" si="1"/>
        <v>#REF!</v>
      </c>
      <c r="D429" s="176"/>
      <c r="E429" s="176"/>
    </row>
    <row r="430">
      <c r="A430" s="182" t="s">
        <v>1218</v>
      </c>
      <c r="B430" s="174" t="s">
        <v>1219</v>
      </c>
      <c r="C430" s="176" t="str">
        <f t="shared" si="1"/>
        <v>#REF!</v>
      </c>
      <c r="D430" s="176"/>
      <c r="E430" s="176"/>
    </row>
    <row r="431">
      <c r="A431" s="182" t="s">
        <v>1220</v>
      </c>
      <c r="B431" s="174" t="s">
        <v>1221</v>
      </c>
      <c r="C431" s="176" t="str">
        <f t="shared" si="1"/>
        <v>#REF!</v>
      </c>
      <c r="D431" s="176"/>
      <c r="E431" s="176"/>
    </row>
    <row r="432">
      <c r="A432" s="182" t="s">
        <v>1222</v>
      </c>
      <c r="B432" s="174" t="s">
        <v>1223</v>
      </c>
      <c r="C432" s="176" t="str">
        <f t="shared" si="1"/>
        <v>#REF!</v>
      </c>
      <c r="D432" s="176"/>
      <c r="E432" s="176"/>
    </row>
    <row r="433">
      <c r="A433" s="182" t="s">
        <v>1224</v>
      </c>
      <c r="B433" s="174" t="s">
        <v>1225</v>
      </c>
      <c r="C433" s="176" t="str">
        <f t="shared" si="1"/>
        <v>#REF!</v>
      </c>
      <c r="D433" s="176"/>
      <c r="E433" s="176"/>
    </row>
    <row r="434">
      <c r="A434" s="182" t="s">
        <v>1226</v>
      </c>
      <c r="B434" s="174" t="s">
        <v>1227</v>
      </c>
      <c r="C434" s="176" t="str">
        <f t="shared" si="1"/>
        <v>#REF!</v>
      </c>
      <c r="D434" s="176"/>
      <c r="E434" s="176"/>
    </row>
    <row r="435">
      <c r="A435" s="182" t="s">
        <v>1228</v>
      </c>
      <c r="B435" s="174" t="s">
        <v>1229</v>
      </c>
      <c r="C435" s="176" t="str">
        <f t="shared" si="1"/>
        <v>#REF!</v>
      </c>
      <c r="D435" s="176"/>
      <c r="E435" s="176"/>
    </row>
    <row r="436">
      <c r="A436" s="182" t="s">
        <v>1230</v>
      </c>
      <c r="B436" s="174" t="s">
        <v>1231</v>
      </c>
      <c r="C436" s="176" t="str">
        <f t="shared" si="1"/>
        <v>#REF!</v>
      </c>
      <c r="D436" s="176"/>
      <c r="E436" s="176"/>
    </row>
    <row r="437">
      <c r="A437" s="182" t="s">
        <v>1232</v>
      </c>
      <c r="B437" s="174" t="s">
        <v>1233</v>
      </c>
      <c r="C437" s="176" t="str">
        <f t="shared" si="1"/>
        <v>#REF!</v>
      </c>
      <c r="D437" s="176"/>
      <c r="E437" s="176"/>
    </row>
    <row r="438">
      <c r="A438" s="182" t="s">
        <v>1234</v>
      </c>
      <c r="B438" s="174" t="s">
        <v>1235</v>
      </c>
      <c r="C438" s="176" t="str">
        <f t="shared" si="1"/>
        <v>#REF!</v>
      </c>
      <c r="D438" s="176"/>
      <c r="E438" s="176"/>
    </row>
    <row r="439">
      <c r="A439" s="182" t="s">
        <v>1236</v>
      </c>
      <c r="B439" s="174" t="s">
        <v>1237</v>
      </c>
      <c r="C439" s="176" t="str">
        <f t="shared" si="1"/>
        <v>#REF!</v>
      </c>
      <c r="D439" s="176"/>
      <c r="E439" s="176"/>
    </row>
    <row r="440">
      <c r="A440" s="182" t="s">
        <v>1238</v>
      </c>
      <c r="B440" s="174" t="s">
        <v>1239</v>
      </c>
      <c r="C440" s="176" t="str">
        <f t="shared" si="1"/>
        <v>#REF!</v>
      </c>
      <c r="D440" s="176"/>
      <c r="E440" s="176"/>
    </row>
    <row r="441">
      <c r="A441" s="182" t="s">
        <v>1240</v>
      </c>
      <c r="B441" s="174" t="s">
        <v>1241</v>
      </c>
      <c r="C441" s="176" t="str">
        <f t="shared" si="1"/>
        <v>#REF!</v>
      </c>
      <c r="D441" s="176"/>
      <c r="E441" s="176"/>
    </row>
    <row r="442">
      <c r="A442" s="182" t="s">
        <v>1242</v>
      </c>
      <c r="B442" s="174" t="s">
        <v>1243</v>
      </c>
      <c r="C442" s="176" t="str">
        <f t="shared" si="1"/>
        <v>#REF!</v>
      </c>
      <c r="D442" s="176"/>
      <c r="E442" s="176"/>
    </row>
    <row r="443">
      <c r="A443" s="182" t="s">
        <v>1244</v>
      </c>
      <c r="B443" s="174" t="s">
        <v>1245</v>
      </c>
      <c r="C443" s="176" t="str">
        <f t="shared" si="1"/>
        <v>#REF!</v>
      </c>
      <c r="D443" s="176"/>
      <c r="E443" s="176"/>
    </row>
    <row r="444">
      <c r="A444" s="182" t="s">
        <v>1246</v>
      </c>
      <c r="B444" s="174" t="s">
        <v>1247</v>
      </c>
      <c r="C444" s="176" t="str">
        <f t="shared" si="1"/>
        <v>#REF!</v>
      </c>
      <c r="D444" s="176"/>
      <c r="E444" s="176"/>
    </row>
    <row r="445">
      <c r="A445" s="182" t="s">
        <v>1248</v>
      </c>
      <c r="B445" s="174" t="s">
        <v>1249</v>
      </c>
      <c r="C445" s="176" t="str">
        <f t="shared" si="1"/>
        <v>#REF!</v>
      </c>
      <c r="D445" s="176"/>
      <c r="E445" s="176"/>
    </row>
    <row r="446">
      <c r="A446" s="182" t="s">
        <v>1250</v>
      </c>
      <c r="B446" s="174" t="s">
        <v>1251</v>
      </c>
      <c r="C446" s="176" t="str">
        <f t="shared" si="1"/>
        <v>#REF!</v>
      </c>
      <c r="D446" s="176"/>
      <c r="E446" s="176"/>
    </row>
    <row r="447">
      <c r="A447" s="182" t="s">
        <v>1252</v>
      </c>
      <c r="B447" s="174" t="s">
        <v>1253</v>
      </c>
      <c r="C447" s="176" t="str">
        <f t="shared" si="1"/>
        <v>#REF!</v>
      </c>
      <c r="D447" s="176"/>
      <c r="E447" s="176"/>
    </row>
    <row r="448">
      <c r="A448" s="182" t="s">
        <v>1254</v>
      </c>
      <c r="B448" s="174" t="s">
        <v>1255</v>
      </c>
      <c r="C448" s="176" t="str">
        <f t="shared" si="1"/>
        <v>#REF!</v>
      </c>
      <c r="D448" s="176"/>
      <c r="E448" s="176"/>
    </row>
    <row r="449">
      <c r="A449" s="182" t="s">
        <v>1256</v>
      </c>
      <c r="B449" s="174" t="s">
        <v>1257</v>
      </c>
      <c r="C449" s="176" t="str">
        <f t="shared" si="1"/>
        <v>#REF!</v>
      </c>
      <c r="D449" s="176"/>
      <c r="E449" s="176"/>
    </row>
    <row r="450">
      <c r="A450" s="182" t="s">
        <v>1258</v>
      </c>
      <c r="B450" s="174" t="s">
        <v>1259</v>
      </c>
      <c r="C450" s="176" t="str">
        <f t="shared" si="1"/>
        <v>#REF!</v>
      </c>
      <c r="D450" s="176"/>
      <c r="E450" s="176"/>
    </row>
    <row r="451">
      <c r="A451" s="182" t="s">
        <v>1260</v>
      </c>
      <c r="B451" s="174" t="s">
        <v>1261</v>
      </c>
      <c r="C451" s="176" t="str">
        <f t="shared" si="1"/>
        <v>#REF!</v>
      </c>
      <c r="D451" s="176"/>
      <c r="E451" s="176"/>
    </row>
    <row r="452">
      <c r="A452" s="182" t="s">
        <v>1262</v>
      </c>
      <c r="B452" s="174" t="s">
        <v>1263</v>
      </c>
      <c r="C452" s="176" t="str">
        <f t="shared" si="1"/>
        <v>#REF!</v>
      </c>
      <c r="D452" s="176"/>
      <c r="E452" s="176"/>
    </row>
    <row r="453">
      <c r="A453" s="182" t="s">
        <v>1264</v>
      </c>
      <c r="B453" s="174" t="s">
        <v>1265</v>
      </c>
      <c r="C453" s="176" t="str">
        <f t="shared" si="1"/>
        <v>#REF!</v>
      </c>
      <c r="D453" s="176"/>
      <c r="E453" s="176"/>
    </row>
    <row r="454">
      <c r="A454" s="182" t="s">
        <v>1266</v>
      </c>
      <c r="B454" s="174" t="s">
        <v>1267</v>
      </c>
      <c r="C454" s="176" t="str">
        <f t="shared" si="1"/>
        <v>#REF!</v>
      </c>
      <c r="D454" s="176"/>
      <c r="E454" s="176"/>
    </row>
    <row r="455">
      <c r="A455" s="182" t="s">
        <v>1268</v>
      </c>
      <c r="B455" s="174" t="s">
        <v>1269</v>
      </c>
      <c r="C455" s="176" t="str">
        <f t="shared" si="1"/>
        <v>#REF!</v>
      </c>
      <c r="D455" s="176"/>
      <c r="E455" s="176"/>
    </row>
    <row r="456">
      <c r="A456" s="182" t="s">
        <v>1270</v>
      </c>
      <c r="B456" s="174" t="s">
        <v>1271</v>
      </c>
      <c r="C456" s="176" t="str">
        <f t="shared" si="1"/>
        <v>#REF!</v>
      </c>
      <c r="D456" s="176"/>
      <c r="E456" s="176"/>
    </row>
    <row r="457">
      <c r="A457" s="182" t="s">
        <v>1272</v>
      </c>
      <c r="B457" s="174" t="s">
        <v>35</v>
      </c>
      <c r="C457" s="176" t="str">
        <f t="shared" si="1"/>
        <v>#REF!</v>
      </c>
      <c r="D457" s="176"/>
      <c r="E457" s="176"/>
    </row>
    <row r="458">
      <c r="A458" s="182" t="s">
        <v>1273</v>
      </c>
      <c r="B458" s="174" t="s">
        <v>1274</v>
      </c>
      <c r="C458" s="176" t="str">
        <f t="shared" si="1"/>
        <v>#REF!</v>
      </c>
      <c r="D458" s="176"/>
      <c r="E458" s="176"/>
    </row>
    <row r="459">
      <c r="A459" s="182" t="s">
        <v>1275</v>
      </c>
      <c r="B459" s="174" t="s">
        <v>1276</v>
      </c>
      <c r="C459" s="176" t="str">
        <f t="shared" si="1"/>
        <v>#REF!</v>
      </c>
      <c r="D459" s="176"/>
      <c r="E459" s="176"/>
    </row>
    <row r="460">
      <c r="A460" s="182" t="s">
        <v>1277</v>
      </c>
      <c r="B460" s="174" t="s">
        <v>1278</v>
      </c>
      <c r="C460" s="176" t="str">
        <f t="shared" si="1"/>
        <v>#REF!</v>
      </c>
      <c r="D460" s="176"/>
      <c r="E460" s="176"/>
    </row>
    <row r="461">
      <c r="A461" s="182" t="s">
        <v>1279</v>
      </c>
      <c r="B461" s="174" t="s">
        <v>1280</v>
      </c>
      <c r="C461" s="176" t="str">
        <f t="shared" si="1"/>
        <v>#REF!</v>
      </c>
      <c r="D461" s="176"/>
      <c r="E461" s="176"/>
    </row>
    <row r="462">
      <c r="A462" s="182" t="s">
        <v>1281</v>
      </c>
      <c r="B462" s="174" t="s">
        <v>1282</v>
      </c>
      <c r="C462" s="176" t="str">
        <f t="shared" si="1"/>
        <v>#REF!</v>
      </c>
      <c r="D462" s="176"/>
      <c r="E462" s="176"/>
    </row>
    <row r="463">
      <c r="A463" s="182" t="s">
        <v>1283</v>
      </c>
      <c r="B463" s="174" t="s">
        <v>1284</v>
      </c>
      <c r="C463" s="176" t="str">
        <f t="shared" si="1"/>
        <v>#REF!</v>
      </c>
      <c r="D463" s="176"/>
      <c r="E463" s="176"/>
    </row>
    <row r="464">
      <c r="A464" s="182" t="s">
        <v>1285</v>
      </c>
      <c r="B464" s="174" t="s">
        <v>1286</v>
      </c>
      <c r="C464" s="176" t="str">
        <f t="shared" si="1"/>
        <v>#REF!</v>
      </c>
      <c r="D464" s="176"/>
      <c r="E464" s="176"/>
    </row>
    <row r="465">
      <c r="A465" s="182" t="s">
        <v>1287</v>
      </c>
      <c r="B465" s="174" t="s">
        <v>1288</v>
      </c>
      <c r="C465" s="176" t="str">
        <f t="shared" si="1"/>
        <v>#REF!</v>
      </c>
      <c r="D465" s="176"/>
      <c r="E465" s="176"/>
    </row>
    <row r="466">
      <c r="A466" s="182" t="s">
        <v>1289</v>
      </c>
      <c r="B466" s="174" t="s">
        <v>1290</v>
      </c>
      <c r="C466" s="176" t="str">
        <f t="shared" si="1"/>
        <v>#REF!</v>
      </c>
      <c r="D466" s="176"/>
      <c r="E466" s="176"/>
    </row>
    <row r="467">
      <c r="A467" s="182" t="s">
        <v>1291</v>
      </c>
      <c r="B467" s="174" t="s">
        <v>1292</v>
      </c>
      <c r="C467" s="176" t="str">
        <f t="shared" si="1"/>
        <v>#REF!</v>
      </c>
      <c r="D467" s="176"/>
      <c r="E467" s="176"/>
    </row>
    <row r="468">
      <c r="A468" s="182" t="s">
        <v>1293</v>
      </c>
      <c r="B468" s="174" t="s">
        <v>1294</v>
      </c>
      <c r="C468" s="176" t="str">
        <f t="shared" si="1"/>
        <v>#REF!</v>
      </c>
      <c r="D468" s="176"/>
      <c r="E468" s="176"/>
    </row>
    <row r="469">
      <c r="A469" s="182" t="s">
        <v>1295</v>
      </c>
      <c r="B469" s="174" t="s">
        <v>1296</v>
      </c>
      <c r="C469" s="176" t="str">
        <f t="shared" si="1"/>
        <v>#REF!</v>
      </c>
      <c r="D469" s="176"/>
      <c r="E469" s="176"/>
    </row>
    <row r="470">
      <c r="A470" s="182" t="s">
        <v>1297</v>
      </c>
      <c r="B470" s="174" t="s">
        <v>1298</v>
      </c>
      <c r="C470" s="176" t="str">
        <f t="shared" si="1"/>
        <v>#REF!</v>
      </c>
      <c r="D470" s="176"/>
      <c r="E470" s="176"/>
    </row>
    <row r="471">
      <c r="A471" s="182" t="s">
        <v>1299</v>
      </c>
      <c r="B471" s="174" t="s">
        <v>1300</v>
      </c>
      <c r="C471" s="176" t="str">
        <f t="shared" si="1"/>
        <v>#REF!</v>
      </c>
      <c r="D471" s="176"/>
      <c r="E471" s="176"/>
    </row>
    <row r="472">
      <c r="A472" s="182" t="s">
        <v>1301</v>
      </c>
      <c r="B472" s="174" t="s">
        <v>1302</v>
      </c>
      <c r="C472" s="176" t="str">
        <f t="shared" si="1"/>
        <v>#REF!</v>
      </c>
      <c r="D472" s="176"/>
      <c r="E472" s="176"/>
    </row>
    <row r="473">
      <c r="A473" s="182" t="s">
        <v>1303</v>
      </c>
      <c r="B473" s="174" t="s">
        <v>1304</v>
      </c>
      <c r="C473" s="176" t="str">
        <f t="shared" si="1"/>
        <v>#REF!</v>
      </c>
      <c r="D473" s="176"/>
      <c r="E473" s="176"/>
    </row>
    <row r="474">
      <c r="A474" s="182" t="s">
        <v>1305</v>
      </c>
      <c r="B474" s="174" t="s">
        <v>1306</v>
      </c>
      <c r="C474" s="176" t="str">
        <f t="shared" si="1"/>
        <v>#REF!</v>
      </c>
      <c r="D474" s="176"/>
      <c r="E474" s="176"/>
    </row>
    <row r="475">
      <c r="A475" s="182" t="s">
        <v>1307</v>
      </c>
      <c r="B475" s="174" t="s">
        <v>1308</v>
      </c>
      <c r="C475" s="176" t="str">
        <f t="shared" si="1"/>
        <v>#REF!</v>
      </c>
      <c r="D475" s="176"/>
      <c r="E475" s="176"/>
    </row>
    <row r="476">
      <c r="A476" s="182" t="s">
        <v>1309</v>
      </c>
      <c r="B476" s="174" t="s">
        <v>1310</v>
      </c>
      <c r="C476" s="176" t="str">
        <f t="shared" si="1"/>
        <v>#REF!</v>
      </c>
      <c r="D476" s="176"/>
      <c r="E476" s="176"/>
    </row>
    <row r="477">
      <c r="A477" s="182" t="s">
        <v>1311</v>
      </c>
      <c r="B477" s="174" t="s">
        <v>1312</v>
      </c>
      <c r="C477" s="176" t="str">
        <f t="shared" si="1"/>
        <v>#REF!</v>
      </c>
      <c r="D477" s="176"/>
      <c r="E477" s="176"/>
    </row>
    <row r="478">
      <c r="A478" s="182" t="s">
        <v>1313</v>
      </c>
      <c r="B478" s="174" t="s">
        <v>1314</v>
      </c>
      <c r="C478" s="176" t="str">
        <f t="shared" si="1"/>
        <v>#REF!</v>
      </c>
      <c r="D478" s="176"/>
      <c r="E478" s="176"/>
    </row>
    <row r="479">
      <c r="A479" s="182" t="s">
        <v>1315</v>
      </c>
      <c r="B479" s="174" t="s">
        <v>1316</v>
      </c>
      <c r="C479" s="176" t="str">
        <f t="shared" si="1"/>
        <v>#REF!</v>
      </c>
      <c r="D479" s="176"/>
      <c r="E479" s="176"/>
    </row>
    <row r="480">
      <c r="A480" s="182" t="s">
        <v>1317</v>
      </c>
      <c r="B480" s="174" t="s">
        <v>1318</v>
      </c>
      <c r="C480" s="176" t="str">
        <f t="shared" si="1"/>
        <v>#REF!</v>
      </c>
      <c r="D480" s="176"/>
      <c r="E480" s="176"/>
    </row>
    <row r="481">
      <c r="A481" s="182" t="s">
        <v>1319</v>
      </c>
      <c r="B481" s="174" t="s">
        <v>1320</v>
      </c>
      <c r="C481" s="176" t="str">
        <f t="shared" si="1"/>
        <v>#REF!</v>
      </c>
      <c r="D481" s="176"/>
      <c r="E481" s="176"/>
    </row>
    <row r="482">
      <c r="A482" s="182" t="s">
        <v>1321</v>
      </c>
      <c r="B482" s="174" t="s">
        <v>1322</v>
      </c>
      <c r="C482" s="176" t="str">
        <f t="shared" si="1"/>
        <v>#REF!</v>
      </c>
      <c r="D482" s="176"/>
      <c r="E482" s="176"/>
    </row>
    <row r="483">
      <c r="A483" s="182" t="s">
        <v>1323</v>
      </c>
      <c r="B483" s="174" t="s">
        <v>1324</v>
      </c>
      <c r="C483" s="176" t="str">
        <f t="shared" si="1"/>
        <v>#REF!</v>
      </c>
      <c r="D483" s="176"/>
      <c r="E483" s="176"/>
    </row>
    <row r="484">
      <c r="A484" s="182" t="s">
        <v>1325</v>
      </c>
      <c r="B484" s="174" t="s">
        <v>1326</v>
      </c>
      <c r="C484" s="176" t="str">
        <f t="shared" si="1"/>
        <v>#REF!</v>
      </c>
      <c r="D484" s="176"/>
      <c r="E484" s="176"/>
    </row>
    <row r="485">
      <c r="A485" s="182" t="s">
        <v>1327</v>
      </c>
      <c r="B485" s="174" t="s">
        <v>1328</v>
      </c>
      <c r="C485" s="176" t="str">
        <f t="shared" si="1"/>
        <v>#REF!</v>
      </c>
      <c r="D485" s="176"/>
      <c r="E485" s="176"/>
    </row>
    <row r="486">
      <c r="A486" s="182" t="s">
        <v>1329</v>
      </c>
      <c r="B486" s="174" t="s">
        <v>1330</v>
      </c>
      <c r="C486" s="176" t="str">
        <f t="shared" si="1"/>
        <v>#REF!</v>
      </c>
      <c r="D486" s="176"/>
      <c r="E486" s="176"/>
    </row>
    <row r="487">
      <c r="A487" s="182" t="s">
        <v>1331</v>
      </c>
      <c r="B487" s="174" t="s">
        <v>1332</v>
      </c>
      <c r="C487" s="176" t="str">
        <f t="shared" si="1"/>
        <v>#REF!</v>
      </c>
      <c r="D487" s="176"/>
      <c r="E487" s="176"/>
    </row>
    <row r="488">
      <c r="A488" s="182" t="s">
        <v>1333</v>
      </c>
      <c r="B488" s="174" t="s">
        <v>1334</v>
      </c>
      <c r="C488" s="176" t="str">
        <f t="shared" si="1"/>
        <v>#REF!</v>
      </c>
      <c r="D488" s="176"/>
      <c r="E488" s="176"/>
    </row>
    <row r="489">
      <c r="A489" s="182" t="s">
        <v>1335</v>
      </c>
      <c r="B489" s="174" t="s">
        <v>1336</v>
      </c>
      <c r="C489" s="176" t="str">
        <f t="shared" si="1"/>
        <v>#REF!</v>
      </c>
      <c r="D489" s="176"/>
      <c r="E489" s="176"/>
    </row>
    <row r="490">
      <c r="A490" s="182" t="s">
        <v>1337</v>
      </c>
      <c r="B490" s="174" t="s">
        <v>1338</v>
      </c>
      <c r="C490" s="176" t="str">
        <f t="shared" si="1"/>
        <v>#REF!</v>
      </c>
      <c r="D490" s="176"/>
      <c r="E490" s="176"/>
    </row>
    <row r="491">
      <c r="A491" s="182" t="s">
        <v>1339</v>
      </c>
      <c r="B491" s="174" t="s">
        <v>1340</v>
      </c>
      <c r="C491" s="176" t="str">
        <f t="shared" si="1"/>
        <v>#REF!</v>
      </c>
      <c r="D491" s="176"/>
      <c r="E491" s="176"/>
    </row>
    <row r="492">
      <c r="A492" s="182" t="s">
        <v>1341</v>
      </c>
      <c r="B492" s="174" t="s">
        <v>1342</v>
      </c>
      <c r="C492" s="176" t="str">
        <f t="shared" si="1"/>
        <v>#REF!</v>
      </c>
      <c r="D492" s="176"/>
      <c r="E492" s="176"/>
    </row>
    <row r="493">
      <c r="A493" s="182" t="s">
        <v>1343</v>
      </c>
      <c r="B493" s="174" t="s">
        <v>1344</v>
      </c>
      <c r="C493" s="176" t="str">
        <f t="shared" si="1"/>
        <v>#REF!</v>
      </c>
      <c r="D493" s="176"/>
      <c r="E493" s="176"/>
    </row>
    <row r="494">
      <c r="A494" s="182" t="s">
        <v>1345</v>
      </c>
      <c r="B494" s="174" t="s">
        <v>1346</v>
      </c>
      <c r="C494" s="176" t="str">
        <f t="shared" si="1"/>
        <v>#REF!</v>
      </c>
      <c r="D494" s="176"/>
      <c r="E494" s="176"/>
    </row>
    <row r="495">
      <c r="A495" s="182" t="s">
        <v>1347</v>
      </c>
      <c r="B495" s="174" t="s">
        <v>1348</v>
      </c>
      <c r="C495" s="176" t="str">
        <f t="shared" si="1"/>
        <v>#REF!</v>
      </c>
      <c r="D495" s="176"/>
      <c r="E495" s="176"/>
    </row>
    <row r="496">
      <c r="A496" s="182" t="s">
        <v>1349</v>
      </c>
      <c r="B496" s="174" t="s">
        <v>1350</v>
      </c>
      <c r="C496" s="176" t="str">
        <f t="shared" si="1"/>
        <v>#REF!</v>
      </c>
      <c r="D496" s="176"/>
      <c r="E496" s="176"/>
    </row>
    <row r="497">
      <c r="A497" s="182" t="s">
        <v>1351</v>
      </c>
      <c r="B497" s="174" t="s">
        <v>1352</v>
      </c>
      <c r="C497" s="176" t="str">
        <f t="shared" si="1"/>
        <v>#REF!</v>
      </c>
      <c r="D497" s="176"/>
      <c r="E497" s="176"/>
    </row>
    <row r="498">
      <c r="A498" s="182" t="s">
        <v>1353</v>
      </c>
      <c r="B498" s="174" t="s">
        <v>1354</v>
      </c>
      <c r="C498" s="176" t="str">
        <f t="shared" si="1"/>
        <v>#REF!</v>
      </c>
      <c r="D498" s="176"/>
      <c r="E498" s="176"/>
    </row>
    <row r="499">
      <c r="A499" s="182" t="s">
        <v>1355</v>
      </c>
      <c r="B499" s="174" t="s">
        <v>1356</v>
      </c>
      <c r="C499" s="176" t="str">
        <f t="shared" si="1"/>
        <v>#REF!</v>
      </c>
      <c r="D499" s="176"/>
      <c r="E499" s="176"/>
    </row>
    <row r="500">
      <c r="A500" s="182" t="s">
        <v>1357</v>
      </c>
      <c r="B500" s="174" t="s">
        <v>1358</v>
      </c>
      <c r="C500" s="176" t="str">
        <f t="shared" si="1"/>
        <v>#REF!</v>
      </c>
      <c r="D500" s="176"/>
      <c r="E500" s="176"/>
    </row>
    <row r="501">
      <c r="A501" s="182" t="s">
        <v>1359</v>
      </c>
      <c r="B501" s="174" t="s">
        <v>1360</v>
      </c>
      <c r="C501" s="176" t="str">
        <f t="shared" si="1"/>
        <v>#REF!</v>
      </c>
      <c r="D501" s="176"/>
      <c r="E501" s="176"/>
    </row>
    <row r="502">
      <c r="A502" s="182" t="s">
        <v>1361</v>
      </c>
      <c r="B502" s="174" t="s">
        <v>1362</v>
      </c>
      <c r="C502" s="176" t="str">
        <f t="shared" si="1"/>
        <v>#REF!</v>
      </c>
      <c r="D502" s="176"/>
      <c r="E502" s="176"/>
    </row>
    <row r="503">
      <c r="A503" s="182" t="s">
        <v>1363</v>
      </c>
      <c r="B503" s="174" t="s">
        <v>1364</v>
      </c>
      <c r="C503" s="176" t="str">
        <f t="shared" si="1"/>
        <v>#REF!</v>
      </c>
      <c r="D503" s="176"/>
      <c r="E503" s="176"/>
    </row>
    <row r="504">
      <c r="A504" s="182" t="s">
        <v>1365</v>
      </c>
      <c r="B504" s="174" t="s">
        <v>1366</v>
      </c>
      <c r="C504" s="176" t="str">
        <f t="shared" si="1"/>
        <v>#REF!</v>
      </c>
      <c r="D504" s="176"/>
      <c r="E504" s="176"/>
    </row>
    <row r="505">
      <c r="A505" s="182" t="s">
        <v>1367</v>
      </c>
      <c r="B505" s="174" t="s">
        <v>1368</v>
      </c>
      <c r="C505" s="176" t="str">
        <f t="shared" si="1"/>
        <v>#REF!</v>
      </c>
      <c r="D505" s="176"/>
      <c r="E505" s="176"/>
    </row>
    <row r="506">
      <c r="A506" s="182" t="s">
        <v>1369</v>
      </c>
      <c r="B506" s="174" t="s">
        <v>1370</v>
      </c>
      <c r="C506" s="176" t="str">
        <f t="shared" si="1"/>
        <v>#REF!</v>
      </c>
      <c r="D506" s="176"/>
      <c r="E506" s="176"/>
    </row>
    <row r="507">
      <c r="A507" s="182" t="s">
        <v>1371</v>
      </c>
      <c r="B507" s="174" t="s">
        <v>1372</v>
      </c>
      <c r="C507" s="176" t="str">
        <f t="shared" si="1"/>
        <v>#REF!</v>
      </c>
      <c r="D507" s="176"/>
      <c r="E507" s="176"/>
    </row>
    <row r="508">
      <c r="A508" s="182" t="s">
        <v>1373</v>
      </c>
      <c r="B508" s="174" t="s">
        <v>1374</v>
      </c>
      <c r="C508" s="176" t="str">
        <f t="shared" si="1"/>
        <v>#REF!</v>
      </c>
      <c r="D508" s="176"/>
      <c r="E508" s="176"/>
    </row>
    <row r="509">
      <c r="A509" s="182" t="s">
        <v>1375</v>
      </c>
      <c r="B509" s="174" t="s">
        <v>1376</v>
      </c>
      <c r="C509" s="176" t="str">
        <f t="shared" si="1"/>
        <v>#REF!</v>
      </c>
      <c r="D509" s="176"/>
      <c r="E509" s="176"/>
    </row>
    <row r="510">
      <c r="A510" s="182" t="s">
        <v>1377</v>
      </c>
      <c r="B510" s="174" t="s">
        <v>1378</v>
      </c>
      <c r="C510" s="176" t="str">
        <f t="shared" si="1"/>
        <v>#REF!</v>
      </c>
      <c r="D510" s="176"/>
      <c r="E510" s="176"/>
    </row>
    <row r="511">
      <c r="A511" s="182" t="s">
        <v>1379</v>
      </c>
      <c r="B511" s="174" t="s">
        <v>1380</v>
      </c>
      <c r="C511" s="176" t="str">
        <f t="shared" si="1"/>
        <v>#REF!</v>
      </c>
      <c r="D511" s="176"/>
      <c r="E511" s="176"/>
    </row>
    <row r="512">
      <c r="A512" s="182" t="s">
        <v>1381</v>
      </c>
      <c r="B512" s="174" t="s">
        <v>1382</v>
      </c>
      <c r="C512" s="176" t="str">
        <f t="shared" si="1"/>
        <v>#REF!</v>
      </c>
      <c r="D512" s="176"/>
      <c r="E512" s="176"/>
    </row>
    <row r="513">
      <c r="A513" s="182" t="s">
        <v>1383</v>
      </c>
      <c r="B513" s="174" t="s">
        <v>1384</v>
      </c>
      <c r="C513" s="176" t="str">
        <f t="shared" si="1"/>
        <v>#REF!</v>
      </c>
      <c r="D513" s="176"/>
      <c r="E513" s="176"/>
    </row>
    <row r="514">
      <c r="A514" s="182" t="s">
        <v>1385</v>
      </c>
      <c r="B514" s="174" t="s">
        <v>1386</v>
      </c>
      <c r="C514" s="176" t="str">
        <f t="shared" si="1"/>
        <v>#REF!</v>
      </c>
      <c r="D514" s="176"/>
      <c r="E514" s="176"/>
    </row>
    <row r="515">
      <c r="A515" s="182" t="s">
        <v>1387</v>
      </c>
      <c r="B515" s="174" t="s">
        <v>1388</v>
      </c>
      <c r="C515" s="176" t="str">
        <f t="shared" si="1"/>
        <v>#REF!</v>
      </c>
      <c r="D515" s="176"/>
      <c r="E515" s="176"/>
    </row>
    <row r="516">
      <c r="A516" s="182" t="s">
        <v>1389</v>
      </c>
      <c r="B516" s="174" t="s">
        <v>1390</v>
      </c>
      <c r="C516" s="176" t="str">
        <f t="shared" si="1"/>
        <v>#REF!</v>
      </c>
      <c r="D516" s="176"/>
      <c r="E516" s="176"/>
    </row>
    <row r="517">
      <c r="A517" s="182" t="s">
        <v>1391</v>
      </c>
      <c r="B517" s="174" t="s">
        <v>1392</v>
      </c>
      <c r="C517" s="176" t="str">
        <f t="shared" si="1"/>
        <v>#REF!</v>
      </c>
      <c r="D517" s="176"/>
      <c r="E517" s="176"/>
    </row>
    <row r="518">
      <c r="A518" s="182" t="s">
        <v>1393</v>
      </c>
      <c r="B518" s="174" t="s">
        <v>169</v>
      </c>
      <c r="C518" s="176" t="str">
        <f t="shared" si="1"/>
        <v>#REF!</v>
      </c>
      <c r="D518" s="176"/>
      <c r="E518" s="176"/>
    </row>
    <row r="519">
      <c r="A519" s="182" t="s">
        <v>1394</v>
      </c>
      <c r="B519" s="174" t="s">
        <v>171</v>
      </c>
      <c r="C519" s="176" t="str">
        <f t="shared" si="1"/>
        <v>#REF!</v>
      </c>
      <c r="D519" s="176"/>
      <c r="E519" s="176"/>
    </row>
    <row r="520">
      <c r="A520" s="182" t="s">
        <v>1395</v>
      </c>
      <c r="B520" s="174" t="s">
        <v>1396</v>
      </c>
      <c r="C520" s="176" t="str">
        <f t="shared" si="1"/>
        <v>#REF!</v>
      </c>
      <c r="D520" s="176"/>
      <c r="E520" s="176"/>
    </row>
    <row r="521">
      <c r="A521" s="182" t="s">
        <v>1397</v>
      </c>
      <c r="B521" s="174" t="s">
        <v>1398</v>
      </c>
      <c r="C521" s="176" t="str">
        <f t="shared" si="1"/>
        <v>#REF!</v>
      </c>
      <c r="D521" s="176"/>
      <c r="E521" s="176"/>
    </row>
    <row r="522">
      <c r="A522" s="182" t="s">
        <v>1399</v>
      </c>
      <c r="B522" s="174" t="s">
        <v>1400</v>
      </c>
      <c r="C522" s="176" t="str">
        <f t="shared" si="1"/>
        <v>#REF!</v>
      </c>
      <c r="D522" s="176"/>
      <c r="E522" s="176"/>
    </row>
    <row r="523">
      <c r="A523" s="182" t="s">
        <v>1401</v>
      </c>
      <c r="B523" s="174" t="s">
        <v>1402</v>
      </c>
      <c r="C523" s="176" t="str">
        <f t="shared" si="1"/>
        <v>#REF!</v>
      </c>
      <c r="D523" s="176"/>
      <c r="E523" s="176"/>
    </row>
    <row r="524">
      <c r="A524" s="182" t="s">
        <v>1403</v>
      </c>
      <c r="B524" s="174" t="s">
        <v>1404</v>
      </c>
      <c r="C524" s="176" t="str">
        <f t="shared" si="1"/>
        <v>#REF!</v>
      </c>
      <c r="D524" s="176"/>
      <c r="E524" s="176"/>
    </row>
    <row r="525">
      <c r="A525" s="182" t="s">
        <v>1405</v>
      </c>
      <c r="B525" s="174" t="s">
        <v>1406</v>
      </c>
      <c r="C525" s="176" t="str">
        <f t="shared" si="1"/>
        <v>#REF!</v>
      </c>
      <c r="D525" s="176"/>
      <c r="E525" s="176"/>
    </row>
    <row r="526">
      <c r="A526" s="182" t="s">
        <v>1407</v>
      </c>
      <c r="B526" s="174" t="s">
        <v>1408</v>
      </c>
      <c r="C526" s="176" t="str">
        <f t="shared" si="1"/>
        <v>#REF!</v>
      </c>
      <c r="D526" s="176"/>
      <c r="E526" s="176"/>
    </row>
    <row r="527">
      <c r="A527" s="182" t="s">
        <v>1409</v>
      </c>
      <c r="B527" s="174" t="s">
        <v>1410</v>
      </c>
      <c r="C527" s="176" t="str">
        <f t="shared" si="1"/>
        <v>#REF!</v>
      </c>
      <c r="D527" s="176"/>
      <c r="E527" s="176"/>
    </row>
    <row r="528">
      <c r="A528" s="182" t="s">
        <v>1411</v>
      </c>
      <c r="B528" s="174" t="s">
        <v>1412</v>
      </c>
      <c r="C528" s="176" t="str">
        <f t="shared" si="1"/>
        <v>#REF!</v>
      </c>
      <c r="D528" s="176"/>
      <c r="E528" s="176"/>
    </row>
    <row r="529">
      <c r="A529" s="182" t="s">
        <v>1413</v>
      </c>
      <c r="B529" s="174" t="s">
        <v>1414</v>
      </c>
      <c r="C529" s="176" t="str">
        <f t="shared" si="1"/>
        <v>#REF!</v>
      </c>
      <c r="D529" s="176"/>
      <c r="E529" s="176"/>
    </row>
    <row r="530">
      <c r="A530" s="182" t="s">
        <v>1415</v>
      </c>
      <c r="B530" s="174" t="s">
        <v>1416</v>
      </c>
      <c r="C530" s="176" t="str">
        <f t="shared" si="1"/>
        <v>#REF!</v>
      </c>
      <c r="D530" s="176"/>
      <c r="E530" s="176"/>
    </row>
    <row r="531">
      <c r="A531" s="182" t="s">
        <v>1417</v>
      </c>
      <c r="B531" s="174" t="s">
        <v>1418</v>
      </c>
      <c r="C531" s="176" t="str">
        <f t="shared" si="1"/>
        <v>#REF!</v>
      </c>
      <c r="D531" s="176"/>
      <c r="E531" s="176"/>
    </row>
    <row r="532">
      <c r="A532" s="182" t="s">
        <v>1419</v>
      </c>
      <c r="B532" s="174" t="s">
        <v>1420</v>
      </c>
      <c r="C532" s="176" t="str">
        <f t="shared" si="1"/>
        <v>#REF!</v>
      </c>
      <c r="D532" s="176"/>
      <c r="E532" s="176"/>
    </row>
    <row r="533">
      <c r="A533" s="182" t="s">
        <v>1421</v>
      </c>
      <c r="B533" s="174" t="s">
        <v>1422</v>
      </c>
      <c r="C533" s="176" t="str">
        <f t="shared" si="1"/>
        <v>#REF!</v>
      </c>
      <c r="D533" s="176"/>
      <c r="E533" s="176"/>
    </row>
    <row r="534">
      <c r="A534" s="182" t="s">
        <v>1423</v>
      </c>
      <c r="B534" s="174" t="s">
        <v>1424</v>
      </c>
      <c r="C534" s="176" t="str">
        <f t="shared" si="1"/>
        <v>#REF!</v>
      </c>
      <c r="D534" s="176"/>
      <c r="E534" s="176"/>
    </row>
    <row r="535">
      <c r="A535" s="182" t="s">
        <v>1425</v>
      </c>
      <c r="B535" s="174" t="s">
        <v>1426</v>
      </c>
      <c r="C535" s="176" t="str">
        <f t="shared" si="1"/>
        <v>#REF!</v>
      </c>
      <c r="D535" s="176"/>
      <c r="E535" s="176"/>
    </row>
    <row r="536">
      <c r="A536" s="182" t="s">
        <v>1427</v>
      </c>
      <c r="B536" s="174" t="s">
        <v>1428</v>
      </c>
      <c r="C536" s="176" t="str">
        <f t="shared" si="1"/>
        <v>#REF!</v>
      </c>
      <c r="D536" s="176"/>
      <c r="E536" s="176"/>
    </row>
    <row r="537">
      <c r="A537" s="182" t="s">
        <v>1429</v>
      </c>
      <c r="B537" s="174" t="s">
        <v>1430</v>
      </c>
      <c r="C537" s="176" t="str">
        <f t="shared" si="1"/>
        <v>#REF!</v>
      </c>
      <c r="D537" s="176"/>
      <c r="E537" s="176"/>
    </row>
    <row r="538">
      <c r="A538" s="182" t="s">
        <v>1431</v>
      </c>
      <c r="B538" s="174" t="s">
        <v>1432</v>
      </c>
      <c r="C538" s="176" t="str">
        <f t="shared" si="1"/>
        <v>#REF!</v>
      </c>
      <c r="D538" s="176"/>
      <c r="E538" s="176"/>
    </row>
    <row r="539">
      <c r="A539" s="182" t="s">
        <v>1433</v>
      </c>
      <c r="B539" s="174" t="s">
        <v>1434</v>
      </c>
      <c r="C539" s="176" t="str">
        <f t="shared" si="1"/>
        <v>#REF!</v>
      </c>
      <c r="D539" s="176"/>
      <c r="E539" s="176"/>
    </row>
    <row r="540">
      <c r="A540" s="182" t="s">
        <v>1435</v>
      </c>
      <c r="B540" s="174" t="s">
        <v>1436</v>
      </c>
      <c r="C540" s="176" t="str">
        <f t="shared" si="1"/>
        <v>#REF!</v>
      </c>
      <c r="D540" s="176"/>
      <c r="E540" s="176"/>
    </row>
    <row r="541">
      <c r="A541" s="182" t="s">
        <v>1437</v>
      </c>
      <c r="B541" s="174" t="s">
        <v>1438</v>
      </c>
      <c r="C541" s="176" t="str">
        <f t="shared" si="1"/>
        <v>#REF!</v>
      </c>
      <c r="D541" s="176"/>
      <c r="E541" s="176"/>
    </row>
    <row r="542">
      <c r="A542" s="182" t="s">
        <v>1439</v>
      </c>
      <c r="B542" s="174" t="s">
        <v>1440</v>
      </c>
      <c r="C542" s="176" t="str">
        <f t="shared" si="1"/>
        <v>#REF!</v>
      </c>
      <c r="D542" s="176"/>
      <c r="E542" s="176"/>
    </row>
    <row r="543">
      <c r="A543" s="182" t="s">
        <v>1441</v>
      </c>
      <c r="B543" s="174" t="s">
        <v>1442</v>
      </c>
      <c r="C543" s="176" t="str">
        <f t="shared" si="1"/>
        <v>#REF!</v>
      </c>
      <c r="D543" s="176"/>
      <c r="E543" s="176"/>
    </row>
    <row r="544">
      <c r="A544" s="182" t="s">
        <v>1443</v>
      </c>
      <c r="B544" s="174" t="s">
        <v>1444</v>
      </c>
      <c r="C544" s="176" t="str">
        <f t="shared" si="1"/>
        <v>#REF!</v>
      </c>
      <c r="D544" s="176"/>
      <c r="E544" s="176"/>
    </row>
    <row r="545">
      <c r="A545" s="182" t="s">
        <v>1445</v>
      </c>
      <c r="B545" s="174" t="s">
        <v>1446</v>
      </c>
      <c r="C545" s="176" t="str">
        <f t="shared" si="1"/>
        <v>#REF!</v>
      </c>
      <c r="D545" s="176"/>
      <c r="E545" s="176"/>
    </row>
    <row r="546">
      <c r="A546" s="182" t="s">
        <v>1447</v>
      </c>
      <c r="B546" s="174" t="s">
        <v>1448</v>
      </c>
      <c r="C546" s="176" t="str">
        <f t="shared" si="1"/>
        <v>#REF!</v>
      </c>
      <c r="D546" s="176"/>
      <c r="E546" s="176"/>
    </row>
    <row r="547">
      <c r="A547" s="182" t="s">
        <v>1449</v>
      </c>
      <c r="B547" s="174" t="s">
        <v>1450</v>
      </c>
      <c r="C547" s="176" t="str">
        <f t="shared" si="1"/>
        <v>#REF!</v>
      </c>
      <c r="D547" s="176"/>
      <c r="E547" s="176"/>
    </row>
    <row r="548">
      <c r="A548" s="182" t="s">
        <v>1451</v>
      </c>
      <c r="B548" s="174" t="s">
        <v>1452</v>
      </c>
      <c r="C548" s="176" t="str">
        <f t="shared" si="1"/>
        <v>#REF!</v>
      </c>
      <c r="D548" s="176"/>
      <c r="E548" s="176"/>
    </row>
    <row r="549">
      <c r="A549" s="182" t="s">
        <v>1453</v>
      </c>
      <c r="B549" s="174" t="s">
        <v>1454</v>
      </c>
      <c r="C549" s="176" t="str">
        <f t="shared" si="1"/>
        <v>#REF!</v>
      </c>
      <c r="D549" s="176"/>
      <c r="E549" s="176"/>
    </row>
    <row r="550">
      <c r="A550" s="182" t="s">
        <v>1455</v>
      </c>
      <c r="B550" s="174" t="s">
        <v>1456</v>
      </c>
      <c r="C550" s="176" t="str">
        <f t="shared" si="1"/>
        <v>#REF!</v>
      </c>
      <c r="D550" s="176"/>
      <c r="E550" s="176"/>
    </row>
    <row r="551">
      <c r="A551" s="182" t="s">
        <v>1457</v>
      </c>
      <c r="B551" s="174" t="s">
        <v>1458</v>
      </c>
      <c r="C551" s="176" t="str">
        <f t="shared" si="1"/>
        <v>#REF!</v>
      </c>
      <c r="D551" s="176"/>
      <c r="E551" s="176"/>
    </row>
    <row r="552">
      <c r="A552" s="182" t="s">
        <v>1459</v>
      </c>
      <c r="B552" s="174" t="s">
        <v>1460</v>
      </c>
      <c r="C552" s="176" t="str">
        <f t="shared" si="1"/>
        <v>#REF!</v>
      </c>
      <c r="D552" s="176"/>
      <c r="E552" s="176"/>
    </row>
    <row r="553">
      <c r="A553" s="182" t="s">
        <v>1461</v>
      </c>
      <c r="B553" s="174" t="s">
        <v>1462</v>
      </c>
      <c r="C553" s="176" t="str">
        <f t="shared" si="1"/>
        <v>#REF!</v>
      </c>
      <c r="D553" s="176"/>
      <c r="E553" s="176"/>
    </row>
    <row r="554">
      <c r="A554" s="182" t="s">
        <v>1463</v>
      </c>
      <c r="B554" s="174" t="s">
        <v>1464</v>
      </c>
      <c r="C554" s="176" t="str">
        <f t="shared" si="1"/>
        <v>#REF!</v>
      </c>
      <c r="D554" s="176"/>
      <c r="E554" s="176"/>
    </row>
    <row r="555">
      <c r="A555" s="182" t="s">
        <v>1465</v>
      </c>
      <c r="B555" s="174" t="s">
        <v>1466</v>
      </c>
      <c r="C555" s="176" t="str">
        <f t="shared" si="1"/>
        <v>#REF!</v>
      </c>
      <c r="D555" s="176"/>
      <c r="E555" s="176"/>
    </row>
    <row r="556">
      <c r="A556" s="182" t="s">
        <v>1467</v>
      </c>
      <c r="B556" s="174" t="s">
        <v>1468</v>
      </c>
      <c r="C556" s="176" t="str">
        <f t="shared" si="1"/>
        <v>#REF!</v>
      </c>
      <c r="D556" s="176"/>
      <c r="E556" s="176"/>
    </row>
    <row r="557">
      <c r="A557" s="182" t="s">
        <v>1469</v>
      </c>
      <c r="B557" s="174" t="s">
        <v>1470</v>
      </c>
      <c r="C557" s="176" t="str">
        <f t="shared" si="1"/>
        <v>#REF!</v>
      </c>
      <c r="D557" s="176"/>
      <c r="E557" s="176"/>
    </row>
    <row r="558">
      <c r="A558" s="182" t="s">
        <v>1471</v>
      </c>
      <c r="B558" s="174" t="s">
        <v>1472</v>
      </c>
      <c r="C558" s="176" t="str">
        <f t="shared" si="1"/>
        <v>#REF!</v>
      </c>
      <c r="D558" s="176"/>
      <c r="E558" s="176"/>
    </row>
    <row r="559">
      <c r="A559" s="182" t="s">
        <v>1473</v>
      </c>
      <c r="B559" s="174" t="s">
        <v>1474</v>
      </c>
      <c r="C559" s="176" t="str">
        <f t="shared" si="1"/>
        <v>#REF!</v>
      </c>
      <c r="D559" s="176"/>
      <c r="E559" s="176"/>
    </row>
    <row r="560">
      <c r="A560" s="182" t="s">
        <v>1475</v>
      </c>
      <c r="B560" s="174" t="s">
        <v>1476</v>
      </c>
      <c r="C560" s="176" t="str">
        <f t="shared" si="1"/>
        <v>#REF!</v>
      </c>
      <c r="D560" s="176"/>
      <c r="E560" s="176"/>
    </row>
    <row r="561">
      <c r="A561" s="182" t="s">
        <v>1477</v>
      </c>
      <c r="B561" s="174" t="s">
        <v>23</v>
      </c>
      <c r="C561" s="176" t="str">
        <f t="shared" si="1"/>
        <v>#REF!</v>
      </c>
      <c r="D561" s="176"/>
      <c r="E561" s="176"/>
    </row>
    <row r="562">
      <c r="A562" s="182" t="s">
        <v>1478</v>
      </c>
      <c r="B562" s="174" t="s">
        <v>1479</v>
      </c>
      <c r="C562" s="176" t="str">
        <f t="shared" si="1"/>
        <v>#REF!</v>
      </c>
      <c r="D562" s="176"/>
      <c r="E562" s="176"/>
    </row>
    <row r="563">
      <c r="A563" s="182" t="s">
        <v>1480</v>
      </c>
      <c r="B563" s="174" t="s">
        <v>1481</v>
      </c>
      <c r="C563" s="176" t="str">
        <f t="shared" si="1"/>
        <v>#REF!</v>
      </c>
      <c r="D563" s="176"/>
      <c r="E563" s="176"/>
    </row>
    <row r="564">
      <c r="A564" s="182" t="s">
        <v>1482</v>
      </c>
      <c r="B564" s="174" t="s">
        <v>1483</v>
      </c>
      <c r="C564" s="176" t="str">
        <f t="shared" si="1"/>
        <v>#REF!</v>
      </c>
      <c r="D564" s="176"/>
      <c r="E564" s="176"/>
    </row>
    <row r="565">
      <c r="A565" s="182" t="s">
        <v>1484</v>
      </c>
      <c r="B565" s="174" t="s">
        <v>1485</v>
      </c>
      <c r="C565" s="176" t="str">
        <f t="shared" si="1"/>
        <v>#REF!</v>
      </c>
      <c r="D565" s="176"/>
      <c r="E565" s="176"/>
    </row>
    <row r="566">
      <c r="A566" s="182" t="s">
        <v>1486</v>
      </c>
      <c r="B566" s="174" t="s">
        <v>1487</v>
      </c>
      <c r="C566" s="176" t="str">
        <f t="shared" si="1"/>
        <v>#REF!</v>
      </c>
      <c r="D566" s="176"/>
      <c r="E566" s="176"/>
    </row>
    <row r="567">
      <c r="A567" s="182" t="s">
        <v>1488</v>
      </c>
      <c r="B567" s="174" t="s">
        <v>1489</v>
      </c>
      <c r="C567" s="176" t="str">
        <f t="shared" si="1"/>
        <v>#REF!</v>
      </c>
      <c r="D567" s="176"/>
      <c r="E567" s="176"/>
    </row>
    <row r="568">
      <c r="A568" s="182" t="s">
        <v>1490</v>
      </c>
      <c r="B568" s="174" t="s">
        <v>1491</v>
      </c>
      <c r="C568" s="176" t="str">
        <f t="shared" si="1"/>
        <v>#REF!</v>
      </c>
      <c r="D568" s="176"/>
      <c r="E568" s="176"/>
    </row>
    <row r="569">
      <c r="A569" s="182" t="s">
        <v>1492</v>
      </c>
      <c r="B569" s="174" t="s">
        <v>1493</v>
      </c>
      <c r="C569" s="176" t="str">
        <f t="shared" si="1"/>
        <v>#REF!</v>
      </c>
      <c r="D569" s="176"/>
      <c r="E569" s="176"/>
    </row>
    <row r="570">
      <c r="A570" s="182" t="s">
        <v>1494</v>
      </c>
      <c r="B570" s="174" t="s">
        <v>1495</v>
      </c>
      <c r="C570" s="176" t="str">
        <f t="shared" si="1"/>
        <v>#REF!</v>
      </c>
      <c r="D570" s="176"/>
      <c r="E570" s="176"/>
    </row>
    <row r="571">
      <c r="A571" s="182" t="s">
        <v>1496</v>
      </c>
      <c r="B571" s="174" t="s">
        <v>1497</v>
      </c>
      <c r="C571" s="176" t="str">
        <f t="shared" si="1"/>
        <v>#REF!</v>
      </c>
      <c r="D571" s="176"/>
      <c r="E571" s="176"/>
    </row>
    <row r="572">
      <c r="A572" s="182" t="s">
        <v>1498</v>
      </c>
      <c r="B572" s="174" t="s">
        <v>1499</v>
      </c>
      <c r="C572" s="176" t="str">
        <f t="shared" si="1"/>
        <v>#REF!</v>
      </c>
      <c r="D572" s="176"/>
      <c r="E572" s="176"/>
    </row>
    <row r="573">
      <c r="A573" s="182" t="s">
        <v>1500</v>
      </c>
      <c r="B573" s="174" t="s">
        <v>1501</v>
      </c>
      <c r="C573" s="176" t="str">
        <f t="shared" si="1"/>
        <v>#REF!</v>
      </c>
      <c r="D573" s="176"/>
      <c r="E573" s="176"/>
    </row>
    <row r="574">
      <c r="A574" s="182" t="s">
        <v>1502</v>
      </c>
      <c r="B574" s="174" t="s">
        <v>1503</v>
      </c>
      <c r="C574" s="176" t="str">
        <f t="shared" si="1"/>
        <v>#REF!</v>
      </c>
      <c r="D574" s="176"/>
      <c r="E574" s="176"/>
    </row>
    <row r="575">
      <c r="A575" s="182" t="s">
        <v>1504</v>
      </c>
      <c r="B575" s="174" t="s">
        <v>1505</v>
      </c>
      <c r="C575" s="176" t="str">
        <f t="shared" si="1"/>
        <v>#REF!</v>
      </c>
      <c r="D575" s="176"/>
      <c r="E575" s="176"/>
    </row>
    <row r="576">
      <c r="A576" s="182" t="s">
        <v>1506</v>
      </c>
      <c r="B576" s="174" t="s">
        <v>1507</v>
      </c>
      <c r="C576" s="176" t="str">
        <f t="shared" si="1"/>
        <v>#REF!</v>
      </c>
      <c r="D576" s="176"/>
      <c r="E576" s="176"/>
    </row>
    <row r="577">
      <c r="A577" s="182" t="s">
        <v>1508</v>
      </c>
      <c r="B577" s="174" t="s">
        <v>1509</v>
      </c>
      <c r="C577" s="176" t="str">
        <f t="shared" si="1"/>
        <v>#REF!</v>
      </c>
      <c r="D577" s="176"/>
      <c r="E577" s="176"/>
    </row>
    <row r="578">
      <c r="A578" s="182" t="s">
        <v>1510</v>
      </c>
      <c r="B578" s="174" t="s">
        <v>1511</v>
      </c>
      <c r="C578" s="176" t="str">
        <f t="shared" si="1"/>
        <v>#REF!</v>
      </c>
      <c r="D578" s="176"/>
      <c r="E578" s="176"/>
    </row>
    <row r="579">
      <c r="A579" s="182" t="s">
        <v>1512</v>
      </c>
      <c r="B579" s="174" t="s">
        <v>1513</v>
      </c>
      <c r="C579" s="176" t="str">
        <f t="shared" si="1"/>
        <v>#REF!</v>
      </c>
      <c r="D579" s="176"/>
      <c r="E579" s="176"/>
    </row>
    <row r="580">
      <c r="A580" s="182" t="s">
        <v>1514</v>
      </c>
      <c r="B580" s="174" t="s">
        <v>148</v>
      </c>
      <c r="C580" s="176" t="str">
        <f t="shared" si="1"/>
        <v>#REF!</v>
      </c>
      <c r="D580" s="176"/>
      <c r="E580" s="176"/>
    </row>
    <row r="581">
      <c r="A581" s="182" t="s">
        <v>1515</v>
      </c>
      <c r="B581" s="174" t="s">
        <v>150</v>
      </c>
      <c r="C581" s="176" t="str">
        <f t="shared" si="1"/>
        <v>#REF!</v>
      </c>
      <c r="D581" s="176"/>
      <c r="E581" s="176"/>
    </row>
    <row r="582">
      <c r="A582" s="182" t="s">
        <v>1516</v>
      </c>
      <c r="B582" s="174" t="s">
        <v>152</v>
      </c>
      <c r="C582" s="176" t="str">
        <f t="shared" si="1"/>
        <v>#REF!</v>
      </c>
      <c r="D582" s="176"/>
      <c r="E582" s="176"/>
    </row>
    <row r="583">
      <c r="A583" s="182" t="s">
        <v>1517</v>
      </c>
      <c r="B583" s="174" t="s">
        <v>154</v>
      </c>
      <c r="C583" s="176" t="str">
        <f t="shared" si="1"/>
        <v>#REF!</v>
      </c>
      <c r="D583" s="176"/>
      <c r="E583" s="176"/>
    </row>
    <row r="584">
      <c r="A584" s="182" t="s">
        <v>1518</v>
      </c>
      <c r="B584" s="174" t="s">
        <v>156</v>
      </c>
      <c r="C584" s="176" t="str">
        <f t="shared" si="1"/>
        <v>#REF!</v>
      </c>
      <c r="D584" s="176"/>
      <c r="E584" s="176"/>
    </row>
    <row r="585">
      <c r="A585" s="182" t="s">
        <v>1519</v>
      </c>
      <c r="B585" s="174" t="s">
        <v>147</v>
      </c>
      <c r="C585" s="176" t="str">
        <f t="shared" si="1"/>
        <v>#REF!</v>
      </c>
      <c r="D585" s="176"/>
      <c r="E585" s="176"/>
    </row>
    <row r="586">
      <c r="A586" s="182" t="s">
        <v>1520</v>
      </c>
      <c r="B586" s="174" t="s">
        <v>1521</v>
      </c>
      <c r="C586" s="176" t="str">
        <f t="shared" si="1"/>
        <v>#REF!</v>
      </c>
      <c r="D586" s="176"/>
      <c r="E586" s="176"/>
    </row>
    <row r="587">
      <c r="A587" s="182" t="s">
        <v>1522</v>
      </c>
      <c r="B587" s="174" t="s">
        <v>1523</v>
      </c>
      <c r="C587" s="176" t="str">
        <f t="shared" si="1"/>
        <v>#REF!</v>
      </c>
      <c r="D587" s="176"/>
      <c r="E587" s="176"/>
    </row>
    <row r="588">
      <c r="A588" s="182" t="s">
        <v>1524</v>
      </c>
      <c r="B588" s="174" t="s">
        <v>1525</v>
      </c>
      <c r="C588" s="176" t="str">
        <f t="shared" si="1"/>
        <v>#REF!</v>
      </c>
      <c r="D588" s="176"/>
      <c r="E588" s="176"/>
    </row>
    <row r="589">
      <c r="A589" s="182" t="s">
        <v>1526</v>
      </c>
      <c r="B589" s="174" t="s">
        <v>1527</v>
      </c>
      <c r="C589" s="176" t="str">
        <f t="shared" si="1"/>
        <v>#REF!</v>
      </c>
      <c r="D589" s="176"/>
      <c r="E589" s="176"/>
    </row>
    <row r="590">
      <c r="A590" s="182" t="s">
        <v>1528</v>
      </c>
      <c r="B590" s="174" t="s">
        <v>1529</v>
      </c>
      <c r="C590" s="176" t="str">
        <f t="shared" si="1"/>
        <v>#REF!</v>
      </c>
      <c r="D590" s="176"/>
      <c r="E590" s="176"/>
    </row>
    <row r="591">
      <c r="A591" s="182" t="s">
        <v>1530</v>
      </c>
      <c r="B591" s="174" t="s">
        <v>1531</v>
      </c>
      <c r="C591" s="176" t="str">
        <f t="shared" si="1"/>
        <v>#REF!</v>
      </c>
      <c r="D591" s="176"/>
      <c r="E591" s="176"/>
    </row>
    <row r="592">
      <c r="A592" s="182" t="s">
        <v>1532</v>
      </c>
      <c r="B592" s="174" t="s">
        <v>1533</v>
      </c>
      <c r="C592" s="176" t="str">
        <f t="shared" si="1"/>
        <v>#REF!</v>
      </c>
      <c r="D592" s="176"/>
      <c r="E592" s="176"/>
    </row>
    <row r="593">
      <c r="A593" s="182" t="s">
        <v>1534</v>
      </c>
      <c r="B593" s="174" t="s">
        <v>1535</v>
      </c>
      <c r="C593" s="176" t="str">
        <f t="shared" si="1"/>
        <v>#REF!</v>
      </c>
      <c r="D593" s="176"/>
      <c r="E593" s="176"/>
    </row>
    <row r="594">
      <c r="A594" s="182" t="s">
        <v>1536</v>
      </c>
      <c r="B594" s="174" t="s">
        <v>1537</v>
      </c>
      <c r="C594" s="176" t="str">
        <f t="shared" si="1"/>
        <v>#REF!</v>
      </c>
      <c r="D594" s="176"/>
      <c r="E594" s="176"/>
    </row>
    <row r="595">
      <c r="A595" s="182" t="s">
        <v>1538</v>
      </c>
      <c r="B595" s="174" t="s">
        <v>1539</v>
      </c>
      <c r="C595" s="176" t="str">
        <f t="shared" si="1"/>
        <v>#REF!</v>
      </c>
      <c r="D595" s="176"/>
      <c r="E595" s="176"/>
    </row>
    <row r="596">
      <c r="A596" s="182" t="s">
        <v>1540</v>
      </c>
      <c r="B596" s="174" t="s">
        <v>1541</v>
      </c>
      <c r="C596" s="176" t="str">
        <f t="shared" si="1"/>
        <v>#REF!</v>
      </c>
      <c r="D596" s="176"/>
      <c r="E596" s="176"/>
    </row>
    <row r="597">
      <c r="A597" s="182" t="s">
        <v>1542</v>
      </c>
      <c r="B597" s="174" t="s">
        <v>1543</v>
      </c>
      <c r="C597" s="176" t="str">
        <f t="shared" si="1"/>
        <v>#REF!</v>
      </c>
      <c r="D597" s="176"/>
      <c r="E597" s="176"/>
    </row>
    <row r="598">
      <c r="A598" s="182" t="s">
        <v>1544</v>
      </c>
      <c r="B598" s="174" t="s">
        <v>1545</v>
      </c>
      <c r="C598" s="176" t="str">
        <f t="shared" si="1"/>
        <v>#REF!</v>
      </c>
      <c r="D598" s="176"/>
      <c r="E598" s="176"/>
    </row>
    <row r="599">
      <c r="A599" s="182" t="s">
        <v>1546</v>
      </c>
      <c r="B599" s="174" t="s">
        <v>1547</v>
      </c>
      <c r="C599" s="176" t="str">
        <f t="shared" si="1"/>
        <v>#REF!</v>
      </c>
      <c r="D599" s="176"/>
      <c r="E599" s="176"/>
    </row>
    <row r="600">
      <c r="A600" s="182" t="s">
        <v>1548</v>
      </c>
      <c r="B600" s="174" t="s">
        <v>1549</v>
      </c>
      <c r="C600" s="176" t="str">
        <f t="shared" si="1"/>
        <v>#REF!</v>
      </c>
      <c r="D600" s="176"/>
      <c r="E600" s="176"/>
    </row>
    <row r="601">
      <c r="A601" s="182" t="s">
        <v>1550</v>
      </c>
      <c r="B601" s="174" t="s">
        <v>1551</v>
      </c>
      <c r="C601" s="176" t="str">
        <f t="shared" si="1"/>
        <v>#REF!</v>
      </c>
      <c r="D601" s="176"/>
      <c r="E601" s="176"/>
    </row>
    <row r="602">
      <c r="A602" s="182" t="s">
        <v>1552</v>
      </c>
      <c r="B602" s="174" t="s">
        <v>1553</v>
      </c>
      <c r="C602" s="176" t="str">
        <f t="shared" si="1"/>
        <v>#REF!</v>
      </c>
      <c r="D602" s="176"/>
      <c r="E602" s="176"/>
    </row>
    <row r="603">
      <c r="A603" s="182" t="s">
        <v>1554</v>
      </c>
      <c r="B603" s="174" t="s">
        <v>1555</v>
      </c>
      <c r="C603" s="176" t="str">
        <f t="shared" si="1"/>
        <v>#REF!</v>
      </c>
      <c r="D603" s="176"/>
      <c r="E603" s="176"/>
    </row>
    <row r="604">
      <c r="A604" s="182" t="s">
        <v>1556</v>
      </c>
      <c r="B604" s="174" t="s">
        <v>1557</v>
      </c>
      <c r="C604" s="176" t="str">
        <f t="shared" si="1"/>
        <v>#REF!</v>
      </c>
      <c r="D604" s="176"/>
      <c r="E604" s="176"/>
    </row>
    <row r="605">
      <c r="A605" s="182" t="s">
        <v>1558</v>
      </c>
      <c r="B605" s="174" t="s">
        <v>1559</v>
      </c>
      <c r="C605" s="176" t="str">
        <f t="shared" si="1"/>
        <v>#REF!</v>
      </c>
      <c r="D605" s="176"/>
      <c r="E605" s="176"/>
    </row>
    <row r="606">
      <c r="A606" s="182" t="s">
        <v>1560</v>
      </c>
      <c r="B606" s="174" t="s">
        <v>1561</v>
      </c>
      <c r="C606" s="176" t="str">
        <f t="shared" si="1"/>
        <v>#REF!</v>
      </c>
      <c r="D606" s="176"/>
      <c r="E606" s="176"/>
    </row>
    <row r="607">
      <c r="A607" s="182" t="s">
        <v>1562</v>
      </c>
      <c r="B607" s="174" t="s">
        <v>1563</v>
      </c>
      <c r="C607" s="176" t="str">
        <f t="shared" si="1"/>
        <v>#REF!</v>
      </c>
      <c r="D607" s="176"/>
      <c r="E607" s="176"/>
    </row>
    <row r="608">
      <c r="A608" s="182" t="s">
        <v>1564</v>
      </c>
      <c r="B608" s="174" t="s">
        <v>1565</v>
      </c>
      <c r="C608" s="176" t="str">
        <f t="shared" si="1"/>
        <v>#REF!</v>
      </c>
      <c r="D608" s="176"/>
      <c r="E608" s="176"/>
    </row>
    <row r="609">
      <c r="A609" s="182" t="s">
        <v>1566</v>
      </c>
      <c r="B609" s="174" t="s">
        <v>1567</v>
      </c>
      <c r="C609" s="176" t="str">
        <f t="shared" si="1"/>
        <v>#REF!</v>
      </c>
      <c r="D609" s="176"/>
      <c r="E609" s="176"/>
    </row>
    <row r="610">
      <c r="A610" s="182" t="s">
        <v>1568</v>
      </c>
      <c r="B610" s="174" t="s">
        <v>1569</v>
      </c>
      <c r="C610" s="176" t="str">
        <f t="shared" si="1"/>
        <v>#REF!</v>
      </c>
      <c r="D610" s="176"/>
      <c r="E610" s="176"/>
    </row>
    <row r="611">
      <c r="A611" s="182" t="s">
        <v>1570</v>
      </c>
      <c r="B611" s="174" t="s">
        <v>288</v>
      </c>
      <c r="C611" s="176" t="str">
        <f t="shared" si="1"/>
        <v>#REF!</v>
      </c>
      <c r="D611" s="176"/>
      <c r="E611" s="176"/>
    </row>
    <row r="612">
      <c r="A612" s="182" t="s">
        <v>1571</v>
      </c>
      <c r="B612" s="174" t="s">
        <v>287</v>
      </c>
      <c r="C612" s="176" t="str">
        <f t="shared" si="1"/>
        <v>#REF!</v>
      </c>
      <c r="D612" s="176"/>
      <c r="E612" s="176"/>
    </row>
    <row r="613">
      <c r="A613" s="182" t="s">
        <v>1572</v>
      </c>
      <c r="B613" s="174" t="s">
        <v>1573</v>
      </c>
      <c r="C613" s="176" t="str">
        <f t="shared" si="1"/>
        <v>#REF!</v>
      </c>
      <c r="D613" s="176"/>
      <c r="E613" s="176"/>
    </row>
    <row r="614">
      <c r="A614" s="182" t="s">
        <v>1574</v>
      </c>
      <c r="B614" s="174" t="s">
        <v>1575</v>
      </c>
      <c r="C614" s="176" t="str">
        <f t="shared" si="1"/>
        <v>#REF!</v>
      </c>
      <c r="D614" s="176"/>
      <c r="E614" s="176"/>
    </row>
    <row r="615">
      <c r="A615" s="182" t="s">
        <v>1576</v>
      </c>
      <c r="B615" s="174" t="s">
        <v>1577</v>
      </c>
      <c r="C615" s="176" t="str">
        <f t="shared" si="1"/>
        <v>#REF!</v>
      </c>
      <c r="D615" s="176"/>
      <c r="E615" s="176"/>
    </row>
    <row r="616">
      <c r="A616" s="182" t="s">
        <v>1578</v>
      </c>
      <c r="B616" s="174" t="s">
        <v>1579</v>
      </c>
      <c r="C616" s="176" t="str">
        <f t="shared" si="1"/>
        <v>#REF!</v>
      </c>
      <c r="D616" s="176"/>
      <c r="E616" s="176"/>
    </row>
    <row r="617">
      <c r="A617" s="182" t="s">
        <v>1580</v>
      </c>
      <c r="B617" s="174" t="s">
        <v>1581</v>
      </c>
      <c r="C617" s="176" t="str">
        <f t="shared" si="1"/>
        <v>#REF!</v>
      </c>
      <c r="D617" s="176"/>
      <c r="E617" s="176"/>
    </row>
    <row r="618">
      <c r="A618" s="182" t="s">
        <v>1582</v>
      </c>
      <c r="B618" s="174" t="s">
        <v>1583</v>
      </c>
      <c r="C618" s="176" t="str">
        <f t="shared" si="1"/>
        <v>#REF!</v>
      </c>
      <c r="D618" s="176"/>
      <c r="E618" s="176"/>
    </row>
    <row r="619">
      <c r="A619" s="182" t="s">
        <v>1584</v>
      </c>
      <c r="B619" s="174" t="s">
        <v>1585</v>
      </c>
      <c r="C619" s="176" t="str">
        <f t="shared" si="1"/>
        <v>#REF!</v>
      </c>
      <c r="D619" s="176"/>
      <c r="E619" s="176"/>
    </row>
    <row r="620">
      <c r="A620" s="182" t="s">
        <v>1586</v>
      </c>
      <c r="B620" s="174" t="s">
        <v>1587</v>
      </c>
      <c r="C620" s="176" t="str">
        <f t="shared" si="1"/>
        <v>#REF!</v>
      </c>
      <c r="D620" s="176"/>
      <c r="E620" s="176"/>
    </row>
    <row r="621">
      <c r="A621" s="182" t="s">
        <v>1588</v>
      </c>
      <c r="B621" s="174" t="s">
        <v>1589</v>
      </c>
      <c r="C621" s="176" t="str">
        <f t="shared" si="1"/>
        <v>#REF!</v>
      </c>
      <c r="D621" s="176"/>
      <c r="E621" s="176"/>
    </row>
    <row r="622">
      <c r="A622" s="182" t="s">
        <v>1590</v>
      </c>
      <c r="B622" s="174" t="s">
        <v>1591</v>
      </c>
      <c r="C622" s="176" t="str">
        <f t="shared" si="1"/>
        <v>#REF!</v>
      </c>
      <c r="D622" s="176"/>
      <c r="E622" s="176"/>
    </row>
    <row r="623">
      <c r="A623" s="182" t="s">
        <v>1592</v>
      </c>
      <c r="B623" s="174" t="s">
        <v>1593</v>
      </c>
      <c r="C623" s="176" t="str">
        <f t="shared" si="1"/>
        <v>#REF!</v>
      </c>
      <c r="D623" s="176"/>
      <c r="E623" s="176"/>
    </row>
    <row r="624">
      <c r="A624" s="182" t="s">
        <v>1594</v>
      </c>
      <c r="B624" s="174" t="s">
        <v>1595</v>
      </c>
      <c r="C624" s="176" t="str">
        <f t="shared" si="1"/>
        <v>#REF!</v>
      </c>
      <c r="D624" s="176"/>
      <c r="E624" s="176"/>
    </row>
    <row r="625">
      <c r="A625" s="182" t="s">
        <v>1596</v>
      </c>
      <c r="B625" s="174" t="s">
        <v>1597</v>
      </c>
      <c r="C625" s="176" t="str">
        <f t="shared" si="1"/>
        <v>#REF!</v>
      </c>
      <c r="D625" s="176"/>
      <c r="E625" s="176"/>
    </row>
    <row r="626">
      <c r="A626" s="182" t="s">
        <v>1598</v>
      </c>
      <c r="B626" s="174" t="s">
        <v>1599</v>
      </c>
      <c r="C626" s="176" t="str">
        <f t="shared" si="1"/>
        <v>#REF!</v>
      </c>
      <c r="D626" s="176"/>
      <c r="E626" s="176"/>
    </row>
    <row r="627">
      <c r="A627" s="182" t="s">
        <v>1600</v>
      </c>
      <c r="B627" s="174" t="s">
        <v>1601</v>
      </c>
      <c r="C627" s="176" t="str">
        <f t="shared" si="1"/>
        <v>#REF!</v>
      </c>
      <c r="D627" s="176"/>
      <c r="E627" s="176"/>
    </row>
    <row r="628">
      <c r="A628" s="182" t="s">
        <v>1602</v>
      </c>
      <c r="B628" s="174" t="s">
        <v>1603</v>
      </c>
      <c r="C628" s="176" t="str">
        <f t="shared" si="1"/>
        <v>#REF!</v>
      </c>
      <c r="D628" s="176"/>
      <c r="E628" s="176"/>
    </row>
    <row r="629">
      <c r="A629" s="182" t="s">
        <v>1604</v>
      </c>
      <c r="B629" s="174" t="s">
        <v>1605</v>
      </c>
      <c r="C629" s="176" t="str">
        <f t="shared" si="1"/>
        <v>#REF!</v>
      </c>
      <c r="D629" s="176"/>
      <c r="E629" s="176"/>
    </row>
    <row r="630">
      <c r="A630" s="182" t="s">
        <v>1606</v>
      </c>
      <c r="B630" s="174" t="s">
        <v>1607</v>
      </c>
      <c r="C630" s="176" t="str">
        <f t="shared" si="1"/>
        <v>#REF!</v>
      </c>
      <c r="D630" s="176"/>
      <c r="E630" s="176"/>
    </row>
    <row r="631">
      <c r="A631" s="182" t="s">
        <v>1608</v>
      </c>
      <c r="B631" s="174" t="s">
        <v>1609</v>
      </c>
      <c r="C631" s="176" t="str">
        <f t="shared" si="1"/>
        <v>#REF!</v>
      </c>
      <c r="D631" s="176"/>
      <c r="E631" s="176"/>
    </row>
    <row r="632">
      <c r="A632" s="182" t="s">
        <v>1610</v>
      </c>
      <c r="B632" s="174" t="s">
        <v>1611</v>
      </c>
      <c r="C632" s="176" t="str">
        <f t="shared" si="1"/>
        <v>#REF!</v>
      </c>
      <c r="D632" s="176"/>
      <c r="E632" s="176"/>
    </row>
    <row r="633">
      <c r="A633" s="182" t="s">
        <v>1612</v>
      </c>
      <c r="B633" s="174" t="s">
        <v>1613</v>
      </c>
      <c r="C633" s="176" t="str">
        <f t="shared" si="1"/>
        <v>#REF!</v>
      </c>
      <c r="D633" s="176"/>
      <c r="E633" s="176"/>
    </row>
    <row r="634">
      <c r="A634" s="182" t="s">
        <v>1614</v>
      </c>
      <c r="B634" s="174" t="s">
        <v>1615</v>
      </c>
      <c r="C634" s="176" t="str">
        <f t="shared" si="1"/>
        <v>#REF!</v>
      </c>
      <c r="D634" s="176"/>
      <c r="E634" s="176"/>
    </row>
    <row r="635">
      <c r="A635" s="182" t="s">
        <v>1616</v>
      </c>
      <c r="B635" s="174" t="s">
        <v>1617</v>
      </c>
      <c r="C635" s="176" t="str">
        <f t="shared" si="1"/>
        <v>#REF!</v>
      </c>
      <c r="D635" s="176"/>
      <c r="E635" s="176"/>
    </row>
    <row r="636">
      <c r="A636" s="182" t="s">
        <v>1618</v>
      </c>
      <c r="B636" s="174" t="s">
        <v>1619</v>
      </c>
      <c r="C636" s="176" t="str">
        <f t="shared" si="1"/>
        <v>#REF!</v>
      </c>
      <c r="D636" s="176"/>
      <c r="E636" s="176"/>
    </row>
    <row r="637">
      <c r="A637" s="182" t="s">
        <v>1620</v>
      </c>
      <c r="B637" s="174" t="s">
        <v>1621</v>
      </c>
      <c r="C637" s="176" t="str">
        <f t="shared" si="1"/>
        <v>#REF!</v>
      </c>
      <c r="D637" s="176"/>
      <c r="E637" s="176"/>
    </row>
    <row r="638">
      <c r="A638" s="182" t="s">
        <v>1622</v>
      </c>
      <c r="B638" s="174" t="s">
        <v>1623</v>
      </c>
      <c r="C638" s="176" t="str">
        <f t="shared" si="1"/>
        <v>#REF!</v>
      </c>
      <c r="D638" s="176"/>
      <c r="E638" s="176"/>
    </row>
    <row r="639">
      <c r="A639" s="182" t="s">
        <v>1624</v>
      </c>
      <c r="B639" s="174" t="s">
        <v>1625</v>
      </c>
      <c r="C639" s="176" t="str">
        <f t="shared" si="1"/>
        <v>#REF!</v>
      </c>
      <c r="D639" s="176"/>
      <c r="E639" s="176"/>
    </row>
    <row r="640">
      <c r="A640" s="182" t="s">
        <v>1626</v>
      </c>
      <c r="B640" s="174" t="s">
        <v>1627</v>
      </c>
      <c r="C640" s="176" t="str">
        <f t="shared" si="1"/>
        <v>#REF!</v>
      </c>
      <c r="D640" s="176"/>
      <c r="E640" s="176"/>
    </row>
    <row r="641">
      <c r="A641" s="182" t="s">
        <v>1628</v>
      </c>
      <c r="B641" s="174" t="s">
        <v>1629</v>
      </c>
      <c r="C641" s="176" t="str">
        <f t="shared" si="1"/>
        <v>#REF!</v>
      </c>
      <c r="D641" s="176"/>
      <c r="E641" s="176"/>
    </row>
    <row r="642">
      <c r="A642" s="182" t="s">
        <v>1630</v>
      </c>
      <c r="B642" s="174" t="s">
        <v>1631</v>
      </c>
      <c r="C642" s="176" t="str">
        <f t="shared" si="1"/>
        <v>#REF!</v>
      </c>
      <c r="D642" s="176"/>
      <c r="E642" s="176"/>
    </row>
    <row r="643">
      <c r="A643" s="182" t="s">
        <v>1632</v>
      </c>
      <c r="B643" s="174" t="s">
        <v>1633</v>
      </c>
      <c r="C643" s="176" t="str">
        <f t="shared" si="1"/>
        <v>#REF!</v>
      </c>
      <c r="D643" s="176"/>
      <c r="E643" s="176"/>
    </row>
    <row r="644">
      <c r="A644" s="182" t="s">
        <v>1634</v>
      </c>
      <c r="B644" s="174" t="s">
        <v>1635</v>
      </c>
      <c r="C644" s="176" t="str">
        <f t="shared" si="1"/>
        <v>#REF!</v>
      </c>
      <c r="D644" s="176"/>
      <c r="E644" s="176"/>
    </row>
    <row r="645">
      <c r="A645" s="182" t="s">
        <v>1636</v>
      </c>
      <c r="B645" s="174" t="s">
        <v>1637</v>
      </c>
      <c r="C645" s="176" t="str">
        <f t="shared" si="1"/>
        <v>#REF!</v>
      </c>
      <c r="D645" s="176"/>
      <c r="E645" s="176"/>
    </row>
    <row r="646">
      <c r="A646" s="182" t="s">
        <v>1638</v>
      </c>
      <c r="B646" s="174" t="s">
        <v>1639</v>
      </c>
      <c r="C646" s="176" t="str">
        <f t="shared" si="1"/>
        <v>#REF!</v>
      </c>
      <c r="D646" s="176"/>
      <c r="E646" s="176"/>
    </row>
    <row r="647">
      <c r="A647" s="182" t="s">
        <v>1640</v>
      </c>
      <c r="B647" s="174" t="s">
        <v>1641</v>
      </c>
      <c r="C647" s="176" t="str">
        <f t="shared" si="1"/>
        <v>#REF!</v>
      </c>
      <c r="D647" s="176"/>
      <c r="E647" s="176"/>
    </row>
    <row r="648">
      <c r="A648" s="182" t="s">
        <v>1642</v>
      </c>
      <c r="B648" s="174" t="s">
        <v>1643</v>
      </c>
      <c r="C648" s="176" t="str">
        <f t="shared" si="1"/>
        <v>#REF!</v>
      </c>
      <c r="D648" s="176"/>
      <c r="E648" s="176"/>
    </row>
    <row r="649">
      <c r="A649" s="182" t="s">
        <v>1644</v>
      </c>
      <c r="B649" s="174" t="s">
        <v>1645</v>
      </c>
      <c r="C649" s="176" t="str">
        <f t="shared" si="1"/>
        <v>#REF!</v>
      </c>
      <c r="D649" s="176"/>
      <c r="E649" s="176"/>
    </row>
    <row r="650">
      <c r="A650" s="182" t="s">
        <v>1646</v>
      </c>
      <c r="B650" s="174" t="s">
        <v>1647</v>
      </c>
      <c r="C650" s="176" t="str">
        <f t="shared" si="1"/>
        <v>#REF!</v>
      </c>
      <c r="D650" s="176"/>
      <c r="E650" s="176"/>
    </row>
    <row r="651">
      <c r="A651" s="182" t="s">
        <v>1648</v>
      </c>
      <c r="B651" s="174" t="s">
        <v>1649</v>
      </c>
      <c r="C651" s="176" t="str">
        <f t="shared" si="1"/>
        <v>#REF!</v>
      </c>
      <c r="D651" s="176"/>
      <c r="E651" s="176"/>
    </row>
    <row r="652">
      <c r="A652" s="182" t="s">
        <v>1650</v>
      </c>
      <c r="B652" s="174" t="s">
        <v>1651</v>
      </c>
      <c r="C652" s="176" t="str">
        <f t="shared" si="1"/>
        <v>#REF!</v>
      </c>
      <c r="D652" s="176"/>
      <c r="E652" s="176"/>
    </row>
    <row r="653">
      <c r="A653" s="182" t="s">
        <v>1652</v>
      </c>
      <c r="B653" s="174" t="s">
        <v>1653</v>
      </c>
      <c r="C653" s="176" t="str">
        <f t="shared" si="1"/>
        <v>#REF!</v>
      </c>
      <c r="D653" s="176"/>
      <c r="E653" s="176"/>
    </row>
    <row r="654">
      <c r="A654" s="182" t="s">
        <v>1654</v>
      </c>
      <c r="B654" s="174" t="s">
        <v>1655</v>
      </c>
      <c r="C654" s="176" t="str">
        <f t="shared" si="1"/>
        <v>#REF!</v>
      </c>
      <c r="D654" s="176"/>
      <c r="E654" s="176"/>
    </row>
    <row r="655">
      <c r="A655" s="182" t="s">
        <v>1656</v>
      </c>
      <c r="B655" s="174" t="s">
        <v>1657</v>
      </c>
      <c r="C655" s="176" t="str">
        <f t="shared" si="1"/>
        <v>#REF!</v>
      </c>
      <c r="D655" s="176"/>
      <c r="E655" s="176"/>
    </row>
    <row r="656">
      <c r="A656" s="182" t="s">
        <v>1658</v>
      </c>
      <c r="B656" s="174" t="s">
        <v>1659</v>
      </c>
      <c r="C656" s="176" t="str">
        <f t="shared" si="1"/>
        <v>#REF!</v>
      </c>
      <c r="D656" s="176"/>
      <c r="E656" s="176"/>
    </row>
    <row r="657">
      <c r="A657" s="182" t="s">
        <v>1660</v>
      </c>
      <c r="B657" s="174" t="s">
        <v>1661</v>
      </c>
      <c r="C657" s="176" t="str">
        <f t="shared" si="1"/>
        <v>#REF!</v>
      </c>
      <c r="D657" s="176"/>
      <c r="E657" s="176"/>
    </row>
    <row r="658">
      <c r="A658" s="182" t="s">
        <v>1662</v>
      </c>
      <c r="B658" s="174" t="s">
        <v>1663</v>
      </c>
      <c r="C658" s="176" t="str">
        <f t="shared" si="1"/>
        <v>#REF!</v>
      </c>
      <c r="D658" s="176"/>
      <c r="E658" s="176"/>
    </row>
    <row r="659">
      <c r="A659" s="182" t="s">
        <v>1664</v>
      </c>
      <c r="B659" s="174" t="s">
        <v>291</v>
      </c>
      <c r="C659" s="176" t="str">
        <f t="shared" si="1"/>
        <v>#REF!</v>
      </c>
      <c r="D659" s="176"/>
      <c r="E659" s="176"/>
    </row>
    <row r="660">
      <c r="A660" s="182" t="s">
        <v>1665</v>
      </c>
      <c r="B660" s="174" t="s">
        <v>290</v>
      </c>
      <c r="C660" s="176" t="str">
        <f t="shared" si="1"/>
        <v>#REF!</v>
      </c>
      <c r="D660" s="176"/>
      <c r="E660" s="176"/>
    </row>
    <row r="661">
      <c r="A661" s="182" t="s">
        <v>1666</v>
      </c>
      <c r="B661" s="174" t="s">
        <v>176</v>
      </c>
      <c r="C661" s="176" t="str">
        <f t="shared" si="1"/>
        <v>#REF!</v>
      </c>
      <c r="D661" s="176"/>
      <c r="E661" s="176"/>
    </row>
    <row r="662">
      <c r="A662" s="182" t="s">
        <v>1667</v>
      </c>
      <c r="B662" s="174" t="s">
        <v>179</v>
      </c>
      <c r="C662" s="176" t="str">
        <f t="shared" si="1"/>
        <v>#REF!</v>
      </c>
      <c r="D662" s="176"/>
      <c r="E662" s="176"/>
    </row>
    <row r="663">
      <c r="A663" s="182" t="s">
        <v>1668</v>
      </c>
      <c r="B663" s="174" t="s">
        <v>1669</v>
      </c>
      <c r="C663" s="176" t="str">
        <f t="shared" si="1"/>
        <v>#REF!</v>
      </c>
      <c r="D663" s="176"/>
      <c r="E663" s="176"/>
    </row>
    <row r="664">
      <c r="A664" s="182" t="s">
        <v>1670</v>
      </c>
      <c r="B664" s="174" t="s">
        <v>1671</v>
      </c>
      <c r="C664" s="176" t="str">
        <f t="shared" si="1"/>
        <v>#REF!</v>
      </c>
      <c r="D664" s="176"/>
      <c r="E664" s="176"/>
    </row>
    <row r="665">
      <c r="A665" s="182" t="s">
        <v>1672</v>
      </c>
      <c r="B665" s="174" t="s">
        <v>1673</v>
      </c>
      <c r="C665" s="176" t="str">
        <f t="shared" si="1"/>
        <v>#REF!</v>
      </c>
      <c r="D665" s="176"/>
      <c r="E665" s="176"/>
    </row>
    <row r="666">
      <c r="A666" s="182" t="s">
        <v>1674</v>
      </c>
      <c r="B666" s="174" t="s">
        <v>1675</v>
      </c>
      <c r="C666" s="176" t="str">
        <f t="shared" si="1"/>
        <v>#REF!</v>
      </c>
      <c r="D666" s="176"/>
      <c r="E666" s="176"/>
    </row>
    <row r="667">
      <c r="A667" s="182" t="s">
        <v>1676</v>
      </c>
      <c r="B667" s="174" t="s">
        <v>1677</v>
      </c>
      <c r="C667" s="176" t="str">
        <f t="shared" si="1"/>
        <v>#REF!</v>
      </c>
      <c r="D667" s="176"/>
      <c r="E667" s="176"/>
    </row>
    <row r="668">
      <c r="A668" s="182" t="s">
        <v>1678</v>
      </c>
      <c r="B668" s="174" t="s">
        <v>1679</v>
      </c>
      <c r="C668" s="176" t="str">
        <f t="shared" si="1"/>
        <v>#REF!</v>
      </c>
      <c r="D668" s="176"/>
      <c r="E668" s="176"/>
    </row>
    <row r="669">
      <c r="A669" s="182" t="s">
        <v>1680</v>
      </c>
      <c r="B669" s="174" t="s">
        <v>1681</v>
      </c>
      <c r="C669" s="176" t="str">
        <f t="shared" si="1"/>
        <v>#REF!</v>
      </c>
      <c r="D669" s="176"/>
      <c r="E669" s="176"/>
    </row>
    <row r="670">
      <c r="A670" s="182" t="s">
        <v>1682</v>
      </c>
      <c r="B670" s="174" t="s">
        <v>1683</v>
      </c>
      <c r="C670" s="176" t="str">
        <f t="shared" si="1"/>
        <v>#REF!</v>
      </c>
      <c r="D670" s="176"/>
      <c r="E670" s="176"/>
    </row>
    <row r="671">
      <c r="A671" s="182" t="s">
        <v>1684</v>
      </c>
      <c r="B671" s="174" t="s">
        <v>1685</v>
      </c>
      <c r="C671" s="176" t="str">
        <f t="shared" si="1"/>
        <v>#REF!</v>
      </c>
      <c r="D671" s="176"/>
      <c r="E671" s="176"/>
    </row>
    <row r="672">
      <c r="A672" s="182" t="s">
        <v>1686</v>
      </c>
      <c r="B672" s="174" t="s">
        <v>1687</v>
      </c>
      <c r="C672" s="176" t="str">
        <f t="shared" si="1"/>
        <v>#REF!</v>
      </c>
      <c r="D672" s="176"/>
      <c r="E672" s="176"/>
    </row>
    <row r="673">
      <c r="A673" s="182" t="s">
        <v>1688</v>
      </c>
      <c r="B673" s="174" t="s">
        <v>1689</v>
      </c>
      <c r="C673" s="176" t="str">
        <f t="shared" si="1"/>
        <v>#REF!</v>
      </c>
      <c r="D673" s="176"/>
      <c r="E673" s="176"/>
    </row>
    <row r="674">
      <c r="A674" s="182" t="s">
        <v>1690</v>
      </c>
      <c r="B674" s="174" t="s">
        <v>1691</v>
      </c>
      <c r="C674" s="176" t="str">
        <f t="shared" si="1"/>
        <v>#REF!</v>
      </c>
      <c r="D674" s="176"/>
      <c r="E674" s="176"/>
    </row>
    <row r="675">
      <c r="A675" s="182" t="s">
        <v>1692</v>
      </c>
      <c r="B675" s="174" t="s">
        <v>1693</v>
      </c>
      <c r="C675" s="176" t="str">
        <f t="shared" si="1"/>
        <v>#REF!</v>
      </c>
      <c r="D675" s="176"/>
      <c r="E675" s="176"/>
    </row>
    <row r="676">
      <c r="A676" s="182" t="s">
        <v>1694</v>
      </c>
      <c r="B676" s="174" t="s">
        <v>1695</v>
      </c>
      <c r="C676" s="176" t="str">
        <f t="shared" si="1"/>
        <v>#REF!</v>
      </c>
      <c r="D676" s="176"/>
      <c r="E676" s="176"/>
    </row>
    <row r="677">
      <c r="A677" s="182" t="s">
        <v>1696</v>
      </c>
      <c r="B677" s="174" t="s">
        <v>1697</v>
      </c>
      <c r="C677" s="176" t="str">
        <f t="shared" si="1"/>
        <v>#REF!</v>
      </c>
      <c r="D677" s="176"/>
      <c r="E677" s="176"/>
    </row>
    <row r="678">
      <c r="A678" s="182" t="s">
        <v>1698</v>
      </c>
      <c r="B678" s="174" t="s">
        <v>1699</v>
      </c>
      <c r="C678" s="176" t="str">
        <f t="shared" si="1"/>
        <v>#REF!</v>
      </c>
      <c r="D678" s="176"/>
      <c r="E678" s="176"/>
    </row>
    <row r="679">
      <c r="A679" s="182" t="s">
        <v>1700</v>
      </c>
      <c r="B679" s="174" t="s">
        <v>1701</v>
      </c>
      <c r="C679" s="176" t="str">
        <f t="shared" si="1"/>
        <v>#REF!</v>
      </c>
      <c r="D679" s="176"/>
      <c r="E679" s="176"/>
    </row>
    <row r="680">
      <c r="A680" s="182" t="s">
        <v>1702</v>
      </c>
      <c r="B680" s="174" t="s">
        <v>1703</v>
      </c>
      <c r="C680" s="176" t="str">
        <f t="shared" si="1"/>
        <v>#REF!</v>
      </c>
      <c r="D680" s="176"/>
      <c r="E680" s="176"/>
    </row>
    <row r="681">
      <c r="A681" s="182" t="s">
        <v>1704</v>
      </c>
      <c r="B681" s="174" t="s">
        <v>1705</v>
      </c>
      <c r="C681" s="176" t="str">
        <f t="shared" si="1"/>
        <v>#REF!</v>
      </c>
      <c r="D681" s="176"/>
      <c r="E681" s="176"/>
    </row>
    <row r="682">
      <c r="A682" s="182" t="s">
        <v>1706</v>
      </c>
      <c r="B682" s="174" t="s">
        <v>1707</v>
      </c>
      <c r="C682" s="176" t="str">
        <f t="shared" si="1"/>
        <v>#REF!</v>
      </c>
      <c r="D682" s="176"/>
      <c r="E682" s="176"/>
    </row>
    <row r="683">
      <c r="A683" s="182" t="s">
        <v>1708</v>
      </c>
      <c r="B683" s="174" t="s">
        <v>1709</v>
      </c>
      <c r="C683" s="176" t="str">
        <f t="shared" si="1"/>
        <v>#REF!</v>
      </c>
      <c r="D683" s="176"/>
      <c r="E683" s="176"/>
    </row>
    <row r="684">
      <c r="A684" s="182" t="s">
        <v>1710</v>
      </c>
      <c r="B684" s="174" t="s">
        <v>1711</v>
      </c>
      <c r="C684" s="176" t="str">
        <f t="shared" si="1"/>
        <v>#REF!</v>
      </c>
      <c r="D684" s="176"/>
      <c r="E684" s="176"/>
    </row>
    <row r="685">
      <c r="A685" s="182" t="s">
        <v>1712</v>
      </c>
      <c r="B685" s="174" t="s">
        <v>1713</v>
      </c>
      <c r="C685" s="176" t="str">
        <f t="shared" si="1"/>
        <v>#REF!</v>
      </c>
      <c r="D685" s="176"/>
      <c r="E685" s="176"/>
    </row>
    <row r="686">
      <c r="A686" s="182" t="s">
        <v>1714</v>
      </c>
      <c r="B686" s="174" t="s">
        <v>1715</v>
      </c>
      <c r="C686" s="176" t="str">
        <f t="shared" si="1"/>
        <v>#REF!</v>
      </c>
      <c r="D686" s="176"/>
      <c r="E686" s="176"/>
    </row>
    <row r="687">
      <c r="A687" s="182" t="s">
        <v>1716</v>
      </c>
      <c r="B687" s="174" t="s">
        <v>294</v>
      </c>
      <c r="C687" s="176" t="str">
        <f t="shared" si="1"/>
        <v>#REF!</v>
      </c>
      <c r="D687" s="176"/>
      <c r="E687" s="176"/>
    </row>
    <row r="688">
      <c r="A688" s="182" t="s">
        <v>1717</v>
      </c>
      <c r="B688" s="174" t="s">
        <v>293</v>
      </c>
      <c r="C688" s="176" t="str">
        <f t="shared" si="1"/>
        <v>#REF!</v>
      </c>
      <c r="D688" s="176"/>
      <c r="E688" s="176"/>
    </row>
    <row r="689">
      <c r="A689" s="182" t="s">
        <v>1718</v>
      </c>
      <c r="B689" s="174" t="s">
        <v>297</v>
      </c>
      <c r="C689" s="176" t="str">
        <f t="shared" si="1"/>
        <v>#REF!</v>
      </c>
      <c r="D689" s="176"/>
      <c r="E689" s="176"/>
    </row>
    <row r="690">
      <c r="A690" s="182" t="s">
        <v>1719</v>
      </c>
      <c r="B690" s="174" t="s">
        <v>296</v>
      </c>
      <c r="C690" s="176" t="str">
        <f t="shared" si="1"/>
        <v>#REF!</v>
      </c>
      <c r="D690" s="176"/>
      <c r="E690" s="176"/>
    </row>
    <row r="691">
      <c r="A691" s="182" t="s">
        <v>1720</v>
      </c>
      <c r="B691" s="174" t="s">
        <v>1721</v>
      </c>
      <c r="C691" s="176" t="str">
        <f t="shared" si="1"/>
        <v>#REF!</v>
      </c>
      <c r="D691" s="176"/>
      <c r="E691" s="176"/>
    </row>
    <row r="692">
      <c r="A692" s="182" t="s">
        <v>1722</v>
      </c>
      <c r="B692" s="174" t="s">
        <v>1723</v>
      </c>
      <c r="C692" s="176" t="str">
        <f t="shared" si="1"/>
        <v>#REF!</v>
      </c>
      <c r="D692" s="176"/>
      <c r="E692" s="176"/>
    </row>
    <row r="693">
      <c r="A693" s="182" t="s">
        <v>1724</v>
      </c>
      <c r="B693" s="174" t="s">
        <v>1725</v>
      </c>
      <c r="C693" s="176" t="str">
        <f t="shared" si="1"/>
        <v>#REF!</v>
      </c>
      <c r="D693" s="176"/>
      <c r="E693" s="176"/>
    </row>
    <row r="694">
      <c r="A694" s="182" t="s">
        <v>1726</v>
      </c>
      <c r="B694" s="174" t="s">
        <v>1727</v>
      </c>
      <c r="C694" s="176" t="str">
        <f t="shared" si="1"/>
        <v>#REF!</v>
      </c>
      <c r="D694" s="176"/>
      <c r="E694" s="176"/>
    </row>
    <row r="695">
      <c r="A695" s="182" t="s">
        <v>1728</v>
      </c>
      <c r="B695" s="174" t="s">
        <v>1729</v>
      </c>
      <c r="C695" s="176" t="str">
        <f t="shared" si="1"/>
        <v>#REF!</v>
      </c>
      <c r="D695" s="176"/>
      <c r="E695" s="176"/>
    </row>
    <row r="696">
      <c r="A696" s="182" t="s">
        <v>1730</v>
      </c>
      <c r="B696" s="174" t="s">
        <v>1731</v>
      </c>
      <c r="C696" s="176" t="str">
        <f t="shared" si="1"/>
        <v>#REF!</v>
      </c>
      <c r="D696" s="176"/>
      <c r="E696" s="176"/>
    </row>
    <row r="697">
      <c r="A697" s="182" t="s">
        <v>1732</v>
      </c>
      <c r="B697" s="174" t="s">
        <v>1733</v>
      </c>
      <c r="C697" s="176" t="str">
        <f t="shared" si="1"/>
        <v>#REF!</v>
      </c>
      <c r="D697" s="176"/>
      <c r="E697" s="176"/>
    </row>
    <row r="698">
      <c r="A698" s="182" t="s">
        <v>1734</v>
      </c>
      <c r="B698" s="174" t="s">
        <v>1735</v>
      </c>
      <c r="C698" s="176" t="str">
        <f t="shared" si="1"/>
        <v>#REF!</v>
      </c>
      <c r="D698" s="176"/>
      <c r="E698" s="176"/>
    </row>
    <row r="699">
      <c r="A699" s="182" t="s">
        <v>1736</v>
      </c>
      <c r="B699" s="174" t="s">
        <v>1737</v>
      </c>
      <c r="C699" s="176" t="str">
        <f t="shared" si="1"/>
        <v>#REF!</v>
      </c>
      <c r="D699" s="176"/>
      <c r="E699" s="176"/>
    </row>
    <row r="700">
      <c r="A700" s="182" t="s">
        <v>1738</v>
      </c>
      <c r="B700" s="174" t="s">
        <v>1739</v>
      </c>
      <c r="C700" s="176" t="str">
        <f t="shared" si="1"/>
        <v>#REF!</v>
      </c>
      <c r="D700" s="176"/>
      <c r="E700" s="176"/>
    </row>
    <row r="701">
      <c r="A701" s="182" t="s">
        <v>1740</v>
      </c>
      <c r="B701" s="174" t="s">
        <v>1741</v>
      </c>
      <c r="C701" s="176" t="str">
        <f t="shared" si="1"/>
        <v>#REF!</v>
      </c>
      <c r="D701" s="176"/>
      <c r="E701" s="176"/>
    </row>
    <row r="702">
      <c r="A702" s="182" t="s">
        <v>1742</v>
      </c>
      <c r="B702" s="174" t="s">
        <v>1743</v>
      </c>
      <c r="C702" s="176" t="str">
        <f t="shared" si="1"/>
        <v>#REF!</v>
      </c>
      <c r="D702" s="176"/>
      <c r="E702" s="176"/>
    </row>
    <row r="703">
      <c r="A703" s="182" t="s">
        <v>1744</v>
      </c>
      <c r="B703" s="174" t="s">
        <v>1745</v>
      </c>
      <c r="C703" s="176" t="str">
        <f t="shared" si="1"/>
        <v>#REF!</v>
      </c>
      <c r="D703" s="176"/>
      <c r="E703" s="176"/>
    </row>
    <row r="704">
      <c r="A704" s="182" t="s">
        <v>1746</v>
      </c>
      <c r="B704" s="174" t="s">
        <v>1747</v>
      </c>
      <c r="C704" s="176" t="str">
        <f t="shared" si="1"/>
        <v>#REF!</v>
      </c>
      <c r="D704" s="176"/>
      <c r="E704" s="176"/>
    </row>
    <row r="705">
      <c r="A705" s="182" t="s">
        <v>1748</v>
      </c>
      <c r="B705" s="174" t="s">
        <v>1749</v>
      </c>
      <c r="C705" s="176" t="str">
        <f t="shared" si="1"/>
        <v>#REF!</v>
      </c>
      <c r="D705" s="176"/>
      <c r="E705" s="176"/>
    </row>
    <row r="706">
      <c r="A706" s="182" t="s">
        <v>1750</v>
      </c>
      <c r="B706" s="174" t="s">
        <v>1751</v>
      </c>
      <c r="C706" s="176" t="str">
        <f t="shared" si="1"/>
        <v>#REF!</v>
      </c>
      <c r="D706" s="176"/>
      <c r="E706" s="176"/>
    </row>
    <row r="707">
      <c r="A707" s="182" t="s">
        <v>1752</v>
      </c>
      <c r="B707" s="174" t="s">
        <v>1753</v>
      </c>
      <c r="C707" s="176" t="str">
        <f t="shared" si="1"/>
        <v>#REF!</v>
      </c>
      <c r="D707" s="176"/>
      <c r="E707" s="176"/>
    </row>
    <row r="708">
      <c r="A708" s="182" t="s">
        <v>1754</v>
      </c>
      <c r="B708" s="174" t="s">
        <v>1755</v>
      </c>
      <c r="C708" s="176" t="str">
        <f t="shared" si="1"/>
        <v>#REF!</v>
      </c>
      <c r="D708" s="176"/>
      <c r="E708" s="176"/>
    </row>
    <row r="709">
      <c r="A709" s="182" t="s">
        <v>1756</v>
      </c>
      <c r="B709" s="174" t="s">
        <v>1757</v>
      </c>
      <c r="C709" s="176" t="str">
        <f t="shared" si="1"/>
        <v>#REF!</v>
      </c>
      <c r="D709" s="176"/>
      <c r="E709" s="176"/>
    </row>
    <row r="710">
      <c r="A710" s="182" t="s">
        <v>1758</v>
      </c>
      <c r="B710" s="174" t="s">
        <v>1759</v>
      </c>
      <c r="C710" s="176" t="str">
        <f t="shared" si="1"/>
        <v>#REF!</v>
      </c>
      <c r="D710" s="176"/>
      <c r="E710" s="176"/>
    </row>
    <row r="711">
      <c r="A711" s="182" t="s">
        <v>1760</v>
      </c>
      <c r="B711" s="174" t="s">
        <v>1761</v>
      </c>
      <c r="C711" s="176" t="str">
        <f t="shared" si="1"/>
        <v>#REF!</v>
      </c>
      <c r="D711" s="176"/>
      <c r="E711" s="176"/>
    </row>
    <row r="712">
      <c r="A712" s="182" t="s">
        <v>1762</v>
      </c>
      <c r="B712" s="174" t="s">
        <v>1763</v>
      </c>
      <c r="C712" s="176" t="str">
        <f t="shared" si="1"/>
        <v>#REF!</v>
      </c>
      <c r="D712" s="176"/>
      <c r="E712" s="176"/>
    </row>
    <row r="713">
      <c r="A713" s="182" t="s">
        <v>1764</v>
      </c>
      <c r="B713" s="174" t="s">
        <v>1765</v>
      </c>
      <c r="C713" s="176" t="str">
        <f t="shared" si="1"/>
        <v>#REF!</v>
      </c>
      <c r="D713" s="176"/>
      <c r="E713" s="176"/>
    </row>
    <row r="714">
      <c r="A714" s="182" t="s">
        <v>1766</v>
      </c>
      <c r="B714" s="174" t="s">
        <v>1767</v>
      </c>
      <c r="C714" s="176" t="str">
        <f t="shared" si="1"/>
        <v>#REF!</v>
      </c>
      <c r="D714" s="176"/>
      <c r="E714" s="176"/>
    </row>
    <row r="715">
      <c r="A715" s="182" t="s">
        <v>1768</v>
      </c>
      <c r="B715" s="174" t="s">
        <v>1769</v>
      </c>
      <c r="C715" s="176" t="str">
        <f t="shared" si="1"/>
        <v>#REF!</v>
      </c>
      <c r="D715" s="176"/>
      <c r="E715" s="176"/>
    </row>
    <row r="716">
      <c r="A716" s="182" t="s">
        <v>1770</v>
      </c>
      <c r="B716" s="174" t="s">
        <v>1771</v>
      </c>
      <c r="C716" s="176" t="str">
        <f t="shared" si="1"/>
        <v>#REF!</v>
      </c>
      <c r="D716" s="176"/>
      <c r="E716" s="176"/>
    </row>
    <row r="717">
      <c r="A717" s="182" t="s">
        <v>1772</v>
      </c>
      <c r="B717" s="174" t="s">
        <v>1773</v>
      </c>
      <c r="C717" s="176" t="str">
        <f t="shared" si="1"/>
        <v>#REF!</v>
      </c>
      <c r="D717" s="176"/>
      <c r="E717" s="176"/>
    </row>
    <row r="718">
      <c r="A718" s="182" t="s">
        <v>1774</v>
      </c>
      <c r="B718" s="174" t="s">
        <v>1775</v>
      </c>
      <c r="C718" s="176" t="str">
        <f t="shared" si="1"/>
        <v>#REF!</v>
      </c>
      <c r="D718" s="176"/>
      <c r="E718" s="176"/>
    </row>
    <row r="719">
      <c r="A719" s="182" t="s">
        <v>1776</v>
      </c>
      <c r="B719" s="174" t="s">
        <v>1777</v>
      </c>
      <c r="C719" s="176" t="str">
        <f t="shared" si="1"/>
        <v>#REF!</v>
      </c>
      <c r="D719" s="176"/>
      <c r="E719" s="176"/>
    </row>
    <row r="720">
      <c r="A720" s="182" t="s">
        <v>1778</v>
      </c>
      <c r="B720" s="174" t="s">
        <v>1779</v>
      </c>
      <c r="C720" s="176" t="str">
        <f t="shared" si="1"/>
        <v>#REF!</v>
      </c>
      <c r="D720" s="176"/>
      <c r="E720" s="176"/>
    </row>
    <row r="721">
      <c r="A721" s="182" t="s">
        <v>1780</v>
      </c>
      <c r="B721" s="174" t="s">
        <v>1781</v>
      </c>
      <c r="C721" s="176" t="str">
        <f t="shared" si="1"/>
        <v>#REF!</v>
      </c>
      <c r="D721" s="176"/>
      <c r="E721" s="176"/>
    </row>
    <row r="722">
      <c r="A722" s="182" t="s">
        <v>1782</v>
      </c>
      <c r="B722" s="174" t="s">
        <v>1783</v>
      </c>
      <c r="C722" s="176" t="str">
        <f t="shared" si="1"/>
        <v>#REF!</v>
      </c>
      <c r="D722" s="176"/>
      <c r="E722" s="176"/>
    </row>
    <row r="723">
      <c r="A723" s="182" t="s">
        <v>1784</v>
      </c>
      <c r="B723" s="174" t="s">
        <v>1785</v>
      </c>
      <c r="C723" s="176" t="str">
        <f t="shared" si="1"/>
        <v>#REF!</v>
      </c>
      <c r="D723" s="176"/>
      <c r="E723" s="176"/>
    </row>
    <row r="724">
      <c r="A724" s="182" t="s">
        <v>1786</v>
      </c>
      <c r="B724" s="174" t="s">
        <v>1787</v>
      </c>
      <c r="C724" s="176" t="str">
        <f t="shared" si="1"/>
        <v>#REF!</v>
      </c>
      <c r="D724" s="176"/>
      <c r="E724" s="176"/>
    </row>
    <row r="725">
      <c r="A725" s="182" t="s">
        <v>1788</v>
      </c>
      <c r="B725" s="174" t="s">
        <v>1789</v>
      </c>
      <c r="C725" s="176" t="str">
        <f t="shared" si="1"/>
        <v>#REF!</v>
      </c>
      <c r="D725" s="176"/>
      <c r="E725" s="176"/>
    </row>
    <row r="726">
      <c r="A726" s="182" t="s">
        <v>1790</v>
      </c>
      <c r="B726" s="174" t="s">
        <v>1791</v>
      </c>
      <c r="C726" s="176" t="str">
        <f t="shared" si="1"/>
        <v>#REF!</v>
      </c>
      <c r="D726" s="176"/>
      <c r="E726" s="176"/>
    </row>
    <row r="727">
      <c r="A727" s="182" t="s">
        <v>1792</v>
      </c>
      <c r="B727" s="174" t="s">
        <v>1793</v>
      </c>
      <c r="C727" s="176" t="str">
        <f t="shared" si="1"/>
        <v>#REF!</v>
      </c>
      <c r="D727" s="176"/>
      <c r="E727" s="176"/>
    </row>
    <row r="728">
      <c r="A728" s="182" t="s">
        <v>1794</v>
      </c>
      <c r="B728" s="174" t="s">
        <v>1795</v>
      </c>
      <c r="C728" s="176" t="str">
        <f t="shared" si="1"/>
        <v>#REF!</v>
      </c>
      <c r="D728" s="176"/>
      <c r="E728" s="176"/>
    </row>
    <row r="729">
      <c r="A729" s="182" t="s">
        <v>1796</v>
      </c>
      <c r="B729" s="174" t="s">
        <v>1797</v>
      </c>
      <c r="C729" s="176" t="str">
        <f t="shared" si="1"/>
        <v>#REF!</v>
      </c>
      <c r="D729" s="176"/>
      <c r="E729" s="176"/>
    </row>
    <row r="730">
      <c r="A730" s="182" t="s">
        <v>1798</v>
      </c>
      <c r="B730" s="174" t="s">
        <v>1799</v>
      </c>
      <c r="C730" s="176" t="str">
        <f t="shared" si="1"/>
        <v>#REF!</v>
      </c>
      <c r="D730" s="176"/>
      <c r="E730" s="176"/>
    </row>
    <row r="731">
      <c r="A731" s="182" t="s">
        <v>1800</v>
      </c>
      <c r="B731" s="174" t="s">
        <v>1801</v>
      </c>
      <c r="C731" s="176" t="str">
        <f t="shared" si="1"/>
        <v>#REF!</v>
      </c>
      <c r="D731" s="176"/>
      <c r="E731" s="176"/>
    </row>
    <row r="732">
      <c r="A732" s="182" t="s">
        <v>1802</v>
      </c>
      <c r="B732" s="174" t="s">
        <v>1803</v>
      </c>
      <c r="C732" s="176" t="str">
        <f t="shared" si="1"/>
        <v>#REF!</v>
      </c>
      <c r="D732" s="176"/>
      <c r="E732" s="176"/>
    </row>
    <row r="733">
      <c r="A733" s="182" t="s">
        <v>1804</v>
      </c>
      <c r="B733" s="174" t="s">
        <v>1805</v>
      </c>
      <c r="C733" s="176" t="str">
        <f t="shared" si="1"/>
        <v>#REF!</v>
      </c>
      <c r="D733" s="176"/>
      <c r="E733" s="176"/>
    </row>
    <row r="734">
      <c r="A734" s="182" t="s">
        <v>1806</v>
      </c>
      <c r="B734" s="174" t="s">
        <v>1807</v>
      </c>
      <c r="C734" s="176" t="str">
        <f t="shared" si="1"/>
        <v>#REF!</v>
      </c>
      <c r="D734" s="176"/>
      <c r="E734" s="176"/>
    </row>
    <row r="735">
      <c r="A735" s="182" t="s">
        <v>1808</v>
      </c>
      <c r="B735" s="174" t="s">
        <v>1809</v>
      </c>
      <c r="C735" s="176" t="str">
        <f t="shared" si="1"/>
        <v>#REF!</v>
      </c>
      <c r="D735" s="176"/>
      <c r="E735" s="176"/>
    </row>
    <row r="736">
      <c r="A736" s="182" t="s">
        <v>1810</v>
      </c>
      <c r="B736" s="174" t="s">
        <v>1811</v>
      </c>
      <c r="C736" s="176" t="str">
        <f t="shared" si="1"/>
        <v>#REF!</v>
      </c>
      <c r="D736" s="176"/>
      <c r="E736" s="176"/>
    </row>
    <row r="737">
      <c r="A737" s="182" t="s">
        <v>1812</v>
      </c>
      <c r="B737" s="174" t="s">
        <v>1813</v>
      </c>
      <c r="C737" s="176" t="str">
        <f t="shared" si="1"/>
        <v>#REF!</v>
      </c>
      <c r="D737" s="176"/>
      <c r="E737" s="176"/>
    </row>
    <row r="738">
      <c r="A738" s="182" t="s">
        <v>1814</v>
      </c>
      <c r="B738" s="174" t="s">
        <v>1815</v>
      </c>
      <c r="C738" s="176" t="str">
        <f t="shared" si="1"/>
        <v>#REF!</v>
      </c>
      <c r="D738" s="176"/>
      <c r="E738" s="176"/>
    </row>
    <row r="739">
      <c r="A739" s="182" t="s">
        <v>1816</v>
      </c>
      <c r="B739" s="174" t="s">
        <v>1817</v>
      </c>
      <c r="C739" s="176" t="str">
        <f t="shared" si="1"/>
        <v>#REF!</v>
      </c>
      <c r="D739" s="176"/>
      <c r="E739" s="176"/>
    </row>
    <row r="740">
      <c r="A740" s="182" t="s">
        <v>1818</v>
      </c>
      <c r="B740" s="174" t="s">
        <v>1819</v>
      </c>
      <c r="C740" s="176" t="str">
        <f t="shared" si="1"/>
        <v>#REF!</v>
      </c>
      <c r="D740" s="176"/>
      <c r="E740" s="176"/>
    </row>
    <row r="741">
      <c r="A741" s="182" t="s">
        <v>1820</v>
      </c>
      <c r="B741" s="174" t="s">
        <v>1821</v>
      </c>
      <c r="C741" s="176" t="str">
        <f t="shared" si="1"/>
        <v>#REF!</v>
      </c>
      <c r="D741" s="176"/>
      <c r="E741" s="176"/>
    </row>
    <row r="742">
      <c r="A742" s="182" t="s">
        <v>1822</v>
      </c>
      <c r="B742" s="174" t="s">
        <v>1823</v>
      </c>
      <c r="C742" s="176" t="str">
        <f t="shared" si="1"/>
        <v>#REF!</v>
      </c>
      <c r="D742" s="176"/>
      <c r="E742" s="176"/>
    </row>
    <row r="743">
      <c r="A743" s="182" t="s">
        <v>1824</v>
      </c>
      <c r="B743" s="174" t="s">
        <v>1825</v>
      </c>
      <c r="C743" s="176" t="str">
        <f t="shared" si="1"/>
        <v>#REF!</v>
      </c>
      <c r="D743" s="176"/>
      <c r="E743" s="176"/>
    </row>
    <row r="744">
      <c r="A744" s="182" t="s">
        <v>1826</v>
      </c>
      <c r="B744" s="174" t="s">
        <v>1827</v>
      </c>
      <c r="C744" s="176" t="str">
        <f t="shared" si="1"/>
        <v>#REF!</v>
      </c>
      <c r="D744" s="176"/>
      <c r="E744" s="176"/>
    </row>
    <row r="745">
      <c r="A745" s="182" t="s">
        <v>1828</v>
      </c>
      <c r="B745" s="174" t="s">
        <v>1829</v>
      </c>
      <c r="C745" s="176" t="str">
        <f t="shared" si="1"/>
        <v>#REF!</v>
      </c>
      <c r="D745" s="176"/>
      <c r="E745" s="176"/>
    </row>
    <row r="746">
      <c r="A746" s="182" t="s">
        <v>1830</v>
      </c>
      <c r="B746" s="174" t="s">
        <v>1831</v>
      </c>
      <c r="C746" s="176" t="str">
        <f t="shared" si="1"/>
        <v>#REF!</v>
      </c>
      <c r="D746" s="176"/>
      <c r="E746" s="176"/>
    </row>
    <row r="747">
      <c r="A747" s="182" t="s">
        <v>1832</v>
      </c>
      <c r="B747" s="174" t="s">
        <v>1833</v>
      </c>
      <c r="C747" s="176" t="str">
        <f t="shared" si="1"/>
        <v>#REF!</v>
      </c>
      <c r="D747" s="176"/>
      <c r="E747" s="176"/>
    </row>
    <row r="748">
      <c r="A748" s="182" t="s">
        <v>1834</v>
      </c>
      <c r="B748" s="174" t="s">
        <v>300</v>
      </c>
      <c r="C748" s="176" t="str">
        <f t="shared" si="1"/>
        <v>#REF!</v>
      </c>
      <c r="D748" s="176"/>
      <c r="E748" s="176"/>
    </row>
    <row r="749">
      <c r="A749" s="182" t="s">
        <v>1835</v>
      </c>
      <c r="B749" s="174" t="s">
        <v>299</v>
      </c>
      <c r="C749" s="176" t="str">
        <f t="shared" si="1"/>
        <v>#REF!</v>
      </c>
      <c r="D749" s="176"/>
      <c r="E749" s="176"/>
    </row>
    <row r="750">
      <c r="A750" s="182" t="s">
        <v>1836</v>
      </c>
      <c r="B750" s="174" t="s">
        <v>1837</v>
      </c>
      <c r="C750" s="176" t="str">
        <f t="shared" si="1"/>
        <v>#REF!</v>
      </c>
      <c r="D750" s="176"/>
      <c r="E750" s="176"/>
    </row>
    <row r="751">
      <c r="A751" s="182" t="s">
        <v>1838</v>
      </c>
      <c r="B751" s="174" t="s">
        <v>1839</v>
      </c>
      <c r="C751" s="176" t="str">
        <f t="shared" si="1"/>
        <v>#REF!</v>
      </c>
      <c r="D751" s="176"/>
      <c r="E751" s="176"/>
    </row>
    <row r="752">
      <c r="A752" s="182" t="s">
        <v>1840</v>
      </c>
      <c r="B752" s="174" t="s">
        <v>1841</v>
      </c>
      <c r="C752" s="176" t="str">
        <f t="shared" si="1"/>
        <v>#REF!</v>
      </c>
      <c r="D752" s="176"/>
      <c r="E752" s="176"/>
    </row>
    <row r="753">
      <c r="A753" s="182" t="s">
        <v>1842</v>
      </c>
      <c r="B753" s="174" t="s">
        <v>1843</v>
      </c>
      <c r="C753" s="176" t="str">
        <f t="shared" si="1"/>
        <v>#REF!</v>
      </c>
      <c r="D753" s="176"/>
      <c r="E753" s="176"/>
    </row>
    <row r="754">
      <c r="A754" s="182" t="s">
        <v>1844</v>
      </c>
      <c r="B754" s="174" t="s">
        <v>1845</v>
      </c>
      <c r="C754" s="176" t="str">
        <f t="shared" si="1"/>
        <v>#REF!</v>
      </c>
      <c r="D754" s="176"/>
      <c r="E754" s="176"/>
    </row>
    <row r="755">
      <c r="A755" s="182" t="s">
        <v>1846</v>
      </c>
      <c r="B755" s="174" t="s">
        <v>1847</v>
      </c>
      <c r="C755" s="176" t="str">
        <f t="shared" si="1"/>
        <v>#REF!</v>
      </c>
      <c r="D755" s="176"/>
      <c r="E755" s="176"/>
    </row>
    <row r="756">
      <c r="A756" s="182" t="s">
        <v>1848</v>
      </c>
      <c r="B756" s="174" t="s">
        <v>1849</v>
      </c>
      <c r="C756" s="176" t="str">
        <f t="shared" si="1"/>
        <v>#REF!</v>
      </c>
      <c r="D756" s="176"/>
      <c r="E756" s="176"/>
    </row>
    <row r="757">
      <c r="A757" s="182" t="s">
        <v>1850</v>
      </c>
      <c r="B757" s="174" t="s">
        <v>1851</v>
      </c>
      <c r="C757" s="176" t="str">
        <f t="shared" si="1"/>
        <v>#REF!</v>
      </c>
      <c r="D757" s="176"/>
      <c r="E757" s="176"/>
    </row>
    <row r="758">
      <c r="A758" s="182" t="s">
        <v>1852</v>
      </c>
      <c r="B758" s="174" t="s">
        <v>1853</v>
      </c>
      <c r="C758" s="176" t="str">
        <f t="shared" si="1"/>
        <v>#REF!</v>
      </c>
      <c r="D758" s="176"/>
      <c r="E758" s="176"/>
    </row>
    <row r="759">
      <c r="A759" s="182" t="s">
        <v>1854</v>
      </c>
      <c r="B759" s="174" t="s">
        <v>1855</v>
      </c>
      <c r="C759" s="176" t="str">
        <f t="shared" si="1"/>
        <v>#REF!</v>
      </c>
      <c r="D759" s="176"/>
      <c r="E759" s="176"/>
    </row>
    <row r="760">
      <c r="A760" s="182" t="s">
        <v>1856</v>
      </c>
      <c r="B760" s="174" t="s">
        <v>1857</v>
      </c>
      <c r="C760" s="176" t="str">
        <f t="shared" si="1"/>
        <v>#REF!</v>
      </c>
      <c r="D760" s="176"/>
      <c r="E760" s="176"/>
    </row>
    <row r="761">
      <c r="A761" s="182" t="s">
        <v>1858</v>
      </c>
      <c r="B761" s="174" t="s">
        <v>1859</v>
      </c>
      <c r="C761" s="176" t="str">
        <f t="shared" si="1"/>
        <v>#REF!</v>
      </c>
      <c r="D761" s="176"/>
      <c r="E761" s="176"/>
    </row>
    <row r="762">
      <c r="A762" s="182" t="s">
        <v>1860</v>
      </c>
      <c r="B762" s="174" t="s">
        <v>239</v>
      </c>
      <c r="C762" s="176" t="str">
        <f t="shared" si="1"/>
        <v>#REF!</v>
      </c>
      <c r="D762" s="176"/>
      <c r="E762" s="176"/>
    </row>
    <row r="763">
      <c r="A763" s="182" t="s">
        <v>1861</v>
      </c>
      <c r="B763" s="174" t="s">
        <v>241</v>
      </c>
      <c r="C763" s="176" t="str">
        <f t="shared" si="1"/>
        <v>#REF!</v>
      </c>
      <c r="D763" s="176"/>
      <c r="E763" s="176"/>
    </row>
    <row r="764">
      <c r="A764" s="182" t="s">
        <v>1862</v>
      </c>
      <c r="B764" s="174" t="s">
        <v>247</v>
      </c>
      <c r="C764" s="176" t="str">
        <f t="shared" si="1"/>
        <v>#REF!</v>
      </c>
      <c r="D764" s="176"/>
      <c r="E764" s="176"/>
    </row>
    <row r="765">
      <c r="A765" s="182" t="s">
        <v>1863</v>
      </c>
      <c r="B765" s="174" t="s">
        <v>249</v>
      </c>
      <c r="C765" s="176" t="str">
        <f t="shared" si="1"/>
        <v>#REF!</v>
      </c>
      <c r="D765" s="176"/>
      <c r="E765" s="176"/>
    </row>
    <row r="766">
      <c r="A766" s="182" t="s">
        <v>1864</v>
      </c>
      <c r="B766" s="174" t="s">
        <v>1865</v>
      </c>
      <c r="C766" s="176" t="str">
        <f t="shared" si="1"/>
        <v>#REF!</v>
      </c>
      <c r="D766" s="176"/>
      <c r="E766" s="176"/>
    </row>
    <row r="767">
      <c r="A767" s="182" t="s">
        <v>1866</v>
      </c>
      <c r="B767" s="174" t="s">
        <v>1867</v>
      </c>
      <c r="C767" s="176" t="str">
        <f t="shared" si="1"/>
        <v>#REF!</v>
      </c>
      <c r="D767" s="176"/>
      <c r="E767" s="176"/>
    </row>
    <row r="768">
      <c r="A768" s="182" t="s">
        <v>1868</v>
      </c>
      <c r="B768" s="174" t="s">
        <v>243</v>
      </c>
      <c r="C768" s="176" t="str">
        <f t="shared" si="1"/>
        <v>#REF!</v>
      </c>
      <c r="D768" s="176"/>
      <c r="E768" s="176"/>
    </row>
    <row r="769">
      <c r="A769" s="182" t="s">
        <v>1869</v>
      </c>
      <c r="B769" s="174" t="s">
        <v>245</v>
      </c>
      <c r="C769" s="176" t="str">
        <f t="shared" si="1"/>
        <v>#REF!</v>
      </c>
      <c r="D769" s="176"/>
      <c r="E769" s="176"/>
    </row>
    <row r="770">
      <c r="A770" s="182" t="s">
        <v>1870</v>
      </c>
      <c r="B770" s="174" t="s">
        <v>1871</v>
      </c>
      <c r="C770" s="176" t="str">
        <f t="shared" si="1"/>
        <v>#REF!</v>
      </c>
      <c r="D770" s="176"/>
      <c r="E770" s="176"/>
    </row>
    <row r="771">
      <c r="A771" s="182" t="s">
        <v>1872</v>
      </c>
      <c r="B771" s="174" t="s">
        <v>1873</v>
      </c>
      <c r="C771" s="176" t="str">
        <f t="shared" si="1"/>
        <v>#REF!</v>
      </c>
      <c r="D771" s="176"/>
      <c r="E771" s="176"/>
    </row>
    <row r="772">
      <c r="A772" s="182" t="s">
        <v>1874</v>
      </c>
      <c r="B772" s="174" t="s">
        <v>1875</v>
      </c>
      <c r="C772" s="176" t="str">
        <f t="shared" si="1"/>
        <v>#REF!</v>
      </c>
      <c r="D772" s="176"/>
      <c r="E772" s="176"/>
    </row>
    <row r="773">
      <c r="A773" s="182" t="s">
        <v>1876</v>
      </c>
      <c r="B773" s="174" t="s">
        <v>1877</v>
      </c>
      <c r="C773" s="176" t="str">
        <f t="shared" si="1"/>
        <v>#REF!</v>
      </c>
      <c r="D773" s="176"/>
      <c r="E773" s="176"/>
    </row>
    <row r="774">
      <c r="A774" s="182" t="s">
        <v>1878</v>
      </c>
      <c r="B774" s="174" t="s">
        <v>1879</v>
      </c>
      <c r="C774" s="176" t="str">
        <f t="shared" si="1"/>
        <v>#REF!</v>
      </c>
      <c r="D774" s="176"/>
      <c r="E774" s="176"/>
    </row>
    <row r="775">
      <c r="A775" s="182" t="s">
        <v>1880</v>
      </c>
      <c r="B775" s="174" t="s">
        <v>1881</v>
      </c>
      <c r="C775" s="176" t="str">
        <f t="shared" si="1"/>
        <v>#REF!</v>
      </c>
      <c r="D775" s="176"/>
      <c r="E775" s="176"/>
    </row>
    <row r="776">
      <c r="A776" s="182" t="s">
        <v>1882</v>
      </c>
      <c r="B776" s="174" t="s">
        <v>1883</v>
      </c>
      <c r="C776" s="176" t="str">
        <f t="shared" si="1"/>
        <v>#REF!</v>
      </c>
      <c r="D776" s="176"/>
      <c r="E776" s="176"/>
    </row>
    <row r="777">
      <c r="A777" s="182" t="s">
        <v>1884</v>
      </c>
      <c r="B777" s="174" t="s">
        <v>1885</v>
      </c>
      <c r="C777" s="176" t="str">
        <f t="shared" si="1"/>
        <v>#REF!</v>
      </c>
      <c r="D777" s="176"/>
      <c r="E777" s="176"/>
    </row>
    <row r="778">
      <c r="A778" s="182" t="s">
        <v>1886</v>
      </c>
      <c r="B778" s="174" t="s">
        <v>1887</v>
      </c>
      <c r="C778" s="176" t="str">
        <f t="shared" si="1"/>
        <v>#REF!</v>
      </c>
      <c r="D778" s="176"/>
      <c r="E778" s="176"/>
    </row>
    <row r="779">
      <c r="A779" s="182" t="s">
        <v>1888</v>
      </c>
      <c r="B779" s="174" t="s">
        <v>1889</v>
      </c>
      <c r="C779" s="176" t="str">
        <f t="shared" si="1"/>
        <v>#REF!</v>
      </c>
      <c r="D779" s="176"/>
      <c r="E779" s="176"/>
    </row>
    <row r="780">
      <c r="A780" s="182" t="s">
        <v>1890</v>
      </c>
      <c r="B780" s="174" t="s">
        <v>1891</v>
      </c>
      <c r="C780" s="176" t="str">
        <f t="shared" si="1"/>
        <v>#REF!</v>
      </c>
      <c r="D780" s="176"/>
      <c r="E780" s="176"/>
    </row>
    <row r="781">
      <c r="A781" s="182" t="s">
        <v>1892</v>
      </c>
      <c r="B781" s="174" t="s">
        <v>1893</v>
      </c>
      <c r="C781" s="176" t="str">
        <f t="shared" si="1"/>
        <v>#REF!</v>
      </c>
      <c r="D781" s="176"/>
      <c r="E781" s="176"/>
    </row>
    <row r="782">
      <c r="A782" s="182" t="s">
        <v>1894</v>
      </c>
      <c r="B782" s="174" t="s">
        <v>1895</v>
      </c>
      <c r="C782" s="176" t="str">
        <f t="shared" si="1"/>
        <v>#REF!</v>
      </c>
      <c r="D782" s="176"/>
      <c r="E782" s="176"/>
    </row>
    <row r="783">
      <c r="A783" s="182" t="s">
        <v>1896</v>
      </c>
      <c r="B783" s="174" t="s">
        <v>1897</v>
      </c>
      <c r="C783" s="176" t="str">
        <f t="shared" si="1"/>
        <v>#REF!</v>
      </c>
      <c r="D783" s="176"/>
      <c r="E783" s="176"/>
    </row>
    <row r="784">
      <c r="A784" s="182" t="s">
        <v>1898</v>
      </c>
      <c r="B784" s="174" t="s">
        <v>1899</v>
      </c>
      <c r="C784" s="176" t="str">
        <f t="shared" si="1"/>
        <v>#REF!</v>
      </c>
      <c r="D784" s="176"/>
      <c r="E784" s="176"/>
    </row>
    <row r="785">
      <c r="A785" s="182" t="s">
        <v>1900</v>
      </c>
      <c r="B785" s="174" t="s">
        <v>1901</v>
      </c>
      <c r="C785" s="176" t="str">
        <f t="shared" si="1"/>
        <v>#REF!</v>
      </c>
      <c r="D785" s="176"/>
      <c r="E785" s="176"/>
    </row>
    <row r="786">
      <c r="A786" s="182" t="s">
        <v>1902</v>
      </c>
      <c r="B786" s="174" t="s">
        <v>1903</v>
      </c>
      <c r="C786" s="176" t="str">
        <f t="shared" si="1"/>
        <v>#REF!</v>
      </c>
      <c r="D786" s="176"/>
      <c r="E786" s="176"/>
    </row>
    <row r="787">
      <c r="A787" s="182" t="s">
        <v>1904</v>
      </c>
      <c r="B787" s="174" t="s">
        <v>1905</v>
      </c>
      <c r="C787" s="176" t="str">
        <f t="shared" si="1"/>
        <v>#REF!</v>
      </c>
      <c r="D787" s="176"/>
      <c r="E787" s="176"/>
    </row>
    <row r="788">
      <c r="A788" s="182" t="s">
        <v>1906</v>
      </c>
      <c r="B788" s="174" t="s">
        <v>1907</v>
      </c>
      <c r="C788" s="176" t="str">
        <f t="shared" si="1"/>
        <v>#REF!</v>
      </c>
      <c r="D788" s="176"/>
      <c r="E788" s="176"/>
    </row>
    <row r="789">
      <c r="A789" s="182" t="s">
        <v>1908</v>
      </c>
      <c r="B789" s="174" t="s">
        <v>1909</v>
      </c>
      <c r="C789" s="176" t="str">
        <f t="shared" si="1"/>
        <v>#REF!</v>
      </c>
      <c r="D789" s="176"/>
      <c r="E789" s="176"/>
    </row>
    <row r="790">
      <c r="A790" s="182" t="s">
        <v>1910</v>
      </c>
      <c r="B790" s="174" t="s">
        <v>1911</v>
      </c>
      <c r="C790" s="176" t="str">
        <f t="shared" si="1"/>
        <v>#REF!</v>
      </c>
      <c r="D790" s="176"/>
      <c r="E790" s="176"/>
    </row>
    <row r="791">
      <c r="A791" s="182" t="s">
        <v>1912</v>
      </c>
      <c r="B791" s="174" t="s">
        <v>1913</v>
      </c>
      <c r="C791" s="176" t="str">
        <f t="shared" si="1"/>
        <v>#REF!</v>
      </c>
      <c r="D791" s="176"/>
      <c r="E791" s="176"/>
    </row>
    <row r="792">
      <c r="A792" s="182" t="s">
        <v>1914</v>
      </c>
      <c r="B792" s="174" t="s">
        <v>1915</v>
      </c>
      <c r="C792" s="176" t="str">
        <f t="shared" si="1"/>
        <v>#REF!</v>
      </c>
      <c r="D792" s="176"/>
      <c r="E792" s="176"/>
    </row>
    <row r="793">
      <c r="A793" s="182" t="s">
        <v>1916</v>
      </c>
      <c r="B793" s="174" t="s">
        <v>1917</v>
      </c>
      <c r="C793" s="176" t="str">
        <f t="shared" si="1"/>
        <v>#REF!</v>
      </c>
      <c r="D793" s="176"/>
      <c r="E793" s="176"/>
    </row>
    <row r="794">
      <c r="A794" s="182" t="s">
        <v>1918</v>
      </c>
      <c r="B794" s="174" t="s">
        <v>1919</v>
      </c>
      <c r="C794" s="176" t="str">
        <f t="shared" si="1"/>
        <v>#REF!</v>
      </c>
      <c r="D794" s="176"/>
      <c r="E794" s="176"/>
    </row>
    <row r="795">
      <c r="A795" s="182" t="s">
        <v>1920</v>
      </c>
      <c r="B795" s="174" t="s">
        <v>214</v>
      </c>
      <c r="C795" s="176" t="str">
        <f t="shared" si="1"/>
        <v>#REF!</v>
      </c>
      <c r="D795" s="176"/>
      <c r="E795" s="176"/>
    </row>
    <row r="796">
      <c r="A796" s="182" t="s">
        <v>1921</v>
      </c>
      <c r="B796" s="174" t="s">
        <v>1922</v>
      </c>
      <c r="C796" s="176" t="str">
        <f t="shared" si="1"/>
        <v>#REF!</v>
      </c>
      <c r="D796" s="176"/>
      <c r="E796" s="176"/>
    </row>
    <row r="797">
      <c r="A797" s="182" t="s">
        <v>1923</v>
      </c>
      <c r="B797" s="174" t="s">
        <v>1924</v>
      </c>
      <c r="C797" s="176" t="str">
        <f t="shared" si="1"/>
        <v>#REF!</v>
      </c>
      <c r="D797" s="176"/>
      <c r="E797" s="176"/>
    </row>
    <row r="798">
      <c r="A798" s="182" t="s">
        <v>1925</v>
      </c>
      <c r="B798" s="174" t="s">
        <v>1926</v>
      </c>
      <c r="C798" s="176" t="str">
        <f t="shared" si="1"/>
        <v>#REF!</v>
      </c>
      <c r="D798" s="176"/>
      <c r="E798" s="176"/>
    </row>
    <row r="799">
      <c r="A799" s="182" t="s">
        <v>1927</v>
      </c>
      <c r="B799" s="174" t="s">
        <v>1928</v>
      </c>
      <c r="C799" s="176" t="str">
        <f t="shared" si="1"/>
        <v>#REF!</v>
      </c>
      <c r="D799" s="176"/>
      <c r="E799" s="176"/>
    </row>
    <row r="800">
      <c r="A800" s="182" t="s">
        <v>1929</v>
      </c>
      <c r="B800" s="174" t="s">
        <v>233</v>
      </c>
      <c r="C800" s="176" t="str">
        <f t="shared" si="1"/>
        <v>#REF!</v>
      </c>
      <c r="D800" s="176"/>
      <c r="E800" s="176"/>
    </row>
    <row r="801">
      <c r="A801" s="182" t="s">
        <v>1930</v>
      </c>
      <c r="B801" s="174" t="s">
        <v>1931</v>
      </c>
      <c r="C801" s="176" t="str">
        <f t="shared" si="1"/>
        <v>#REF!</v>
      </c>
      <c r="D801" s="176"/>
      <c r="E801" s="176"/>
    </row>
    <row r="802">
      <c r="A802" s="182" t="s">
        <v>1932</v>
      </c>
      <c r="B802" s="174" t="s">
        <v>1933</v>
      </c>
      <c r="C802" s="176" t="str">
        <f t="shared" si="1"/>
        <v>#REF!</v>
      </c>
      <c r="D802" s="176"/>
      <c r="E802" s="176"/>
    </row>
    <row r="803">
      <c r="A803" s="182" t="s">
        <v>1934</v>
      </c>
      <c r="B803" s="174" t="s">
        <v>1935</v>
      </c>
      <c r="C803" s="176" t="str">
        <f t="shared" si="1"/>
        <v>#REF!</v>
      </c>
      <c r="D803" s="176"/>
      <c r="E803" s="176"/>
    </row>
    <row r="804">
      <c r="A804" s="182" t="s">
        <v>1936</v>
      </c>
      <c r="B804" s="174" t="s">
        <v>1937</v>
      </c>
      <c r="C804" s="176" t="str">
        <f t="shared" si="1"/>
        <v>#REF!</v>
      </c>
      <c r="D804" s="176"/>
      <c r="E804" s="176"/>
    </row>
    <row r="805">
      <c r="A805" s="182" t="s">
        <v>1938</v>
      </c>
      <c r="B805" s="174" t="s">
        <v>1939</v>
      </c>
      <c r="C805" s="176" t="str">
        <f t="shared" si="1"/>
        <v>#REF!</v>
      </c>
      <c r="D805" s="176"/>
      <c r="E805" s="176"/>
    </row>
    <row r="806">
      <c r="A806" s="182" t="s">
        <v>1940</v>
      </c>
      <c r="B806" s="174" t="s">
        <v>1941</v>
      </c>
      <c r="C806" s="176" t="str">
        <f t="shared" si="1"/>
        <v>#REF!</v>
      </c>
      <c r="D806" s="176"/>
      <c r="E806" s="176"/>
    </row>
    <row r="807">
      <c r="A807" s="182" t="s">
        <v>1942</v>
      </c>
      <c r="B807" s="174" t="s">
        <v>393</v>
      </c>
      <c r="C807" s="176" t="str">
        <f t="shared" si="1"/>
        <v>#REF!</v>
      </c>
      <c r="D807" s="176"/>
      <c r="E807" s="176"/>
    </row>
    <row r="808">
      <c r="A808" s="182" t="s">
        <v>1943</v>
      </c>
      <c r="B808" s="174" t="s">
        <v>391</v>
      </c>
      <c r="C808" s="176" t="str">
        <f t="shared" si="1"/>
        <v>#REF!</v>
      </c>
      <c r="D808" s="176"/>
      <c r="E808" s="176"/>
    </row>
    <row r="809">
      <c r="A809" s="182" t="s">
        <v>1944</v>
      </c>
      <c r="B809" s="174" t="s">
        <v>1945</v>
      </c>
      <c r="C809" s="176" t="str">
        <f t="shared" si="1"/>
        <v>#REF!</v>
      </c>
      <c r="D809" s="176"/>
      <c r="E809" s="176"/>
    </row>
    <row r="810">
      <c r="A810" s="182" t="s">
        <v>1946</v>
      </c>
      <c r="B810" s="174" t="s">
        <v>1947</v>
      </c>
      <c r="C810" s="176" t="str">
        <f t="shared" si="1"/>
        <v>#REF!</v>
      </c>
      <c r="D810" s="176"/>
      <c r="E810" s="176"/>
    </row>
    <row r="811">
      <c r="A811" s="182" t="s">
        <v>1948</v>
      </c>
      <c r="B811" s="174" t="s">
        <v>1949</v>
      </c>
      <c r="C811" s="176" t="str">
        <f t="shared" si="1"/>
        <v>#REF!</v>
      </c>
      <c r="D811" s="176"/>
      <c r="E811" s="176"/>
    </row>
    <row r="812">
      <c r="A812" s="182" t="s">
        <v>1950</v>
      </c>
      <c r="B812" s="174" t="s">
        <v>1951</v>
      </c>
      <c r="C812" s="176" t="str">
        <f t="shared" si="1"/>
        <v>#REF!</v>
      </c>
      <c r="D812" s="176"/>
      <c r="E812" s="176"/>
    </row>
    <row r="813">
      <c r="A813" s="182" t="s">
        <v>1952</v>
      </c>
      <c r="B813" s="174" t="s">
        <v>1953</v>
      </c>
      <c r="C813" s="176" t="str">
        <f t="shared" si="1"/>
        <v>#REF!</v>
      </c>
      <c r="D813" s="176"/>
      <c r="E813" s="176"/>
    </row>
    <row r="814">
      <c r="A814" s="182" t="s">
        <v>1954</v>
      </c>
      <c r="B814" s="174" t="s">
        <v>1955</v>
      </c>
      <c r="C814" s="176" t="str">
        <f t="shared" si="1"/>
        <v>#REF!</v>
      </c>
      <c r="D814" s="176"/>
      <c r="E814" s="176"/>
    </row>
    <row r="815">
      <c r="A815" s="182" t="s">
        <v>1956</v>
      </c>
      <c r="B815" s="174" t="s">
        <v>1957</v>
      </c>
      <c r="C815" s="176" t="str">
        <f t="shared" si="1"/>
        <v>#REF!</v>
      </c>
      <c r="D815" s="176"/>
      <c r="E815" s="176"/>
    </row>
    <row r="816">
      <c r="A816" s="182" t="s">
        <v>1958</v>
      </c>
      <c r="B816" s="174" t="s">
        <v>1959</v>
      </c>
      <c r="C816" s="176" t="str">
        <f t="shared" si="1"/>
        <v>#REF!</v>
      </c>
      <c r="D816" s="176"/>
      <c r="E816" s="176"/>
    </row>
    <row r="817">
      <c r="A817" s="182" t="s">
        <v>1960</v>
      </c>
      <c r="B817" s="174" t="s">
        <v>1961</v>
      </c>
      <c r="C817" s="176" t="str">
        <f t="shared" si="1"/>
        <v>#REF!</v>
      </c>
      <c r="D817" s="176"/>
      <c r="E817" s="176"/>
    </row>
    <row r="818">
      <c r="A818" s="182" t="s">
        <v>1962</v>
      </c>
      <c r="B818" s="174" t="s">
        <v>1963</v>
      </c>
      <c r="C818" s="176" t="str">
        <f t="shared" si="1"/>
        <v>#REF!</v>
      </c>
      <c r="D818" s="176"/>
      <c r="E818" s="176"/>
    </row>
    <row r="819">
      <c r="A819" s="182" t="s">
        <v>1964</v>
      </c>
      <c r="B819" s="174" t="s">
        <v>1965</v>
      </c>
      <c r="C819" s="176" t="str">
        <f t="shared" si="1"/>
        <v>#REF!</v>
      </c>
      <c r="D819" s="176"/>
      <c r="E819" s="176"/>
    </row>
    <row r="820">
      <c r="A820" s="182" t="s">
        <v>1966</v>
      </c>
      <c r="B820" s="174" t="s">
        <v>1967</v>
      </c>
      <c r="C820" s="176" t="str">
        <f t="shared" si="1"/>
        <v>#REF!</v>
      </c>
      <c r="D820" s="176"/>
      <c r="E820" s="176"/>
    </row>
    <row r="821">
      <c r="A821" s="182" t="s">
        <v>1968</v>
      </c>
      <c r="B821" s="174" t="s">
        <v>1969</v>
      </c>
      <c r="C821" s="176" t="str">
        <f t="shared" si="1"/>
        <v>#REF!</v>
      </c>
      <c r="D821" s="176"/>
      <c r="E821" s="176"/>
    </row>
    <row r="822">
      <c r="A822" s="182" t="s">
        <v>1970</v>
      </c>
      <c r="B822" s="174" t="s">
        <v>1971</v>
      </c>
      <c r="C822" s="176" t="str">
        <f t="shared" si="1"/>
        <v>#REF!</v>
      </c>
      <c r="D822" s="176"/>
      <c r="E822" s="176"/>
    </row>
    <row r="823">
      <c r="A823" s="182" t="s">
        <v>1972</v>
      </c>
      <c r="B823" s="174" t="s">
        <v>1973</v>
      </c>
      <c r="C823" s="176" t="str">
        <f t="shared" si="1"/>
        <v>#REF!</v>
      </c>
      <c r="D823" s="176"/>
      <c r="E823" s="176"/>
    </row>
    <row r="824">
      <c r="A824" s="182" t="s">
        <v>1974</v>
      </c>
      <c r="B824" s="174" t="s">
        <v>1975</v>
      </c>
      <c r="C824" s="176" t="str">
        <f t="shared" si="1"/>
        <v>#REF!</v>
      </c>
      <c r="D824" s="176"/>
      <c r="E824" s="176"/>
    </row>
    <row r="825">
      <c r="A825" s="182" t="s">
        <v>1976</v>
      </c>
      <c r="B825" s="174" t="s">
        <v>1977</v>
      </c>
      <c r="C825" s="176" t="str">
        <f t="shared" si="1"/>
        <v>#REF!</v>
      </c>
      <c r="D825" s="176"/>
      <c r="E825" s="176"/>
    </row>
    <row r="826">
      <c r="A826" s="182" t="s">
        <v>1978</v>
      </c>
      <c r="B826" s="174" t="s">
        <v>1979</v>
      </c>
      <c r="C826" s="176" t="str">
        <f t="shared" si="1"/>
        <v>#REF!</v>
      </c>
      <c r="D826" s="176"/>
      <c r="E826" s="176"/>
    </row>
    <row r="827">
      <c r="A827" s="182" t="s">
        <v>1980</v>
      </c>
      <c r="B827" s="174" t="s">
        <v>1981</v>
      </c>
      <c r="C827" s="176" t="str">
        <f t="shared" si="1"/>
        <v>#REF!</v>
      </c>
      <c r="D827" s="176"/>
      <c r="E827" s="176"/>
    </row>
    <row r="828">
      <c r="A828" s="182" t="s">
        <v>1982</v>
      </c>
      <c r="B828" s="174" t="s">
        <v>1983</v>
      </c>
      <c r="C828" s="176" t="str">
        <f t="shared" si="1"/>
        <v>#REF!</v>
      </c>
      <c r="D828" s="176"/>
      <c r="E828" s="176"/>
    </row>
    <row r="829">
      <c r="A829" s="182" t="s">
        <v>1984</v>
      </c>
      <c r="B829" s="174" t="s">
        <v>1985</v>
      </c>
      <c r="C829" s="176" t="str">
        <f t="shared" si="1"/>
        <v>#REF!</v>
      </c>
      <c r="D829" s="176"/>
      <c r="E829" s="176"/>
    </row>
    <row r="830">
      <c r="A830" s="182" t="s">
        <v>1986</v>
      </c>
      <c r="B830" s="174" t="s">
        <v>1987</v>
      </c>
      <c r="C830" s="176" t="str">
        <f t="shared" si="1"/>
        <v>#REF!</v>
      </c>
      <c r="D830" s="176"/>
      <c r="E830" s="176"/>
    </row>
    <row r="831">
      <c r="A831" s="182" t="s">
        <v>1988</v>
      </c>
      <c r="B831" s="174" t="s">
        <v>1989</v>
      </c>
      <c r="C831" s="176" t="str">
        <f t="shared" si="1"/>
        <v>#REF!</v>
      </c>
      <c r="D831" s="176"/>
      <c r="E831" s="176"/>
    </row>
    <row r="832">
      <c r="A832" s="182" t="s">
        <v>1990</v>
      </c>
      <c r="B832" s="174" t="s">
        <v>1991</v>
      </c>
      <c r="C832" s="176" t="str">
        <f t="shared" si="1"/>
        <v>#REF!</v>
      </c>
      <c r="D832" s="176"/>
      <c r="E832" s="176"/>
    </row>
    <row r="833">
      <c r="A833" s="182" t="s">
        <v>1992</v>
      </c>
      <c r="B833" s="174" t="s">
        <v>1993</v>
      </c>
      <c r="C833" s="176" t="str">
        <f t="shared" si="1"/>
        <v>#REF!</v>
      </c>
      <c r="D833" s="176"/>
      <c r="E833" s="176"/>
    </row>
    <row r="834">
      <c r="A834" s="182" t="s">
        <v>1994</v>
      </c>
      <c r="B834" s="174" t="s">
        <v>1995</v>
      </c>
      <c r="C834" s="176" t="str">
        <f t="shared" si="1"/>
        <v>#REF!</v>
      </c>
      <c r="D834" s="176"/>
      <c r="E834" s="176"/>
    </row>
    <row r="835">
      <c r="A835" s="182" t="s">
        <v>1996</v>
      </c>
      <c r="B835" s="174" t="s">
        <v>1997</v>
      </c>
      <c r="C835" s="176" t="str">
        <f t="shared" si="1"/>
        <v>#REF!</v>
      </c>
      <c r="D835" s="176"/>
      <c r="E835" s="176"/>
    </row>
    <row r="836">
      <c r="A836" s="182" t="s">
        <v>1998</v>
      </c>
      <c r="B836" s="174" t="s">
        <v>264</v>
      </c>
      <c r="C836" s="176" t="str">
        <f t="shared" si="1"/>
        <v>#REF!</v>
      </c>
      <c r="D836" s="176"/>
      <c r="E836" s="176"/>
    </row>
    <row r="837">
      <c r="A837" s="182" t="s">
        <v>1999</v>
      </c>
      <c r="B837" s="174" t="s">
        <v>263</v>
      </c>
      <c r="C837" s="176" t="str">
        <f t="shared" si="1"/>
        <v>#REF!</v>
      </c>
      <c r="D837" s="176"/>
      <c r="E837" s="176"/>
    </row>
    <row r="838">
      <c r="A838" s="182" t="s">
        <v>2000</v>
      </c>
      <c r="B838" s="174" t="s">
        <v>261</v>
      </c>
      <c r="C838" s="176" t="str">
        <f t="shared" si="1"/>
        <v>#REF!</v>
      </c>
      <c r="D838" s="176"/>
      <c r="E838" s="176"/>
    </row>
    <row r="839">
      <c r="A839" s="182" t="s">
        <v>2001</v>
      </c>
      <c r="B839" s="174" t="s">
        <v>260</v>
      </c>
      <c r="C839" s="176" t="str">
        <f t="shared" si="1"/>
        <v>#REF!</v>
      </c>
      <c r="D839" s="176"/>
      <c r="E839" s="176"/>
    </row>
    <row r="840">
      <c r="A840" s="182" t="s">
        <v>2002</v>
      </c>
      <c r="B840" s="174" t="s">
        <v>2003</v>
      </c>
      <c r="C840" s="176" t="str">
        <f t="shared" si="1"/>
        <v>#REF!</v>
      </c>
      <c r="D840" s="176"/>
      <c r="E840" s="176"/>
    </row>
    <row r="841">
      <c r="A841" s="182" t="s">
        <v>2004</v>
      </c>
      <c r="B841" s="174" t="s">
        <v>2005</v>
      </c>
      <c r="C841" s="176" t="str">
        <f t="shared" si="1"/>
        <v>#REF!</v>
      </c>
      <c r="D841" s="176"/>
      <c r="E841" s="176"/>
    </row>
    <row r="842">
      <c r="A842" s="182" t="s">
        <v>2006</v>
      </c>
      <c r="B842" s="174" t="s">
        <v>2007</v>
      </c>
      <c r="C842" s="176" t="str">
        <f t="shared" si="1"/>
        <v>#REF!</v>
      </c>
      <c r="D842" s="176"/>
      <c r="E842" s="176"/>
    </row>
    <row r="843">
      <c r="A843" s="182" t="s">
        <v>2008</v>
      </c>
      <c r="B843" s="174" t="s">
        <v>2009</v>
      </c>
      <c r="C843" s="176" t="str">
        <f t="shared" si="1"/>
        <v>#REF!</v>
      </c>
      <c r="D843" s="176"/>
      <c r="E843" s="176"/>
    </row>
    <row r="844">
      <c r="A844" s="182" t="s">
        <v>2010</v>
      </c>
      <c r="B844" s="174" t="s">
        <v>2011</v>
      </c>
      <c r="C844" s="176" t="str">
        <f t="shared" si="1"/>
        <v>#REF!</v>
      </c>
      <c r="D844" s="176"/>
      <c r="E844" s="176"/>
    </row>
    <row r="845">
      <c r="A845" s="182" t="s">
        <v>2012</v>
      </c>
      <c r="B845" s="174" t="s">
        <v>2013</v>
      </c>
      <c r="C845" s="176" t="str">
        <f t="shared" si="1"/>
        <v>#REF!</v>
      </c>
      <c r="D845" s="176"/>
      <c r="E845" s="176"/>
    </row>
    <row r="846">
      <c r="A846" s="182" t="s">
        <v>2014</v>
      </c>
      <c r="B846" s="174" t="s">
        <v>2015</v>
      </c>
      <c r="C846" s="176" t="str">
        <f t="shared" si="1"/>
        <v>#REF!</v>
      </c>
      <c r="D846" s="176"/>
      <c r="E846" s="176"/>
    </row>
    <row r="847">
      <c r="A847" s="182" t="s">
        <v>2016</v>
      </c>
      <c r="B847" s="174" t="s">
        <v>2017</v>
      </c>
      <c r="C847" s="176" t="str">
        <f t="shared" si="1"/>
        <v>#REF!</v>
      </c>
      <c r="D847" s="176"/>
      <c r="E847" s="176"/>
    </row>
    <row r="848">
      <c r="A848" s="182" t="s">
        <v>2018</v>
      </c>
      <c r="B848" s="174" t="s">
        <v>2019</v>
      </c>
      <c r="C848" s="176" t="str">
        <f t="shared" si="1"/>
        <v>#REF!</v>
      </c>
      <c r="D848" s="176"/>
      <c r="E848" s="176"/>
    </row>
    <row r="849">
      <c r="A849" s="182" t="s">
        <v>2020</v>
      </c>
      <c r="B849" s="174" t="s">
        <v>2021</v>
      </c>
      <c r="C849" s="176" t="str">
        <f t="shared" si="1"/>
        <v>#REF!</v>
      </c>
      <c r="D849" s="176"/>
      <c r="E849" s="176"/>
    </row>
    <row r="850">
      <c r="A850" s="182" t="s">
        <v>2022</v>
      </c>
      <c r="B850" s="174" t="s">
        <v>2023</v>
      </c>
      <c r="C850" s="176" t="str">
        <f t="shared" si="1"/>
        <v>#REF!</v>
      </c>
      <c r="D850" s="176"/>
      <c r="E850" s="176"/>
    </row>
    <row r="851">
      <c r="A851" s="182" t="s">
        <v>2024</v>
      </c>
      <c r="B851" s="174" t="s">
        <v>2025</v>
      </c>
      <c r="C851" s="176" t="str">
        <f t="shared" si="1"/>
        <v>#REF!</v>
      </c>
      <c r="D851" s="176"/>
      <c r="E851" s="176"/>
    </row>
    <row r="852">
      <c r="A852" s="182" t="s">
        <v>2026</v>
      </c>
      <c r="B852" s="174" t="s">
        <v>303</v>
      </c>
      <c r="C852" s="176" t="str">
        <f t="shared" si="1"/>
        <v>#REF!</v>
      </c>
      <c r="D852" s="176"/>
      <c r="E852" s="176"/>
    </row>
    <row r="853">
      <c r="A853" s="182" t="s">
        <v>2027</v>
      </c>
      <c r="B853" s="174" t="s">
        <v>302</v>
      </c>
      <c r="C853" s="176" t="str">
        <f t="shared" si="1"/>
        <v>#REF!</v>
      </c>
      <c r="D853" s="176"/>
      <c r="E853" s="176"/>
    </row>
    <row r="854">
      <c r="A854" s="182" t="s">
        <v>2028</v>
      </c>
      <c r="B854" s="174" t="s">
        <v>2029</v>
      </c>
      <c r="C854" s="176" t="str">
        <f t="shared" si="1"/>
        <v>#REF!</v>
      </c>
      <c r="D854" s="176"/>
      <c r="E854" s="176"/>
    </row>
    <row r="855">
      <c r="A855" s="182" t="s">
        <v>2030</v>
      </c>
      <c r="B855" s="174" t="s">
        <v>2031</v>
      </c>
      <c r="C855" s="176" t="str">
        <f t="shared" si="1"/>
        <v>#REF!</v>
      </c>
      <c r="D855" s="176"/>
      <c r="E855" s="176"/>
    </row>
    <row r="856">
      <c r="A856" s="182" t="s">
        <v>2032</v>
      </c>
      <c r="B856" s="174" t="s">
        <v>2033</v>
      </c>
      <c r="C856" s="176" t="str">
        <f t="shared" si="1"/>
        <v>#REF!</v>
      </c>
      <c r="D856" s="176"/>
      <c r="E856" s="176"/>
    </row>
    <row r="857">
      <c r="A857" s="182" t="s">
        <v>2034</v>
      </c>
      <c r="B857" s="174" t="s">
        <v>2035</v>
      </c>
      <c r="C857" s="176" t="str">
        <f t="shared" si="1"/>
        <v>#REF!</v>
      </c>
      <c r="D857" s="176"/>
      <c r="E857" s="176"/>
    </row>
    <row r="858">
      <c r="A858" s="182" t="s">
        <v>2036</v>
      </c>
      <c r="B858" s="174" t="s">
        <v>2037</v>
      </c>
      <c r="C858" s="176" t="str">
        <f t="shared" si="1"/>
        <v>#REF!</v>
      </c>
      <c r="D858" s="176"/>
      <c r="E858" s="176"/>
    </row>
    <row r="859">
      <c r="A859" s="182" t="s">
        <v>2038</v>
      </c>
      <c r="B859" s="174" t="s">
        <v>2039</v>
      </c>
      <c r="C859" s="176" t="str">
        <f t="shared" si="1"/>
        <v>#REF!</v>
      </c>
      <c r="D859" s="176"/>
      <c r="E859" s="176"/>
    </row>
    <row r="860">
      <c r="A860" s="182" t="s">
        <v>2040</v>
      </c>
      <c r="B860" s="174" t="s">
        <v>2041</v>
      </c>
      <c r="C860" s="176" t="str">
        <f t="shared" si="1"/>
        <v>#REF!</v>
      </c>
      <c r="D860" s="176"/>
      <c r="E860" s="176"/>
    </row>
    <row r="861">
      <c r="A861" s="182" t="s">
        <v>2042</v>
      </c>
      <c r="B861" s="174" t="s">
        <v>2043</v>
      </c>
      <c r="C861" s="176" t="str">
        <f t="shared" si="1"/>
        <v>#REF!</v>
      </c>
      <c r="D861" s="176"/>
      <c r="E861" s="176"/>
    </row>
    <row r="862">
      <c r="A862" s="182" t="s">
        <v>2044</v>
      </c>
      <c r="B862" s="174" t="s">
        <v>2045</v>
      </c>
      <c r="C862" s="176" t="str">
        <f t="shared" si="1"/>
        <v>#REF!</v>
      </c>
      <c r="D862" s="176"/>
      <c r="E862" s="176"/>
    </row>
    <row r="863">
      <c r="A863" s="182" t="s">
        <v>2046</v>
      </c>
      <c r="B863" s="174" t="s">
        <v>2047</v>
      </c>
      <c r="C863" s="176" t="str">
        <f t="shared" si="1"/>
        <v>#REF!</v>
      </c>
      <c r="D863" s="176"/>
      <c r="E863" s="176"/>
    </row>
    <row r="864">
      <c r="A864" s="182" t="s">
        <v>2048</v>
      </c>
      <c r="B864" s="174" t="s">
        <v>2049</v>
      </c>
      <c r="C864" s="176" t="str">
        <f t="shared" si="1"/>
        <v>#REF!</v>
      </c>
      <c r="D864" s="176"/>
      <c r="E864" s="176"/>
    </row>
    <row r="865">
      <c r="A865" s="182" t="s">
        <v>2050</v>
      </c>
      <c r="B865" s="174" t="s">
        <v>2051</v>
      </c>
      <c r="C865" s="176" t="str">
        <f t="shared" si="1"/>
        <v>#REF!</v>
      </c>
      <c r="D865" s="176"/>
      <c r="E865" s="176"/>
    </row>
    <row r="866">
      <c r="A866" s="182" t="s">
        <v>2052</v>
      </c>
      <c r="B866" s="174" t="s">
        <v>2053</v>
      </c>
      <c r="C866" s="176" t="str">
        <f t="shared" si="1"/>
        <v>#REF!</v>
      </c>
      <c r="D866" s="176"/>
      <c r="E866" s="176"/>
    </row>
    <row r="867">
      <c r="A867" s="182" t="s">
        <v>2054</v>
      </c>
      <c r="B867" s="174" t="s">
        <v>2055</v>
      </c>
      <c r="C867" s="176" t="str">
        <f t="shared" si="1"/>
        <v>#REF!</v>
      </c>
      <c r="D867" s="176"/>
      <c r="E867" s="176"/>
    </row>
    <row r="868">
      <c r="A868" s="182" t="s">
        <v>2056</v>
      </c>
      <c r="B868" s="174" t="s">
        <v>306</v>
      </c>
      <c r="C868" s="176" t="str">
        <f t="shared" si="1"/>
        <v>#REF!</v>
      </c>
      <c r="D868" s="176"/>
      <c r="E868" s="176"/>
    </row>
    <row r="869">
      <c r="A869" s="182" t="s">
        <v>2057</v>
      </c>
      <c r="B869" s="174" t="s">
        <v>305</v>
      </c>
      <c r="C869" s="176" t="str">
        <f t="shared" si="1"/>
        <v>#REF!</v>
      </c>
      <c r="D869" s="176"/>
      <c r="E869" s="176"/>
    </row>
    <row r="870">
      <c r="A870" s="182" t="s">
        <v>2058</v>
      </c>
      <c r="B870" s="174" t="s">
        <v>2059</v>
      </c>
      <c r="C870" s="176" t="str">
        <f t="shared" si="1"/>
        <v>#REF!</v>
      </c>
      <c r="D870" s="176"/>
      <c r="E870" s="176"/>
    </row>
    <row r="871">
      <c r="A871" s="182" t="s">
        <v>2060</v>
      </c>
      <c r="B871" s="174" t="s">
        <v>2061</v>
      </c>
      <c r="C871" s="176" t="str">
        <f t="shared" si="1"/>
        <v>#REF!</v>
      </c>
      <c r="D871" s="176"/>
      <c r="E871" s="176"/>
    </row>
    <row r="872">
      <c r="A872" s="182" t="s">
        <v>2062</v>
      </c>
      <c r="B872" s="174" t="s">
        <v>2063</v>
      </c>
      <c r="C872" s="176" t="str">
        <f t="shared" si="1"/>
        <v>#REF!</v>
      </c>
      <c r="D872" s="176"/>
      <c r="E872" s="176"/>
    </row>
    <row r="873">
      <c r="A873" s="182" t="s">
        <v>2064</v>
      </c>
      <c r="B873" s="174" t="s">
        <v>2065</v>
      </c>
      <c r="C873" s="176" t="str">
        <f t="shared" si="1"/>
        <v>#REF!</v>
      </c>
      <c r="D873" s="176"/>
      <c r="E873" s="176"/>
    </row>
    <row r="874">
      <c r="A874" s="182" t="s">
        <v>2066</v>
      </c>
      <c r="B874" s="174" t="s">
        <v>2067</v>
      </c>
      <c r="C874" s="176" t="str">
        <f t="shared" si="1"/>
        <v>#REF!</v>
      </c>
      <c r="D874" s="176"/>
      <c r="E874" s="176"/>
    </row>
    <row r="875">
      <c r="A875" s="182" t="s">
        <v>2068</v>
      </c>
      <c r="B875" s="174" t="s">
        <v>2069</v>
      </c>
      <c r="C875" s="176" t="str">
        <f t="shared" si="1"/>
        <v>#REF!</v>
      </c>
      <c r="D875" s="176"/>
      <c r="E875" s="176"/>
    </row>
    <row r="876">
      <c r="A876" s="182" t="s">
        <v>2070</v>
      </c>
      <c r="B876" s="174" t="s">
        <v>2071</v>
      </c>
      <c r="C876" s="176" t="str">
        <f t="shared" si="1"/>
        <v>#REF!</v>
      </c>
      <c r="D876" s="176"/>
      <c r="E876" s="176"/>
    </row>
    <row r="877">
      <c r="A877" s="182" t="s">
        <v>2072</v>
      </c>
      <c r="B877" s="174" t="s">
        <v>2073</v>
      </c>
      <c r="C877" s="176" t="str">
        <f t="shared" si="1"/>
        <v>#REF!</v>
      </c>
      <c r="D877" s="176"/>
      <c r="E877" s="176"/>
    </row>
    <row r="878">
      <c r="A878" s="182" t="s">
        <v>2074</v>
      </c>
      <c r="B878" s="174" t="s">
        <v>2075</v>
      </c>
      <c r="C878" s="176" t="str">
        <f t="shared" si="1"/>
        <v>#REF!</v>
      </c>
      <c r="D878" s="176"/>
      <c r="E878" s="176"/>
    </row>
    <row r="879">
      <c r="A879" s="182" t="s">
        <v>2076</v>
      </c>
      <c r="B879" s="174" t="s">
        <v>2077</v>
      </c>
      <c r="C879" s="176" t="str">
        <f t="shared" si="1"/>
        <v>#REF!</v>
      </c>
      <c r="D879" s="176"/>
      <c r="E879" s="176"/>
    </row>
    <row r="880">
      <c r="A880" s="182" t="s">
        <v>2078</v>
      </c>
      <c r="B880" s="174" t="s">
        <v>2079</v>
      </c>
      <c r="C880" s="176" t="str">
        <f t="shared" si="1"/>
        <v>#REF!</v>
      </c>
      <c r="D880" s="176"/>
      <c r="E880" s="176"/>
    </row>
    <row r="881">
      <c r="A881" s="182" t="s">
        <v>2080</v>
      </c>
      <c r="B881" s="174" t="s">
        <v>2081</v>
      </c>
      <c r="C881" s="176" t="str">
        <f t="shared" si="1"/>
        <v>#REF!</v>
      </c>
      <c r="D881" s="176"/>
      <c r="E881" s="176"/>
    </row>
    <row r="882">
      <c r="A882" s="182" t="s">
        <v>2082</v>
      </c>
      <c r="B882" s="174" t="s">
        <v>2083</v>
      </c>
      <c r="C882" s="176" t="str">
        <f t="shared" si="1"/>
        <v>#REF!</v>
      </c>
      <c r="D882" s="176"/>
      <c r="E882" s="176"/>
    </row>
    <row r="883">
      <c r="A883" s="182" t="s">
        <v>2084</v>
      </c>
      <c r="B883" s="174" t="s">
        <v>2085</v>
      </c>
      <c r="C883" s="176" t="str">
        <f t="shared" si="1"/>
        <v>#REF!</v>
      </c>
      <c r="D883" s="176"/>
      <c r="E883" s="176"/>
    </row>
    <row r="884">
      <c r="A884" s="182" t="s">
        <v>2086</v>
      </c>
      <c r="B884" s="174" t="s">
        <v>2087</v>
      </c>
      <c r="C884" s="176" t="str">
        <f t="shared" si="1"/>
        <v>#REF!</v>
      </c>
      <c r="D884" s="176"/>
      <c r="E884" s="176"/>
    </row>
    <row r="885">
      <c r="A885" s="182" t="s">
        <v>2088</v>
      </c>
      <c r="B885" s="174" t="s">
        <v>2089</v>
      </c>
      <c r="C885" s="176" t="str">
        <f t="shared" si="1"/>
        <v>#REF!</v>
      </c>
      <c r="D885" s="176"/>
      <c r="E885" s="176"/>
    </row>
    <row r="886">
      <c r="A886" s="182">
        <v>741.0</v>
      </c>
      <c r="B886" s="174" t="s">
        <v>186</v>
      </c>
      <c r="C886" s="176" t="str">
        <f t="shared" si="1"/>
        <v>#REF!</v>
      </c>
      <c r="D886" s="176"/>
      <c r="E886" s="176"/>
    </row>
    <row r="887">
      <c r="A887" s="182" t="s">
        <v>2090</v>
      </c>
      <c r="B887" s="174" t="s">
        <v>188</v>
      </c>
      <c r="C887" s="176" t="str">
        <f t="shared" si="1"/>
        <v>#REF!</v>
      </c>
      <c r="D887" s="176"/>
      <c r="E887" s="176"/>
    </row>
    <row r="888">
      <c r="A888" s="182" t="s">
        <v>2091</v>
      </c>
      <c r="B888" s="174" t="s">
        <v>190</v>
      </c>
      <c r="C888" s="176" t="str">
        <f t="shared" si="1"/>
        <v>#REF!</v>
      </c>
      <c r="D888" s="176"/>
      <c r="E888" s="176"/>
    </row>
    <row r="889">
      <c r="A889" s="182" t="s">
        <v>2092</v>
      </c>
      <c r="B889" s="174" t="s">
        <v>193</v>
      </c>
      <c r="C889" s="176" t="str">
        <f t="shared" si="1"/>
        <v>#REF!</v>
      </c>
      <c r="D889" s="176"/>
      <c r="E889" s="176"/>
    </row>
    <row r="890">
      <c r="A890" s="182" t="s">
        <v>2093</v>
      </c>
      <c r="B890" s="174" t="s">
        <v>2094</v>
      </c>
      <c r="C890" s="176" t="str">
        <f t="shared" si="1"/>
        <v>#REF!</v>
      </c>
      <c r="D890" s="176"/>
      <c r="E890" s="176"/>
    </row>
    <row r="891">
      <c r="A891" s="182" t="s">
        <v>2095</v>
      </c>
      <c r="B891" s="174" t="s">
        <v>2096</v>
      </c>
      <c r="C891" s="176" t="str">
        <f t="shared" si="1"/>
        <v>#REF!</v>
      </c>
      <c r="D891" s="176"/>
      <c r="E891" s="176"/>
    </row>
    <row r="892">
      <c r="A892" s="182" t="s">
        <v>2097</v>
      </c>
      <c r="B892" s="174" t="s">
        <v>2098</v>
      </c>
      <c r="C892" s="176" t="str">
        <f t="shared" si="1"/>
        <v>#REF!</v>
      </c>
      <c r="D892" s="176"/>
      <c r="E892" s="176"/>
    </row>
    <row r="893">
      <c r="A893" s="176">
        <v>744.0</v>
      </c>
      <c r="B893" s="174" t="s">
        <v>2099</v>
      </c>
      <c r="C893" s="176" t="str">
        <f t="shared" si="1"/>
        <v>#REF!</v>
      </c>
      <c r="D893" s="176"/>
      <c r="E893" s="176"/>
    </row>
    <row r="894">
      <c r="A894" s="182" t="s">
        <v>2100</v>
      </c>
      <c r="B894" s="174" t="s">
        <v>158</v>
      </c>
      <c r="C894" s="176" t="str">
        <f t="shared" si="1"/>
        <v>#REF!</v>
      </c>
      <c r="D894" s="176"/>
      <c r="E894" s="176"/>
    </row>
    <row r="895">
      <c r="A895" s="182" t="s">
        <v>2101</v>
      </c>
      <c r="B895" s="17" t="s">
        <v>162</v>
      </c>
      <c r="C895" s="176" t="str">
        <f t="shared" si="1"/>
        <v>#REF!</v>
      </c>
      <c r="D895" s="176"/>
      <c r="E895" s="176"/>
    </row>
    <row r="896">
      <c r="A896" s="182" t="s">
        <v>2102</v>
      </c>
      <c r="B896" s="174" t="s">
        <v>160</v>
      </c>
      <c r="C896" s="176" t="str">
        <f t="shared" si="1"/>
        <v>#REF!</v>
      </c>
      <c r="D896" s="176"/>
      <c r="E896" s="176"/>
    </row>
    <row r="897">
      <c r="A897" s="182" t="s">
        <v>2103</v>
      </c>
      <c r="B897" s="174" t="s">
        <v>2104</v>
      </c>
      <c r="C897" s="176" t="str">
        <f t="shared" si="1"/>
        <v>#REF!</v>
      </c>
      <c r="D897" s="176"/>
      <c r="E897" s="176"/>
    </row>
    <row r="898">
      <c r="A898" s="182" t="s">
        <v>2105</v>
      </c>
      <c r="B898" s="174" t="s">
        <v>2106</v>
      </c>
      <c r="C898" s="176" t="str">
        <f t="shared" si="1"/>
        <v>#REF!</v>
      </c>
      <c r="D898" s="176"/>
      <c r="E898" s="176"/>
    </row>
    <row r="899">
      <c r="A899" s="182" t="s">
        <v>2107</v>
      </c>
      <c r="B899" s="174" t="s">
        <v>2108</v>
      </c>
      <c r="C899" s="176" t="str">
        <f t="shared" si="1"/>
        <v>#REF!</v>
      </c>
      <c r="D899" s="176"/>
      <c r="E899" s="176"/>
    </row>
    <row r="900">
      <c r="A900" s="182" t="s">
        <v>2109</v>
      </c>
      <c r="B900" s="174" t="s">
        <v>2110</v>
      </c>
      <c r="C900" s="176" t="str">
        <f t="shared" si="1"/>
        <v>#REF!</v>
      </c>
      <c r="D900" s="176"/>
      <c r="E900" s="176"/>
    </row>
    <row r="901">
      <c r="A901" s="182" t="s">
        <v>2111</v>
      </c>
      <c r="B901" s="174" t="s">
        <v>2112</v>
      </c>
      <c r="C901" s="176" t="str">
        <f t="shared" si="1"/>
        <v>#REF!</v>
      </c>
      <c r="D901" s="176"/>
      <c r="E901" s="176"/>
    </row>
    <row r="902">
      <c r="A902" s="182" t="s">
        <v>2113</v>
      </c>
      <c r="B902" s="174" t="s">
        <v>2114</v>
      </c>
      <c r="C902" s="176" t="str">
        <f t="shared" si="1"/>
        <v>#REF!</v>
      </c>
      <c r="D902" s="176"/>
      <c r="E902" s="176"/>
    </row>
    <row r="903">
      <c r="A903" s="182" t="s">
        <v>2115</v>
      </c>
      <c r="B903" s="174" t="s">
        <v>2116</v>
      </c>
      <c r="C903" s="176" t="str">
        <f t="shared" si="1"/>
        <v>#REF!</v>
      </c>
      <c r="D903" s="176"/>
      <c r="E903" s="176"/>
    </row>
    <row r="904">
      <c r="A904" s="182" t="s">
        <v>2117</v>
      </c>
      <c r="B904" s="174" t="s">
        <v>2118</v>
      </c>
      <c r="C904" s="176" t="str">
        <f t="shared" si="1"/>
        <v>#REF!</v>
      </c>
      <c r="D904" s="176"/>
      <c r="E904" s="176"/>
    </row>
    <row r="905">
      <c r="A905" s="182" t="s">
        <v>2119</v>
      </c>
      <c r="B905" s="174" t="s">
        <v>2120</v>
      </c>
      <c r="C905" s="176" t="str">
        <f t="shared" si="1"/>
        <v>#REF!</v>
      </c>
      <c r="D905" s="176"/>
      <c r="E905" s="176"/>
    </row>
    <row r="906">
      <c r="A906" s="182" t="s">
        <v>2121</v>
      </c>
      <c r="B906" s="174" t="s">
        <v>2122</v>
      </c>
      <c r="C906" s="176" t="str">
        <f t="shared" si="1"/>
        <v>#REF!</v>
      </c>
      <c r="D906" s="176"/>
      <c r="E906" s="176"/>
    </row>
    <row r="907">
      <c r="A907" s="182" t="s">
        <v>2123</v>
      </c>
      <c r="B907" s="174" t="s">
        <v>2124</v>
      </c>
      <c r="C907" s="176" t="str">
        <f t="shared" si="1"/>
        <v>#REF!</v>
      </c>
      <c r="D907" s="176"/>
      <c r="E907" s="176"/>
    </row>
    <row r="908">
      <c r="A908" s="182" t="s">
        <v>2125</v>
      </c>
      <c r="B908" s="174" t="s">
        <v>2126</v>
      </c>
      <c r="C908" s="176" t="str">
        <f t="shared" si="1"/>
        <v>#REF!</v>
      </c>
      <c r="D908" s="176"/>
      <c r="E908" s="176"/>
    </row>
    <row r="909">
      <c r="A909" s="182" t="s">
        <v>2127</v>
      </c>
      <c r="B909" s="174" t="s">
        <v>2128</v>
      </c>
      <c r="C909" s="176" t="str">
        <f t="shared" si="1"/>
        <v>#REF!</v>
      </c>
      <c r="D909" s="176"/>
      <c r="E909" s="176"/>
    </row>
    <row r="910">
      <c r="A910" s="182" t="s">
        <v>2129</v>
      </c>
      <c r="B910" s="174" t="s">
        <v>2130</v>
      </c>
      <c r="C910" s="176" t="str">
        <f t="shared" si="1"/>
        <v>#REF!</v>
      </c>
      <c r="D910" s="176"/>
      <c r="E910" s="176"/>
    </row>
    <row r="911">
      <c r="A911" s="182" t="s">
        <v>2131</v>
      </c>
      <c r="B911" s="174" t="s">
        <v>2132</v>
      </c>
      <c r="C911" s="176" t="str">
        <f t="shared" si="1"/>
        <v>#REF!</v>
      </c>
      <c r="D911" s="176"/>
      <c r="E911" s="176"/>
    </row>
    <row r="912">
      <c r="A912" s="182" t="s">
        <v>2133</v>
      </c>
      <c r="B912" s="174" t="s">
        <v>2134</v>
      </c>
      <c r="C912" s="176" t="str">
        <f t="shared" si="1"/>
        <v>#REF!</v>
      </c>
      <c r="D912" s="176"/>
      <c r="E912" s="176"/>
    </row>
    <row r="913">
      <c r="A913" s="182" t="s">
        <v>2135</v>
      </c>
      <c r="B913" s="174" t="s">
        <v>2136</v>
      </c>
      <c r="C913" s="176" t="str">
        <f t="shared" si="1"/>
        <v>#REF!</v>
      </c>
      <c r="D913" s="176"/>
      <c r="E913" s="176"/>
    </row>
    <row r="914">
      <c r="A914" s="182" t="s">
        <v>2137</v>
      </c>
      <c r="B914" s="174" t="s">
        <v>2138</v>
      </c>
      <c r="C914" s="176" t="str">
        <f t="shared" si="1"/>
        <v>#REF!</v>
      </c>
      <c r="D914" s="176"/>
      <c r="E914" s="176"/>
    </row>
    <row r="915">
      <c r="A915" s="182" t="s">
        <v>2139</v>
      </c>
      <c r="B915" s="174" t="s">
        <v>2140</v>
      </c>
      <c r="C915" s="176" t="str">
        <f t="shared" si="1"/>
        <v>#REF!</v>
      </c>
      <c r="D915" s="176"/>
      <c r="E915" s="176"/>
    </row>
    <row r="916">
      <c r="A916" s="182" t="s">
        <v>2141</v>
      </c>
      <c r="B916" s="174" t="s">
        <v>2142</v>
      </c>
      <c r="C916" s="176" t="str">
        <f t="shared" si="1"/>
        <v>#REF!</v>
      </c>
      <c r="D916" s="176"/>
      <c r="E916" s="176"/>
    </row>
    <row r="917">
      <c r="A917" s="182" t="s">
        <v>2143</v>
      </c>
      <c r="B917" s="174" t="s">
        <v>2144</v>
      </c>
      <c r="C917" s="176" t="str">
        <f t="shared" si="1"/>
        <v>#REF!</v>
      </c>
      <c r="D917" s="176"/>
      <c r="E917" s="176"/>
    </row>
    <row r="918">
      <c r="A918" s="182" t="s">
        <v>2145</v>
      </c>
      <c r="B918" s="174" t="s">
        <v>2146</v>
      </c>
      <c r="C918" s="176" t="str">
        <f t="shared" si="1"/>
        <v>#REF!</v>
      </c>
      <c r="D918" s="176"/>
      <c r="E918" s="176"/>
    </row>
    <row r="919">
      <c r="A919" s="182" t="s">
        <v>2147</v>
      </c>
      <c r="B919" s="174" t="s">
        <v>2148</v>
      </c>
      <c r="C919" s="176" t="str">
        <f t="shared" si="1"/>
        <v>#REF!</v>
      </c>
      <c r="D919" s="176"/>
      <c r="E919" s="176"/>
    </row>
    <row r="920">
      <c r="A920" s="182" t="s">
        <v>2149</v>
      </c>
      <c r="B920" s="174" t="s">
        <v>2150</v>
      </c>
      <c r="C920" s="176" t="str">
        <f t="shared" si="1"/>
        <v>#REF!</v>
      </c>
      <c r="D920" s="176"/>
      <c r="E920" s="176"/>
    </row>
    <row r="921">
      <c r="A921" s="182" t="s">
        <v>2151</v>
      </c>
      <c r="B921" s="174" t="s">
        <v>2152</v>
      </c>
      <c r="C921" s="176" t="str">
        <f t="shared" si="1"/>
        <v>#REF!</v>
      </c>
      <c r="D921" s="176"/>
      <c r="E921" s="176"/>
    </row>
    <row r="922">
      <c r="A922" s="182" t="s">
        <v>2153</v>
      </c>
      <c r="B922" s="174" t="s">
        <v>2154</v>
      </c>
      <c r="C922" s="176" t="str">
        <f t="shared" si="1"/>
        <v>#REF!</v>
      </c>
      <c r="D922" s="176"/>
      <c r="E922" s="176"/>
    </row>
    <row r="923">
      <c r="A923" s="182" t="s">
        <v>2155</v>
      </c>
      <c r="B923" s="174" t="s">
        <v>2156</v>
      </c>
      <c r="C923" s="176" t="str">
        <f t="shared" si="1"/>
        <v>#REF!</v>
      </c>
      <c r="D923" s="176"/>
      <c r="E923" s="176"/>
    </row>
    <row r="924">
      <c r="A924" s="182" t="s">
        <v>2157</v>
      </c>
      <c r="B924" s="174" t="s">
        <v>2158</v>
      </c>
      <c r="C924" s="176" t="str">
        <f t="shared" si="1"/>
        <v>#REF!</v>
      </c>
      <c r="D924" s="176"/>
      <c r="E924" s="176"/>
    </row>
    <row r="925">
      <c r="A925" s="182" t="s">
        <v>2159</v>
      </c>
      <c r="B925" s="174" t="s">
        <v>2160</v>
      </c>
      <c r="C925" s="176" t="str">
        <f t="shared" si="1"/>
        <v>#REF!</v>
      </c>
      <c r="D925" s="176"/>
      <c r="E925" s="176"/>
    </row>
    <row r="926">
      <c r="A926" s="182" t="s">
        <v>2161</v>
      </c>
      <c r="B926" s="174" t="s">
        <v>395</v>
      </c>
      <c r="C926" s="176" t="str">
        <f t="shared" si="1"/>
        <v>#REF!</v>
      </c>
      <c r="D926" s="176"/>
      <c r="E926" s="176"/>
    </row>
    <row r="927">
      <c r="A927" s="176" t="s">
        <v>2162</v>
      </c>
      <c r="B927" s="174" t="s">
        <v>2163</v>
      </c>
      <c r="C927" s="176" t="str">
        <f t="shared" si="1"/>
        <v>#REF!</v>
      </c>
      <c r="D927" s="176"/>
      <c r="E927" s="176"/>
    </row>
    <row r="928">
      <c r="A928" s="182" t="s">
        <v>2164</v>
      </c>
      <c r="B928" s="174" t="s">
        <v>2165</v>
      </c>
      <c r="C928" s="176" t="str">
        <f t="shared" si="1"/>
        <v>#REF!</v>
      </c>
      <c r="D928" s="176"/>
      <c r="E928" s="176"/>
    </row>
    <row r="929">
      <c r="A929" s="182" t="s">
        <v>2166</v>
      </c>
      <c r="B929" s="174" t="s">
        <v>2167</v>
      </c>
      <c r="C929" s="176" t="str">
        <f t="shared" si="1"/>
        <v>#REF!</v>
      </c>
      <c r="D929" s="176"/>
      <c r="E929" s="176"/>
    </row>
    <row r="930">
      <c r="A930" s="182" t="s">
        <v>2168</v>
      </c>
      <c r="B930" s="174" t="s">
        <v>2169</v>
      </c>
      <c r="C930" s="176" t="str">
        <f t="shared" si="1"/>
        <v>#REF!</v>
      </c>
      <c r="D930" s="176"/>
      <c r="E930" s="176"/>
    </row>
    <row r="931">
      <c r="A931" s="182" t="s">
        <v>2170</v>
      </c>
      <c r="B931" s="174" t="s">
        <v>2171</v>
      </c>
      <c r="C931" s="176" t="str">
        <f t="shared" si="1"/>
        <v>#REF!</v>
      </c>
      <c r="D931" s="176"/>
      <c r="E931" s="176"/>
    </row>
    <row r="932">
      <c r="A932" s="182" t="s">
        <v>2172</v>
      </c>
      <c r="B932" s="174" t="s">
        <v>2173</v>
      </c>
      <c r="C932" s="176" t="str">
        <f t="shared" si="1"/>
        <v>#REF!</v>
      </c>
      <c r="D932" s="176"/>
      <c r="E932" s="176"/>
    </row>
    <row r="933">
      <c r="A933" s="182" t="s">
        <v>2174</v>
      </c>
      <c r="B933" s="174" t="s">
        <v>2175</v>
      </c>
      <c r="C933" s="176" t="str">
        <f t="shared" si="1"/>
        <v>#REF!</v>
      </c>
      <c r="D933" s="176"/>
      <c r="E933" s="176"/>
    </row>
    <row r="934">
      <c r="A934" s="182" t="s">
        <v>2176</v>
      </c>
      <c r="B934" s="174" t="s">
        <v>2177</v>
      </c>
      <c r="C934" s="176" t="str">
        <f t="shared" si="1"/>
        <v>#REF!</v>
      </c>
      <c r="D934" s="176"/>
      <c r="E934" s="176"/>
    </row>
    <row r="935">
      <c r="A935" s="182" t="s">
        <v>2178</v>
      </c>
      <c r="B935" s="174" t="s">
        <v>2179</v>
      </c>
      <c r="C935" s="176" t="str">
        <f t="shared" si="1"/>
        <v>#REF!</v>
      </c>
      <c r="D935" s="176"/>
      <c r="E935" s="176"/>
    </row>
    <row r="936">
      <c r="A936" s="182" t="s">
        <v>2180</v>
      </c>
      <c r="B936" s="174" t="s">
        <v>2181</v>
      </c>
      <c r="C936" s="176" t="str">
        <f t="shared" si="1"/>
        <v>#REF!</v>
      </c>
      <c r="D936" s="176"/>
      <c r="E936" s="176"/>
    </row>
    <row r="937">
      <c r="A937" s="182" t="s">
        <v>2182</v>
      </c>
      <c r="B937" s="174" t="s">
        <v>2183</v>
      </c>
      <c r="C937" s="176" t="str">
        <f t="shared" si="1"/>
        <v>#REF!</v>
      </c>
      <c r="D937" s="176"/>
      <c r="E937" s="176"/>
    </row>
    <row r="938">
      <c r="A938" s="182" t="s">
        <v>2184</v>
      </c>
      <c r="B938" s="174" t="s">
        <v>2185</v>
      </c>
      <c r="C938" s="176" t="str">
        <f t="shared" si="1"/>
        <v>#REF!</v>
      </c>
      <c r="D938" s="176"/>
      <c r="E938" s="176"/>
    </row>
    <row r="939">
      <c r="A939" s="182" t="s">
        <v>2186</v>
      </c>
      <c r="B939" s="174" t="s">
        <v>2187</v>
      </c>
      <c r="C939" s="176" t="str">
        <f t="shared" si="1"/>
        <v>#REF!</v>
      </c>
      <c r="D939" s="176"/>
      <c r="E939" s="176"/>
    </row>
    <row r="940">
      <c r="A940" s="182" t="s">
        <v>2188</v>
      </c>
      <c r="B940" s="174" t="s">
        <v>2189</v>
      </c>
      <c r="C940" s="176" t="str">
        <f t="shared" si="1"/>
        <v>#REF!</v>
      </c>
      <c r="D940" s="176"/>
      <c r="E940" s="176"/>
    </row>
    <row r="941">
      <c r="A941" s="182" t="s">
        <v>2190</v>
      </c>
      <c r="B941" s="174" t="s">
        <v>2191</v>
      </c>
      <c r="C941" s="176" t="str">
        <f t="shared" si="1"/>
        <v>#REF!</v>
      </c>
      <c r="D941" s="176"/>
      <c r="E941" s="176"/>
    </row>
    <row r="942">
      <c r="A942" s="182" t="s">
        <v>2192</v>
      </c>
      <c r="B942" s="174" t="s">
        <v>2193</v>
      </c>
      <c r="C942" s="176" t="str">
        <f t="shared" si="1"/>
        <v>#REF!</v>
      </c>
      <c r="D942" s="176"/>
      <c r="E942" s="176"/>
    </row>
    <row r="943">
      <c r="A943" s="182" t="s">
        <v>2194</v>
      </c>
      <c r="B943" s="174" t="s">
        <v>2195</v>
      </c>
      <c r="C943" s="176" t="str">
        <f t="shared" si="1"/>
        <v>#REF!</v>
      </c>
      <c r="D943" s="176"/>
      <c r="E943" s="176"/>
    </row>
    <row r="944">
      <c r="A944" s="182" t="s">
        <v>2196</v>
      </c>
      <c r="B944" s="174" t="s">
        <v>2197</v>
      </c>
      <c r="C944" s="176" t="str">
        <f t="shared" si="1"/>
        <v>#REF!</v>
      </c>
      <c r="D944" s="176"/>
      <c r="E944" s="176"/>
    </row>
    <row r="945">
      <c r="A945" s="182" t="s">
        <v>2198</v>
      </c>
      <c r="B945" s="174" t="s">
        <v>2199</v>
      </c>
      <c r="C945" s="176" t="str">
        <f t="shared" si="1"/>
        <v>#REF!</v>
      </c>
      <c r="D945" s="176"/>
      <c r="E945" s="176"/>
    </row>
    <row r="946">
      <c r="A946" s="182" t="s">
        <v>2200</v>
      </c>
      <c r="B946" s="174" t="s">
        <v>2201</v>
      </c>
      <c r="C946" s="176" t="str">
        <f t="shared" si="1"/>
        <v>#REF!</v>
      </c>
      <c r="D946" s="176"/>
      <c r="E946" s="176"/>
    </row>
    <row r="947">
      <c r="A947" s="182" t="s">
        <v>2202</v>
      </c>
      <c r="B947" s="174" t="s">
        <v>2203</v>
      </c>
      <c r="C947" s="176" t="str">
        <f t="shared" si="1"/>
        <v>#REF!</v>
      </c>
      <c r="D947" s="176"/>
      <c r="E947" s="176"/>
    </row>
    <row r="948">
      <c r="A948" s="182" t="s">
        <v>2204</v>
      </c>
      <c r="B948" s="174" t="s">
        <v>2205</v>
      </c>
      <c r="C948" s="176" t="str">
        <f t="shared" si="1"/>
        <v>#REF!</v>
      </c>
      <c r="D948" s="176"/>
      <c r="E948" s="176"/>
    </row>
    <row r="949">
      <c r="A949" s="182" t="s">
        <v>2206</v>
      </c>
      <c r="B949" s="174" t="s">
        <v>2207</v>
      </c>
      <c r="C949" s="176" t="str">
        <f t="shared" si="1"/>
        <v>#REF!</v>
      </c>
      <c r="D949" s="176"/>
      <c r="E949" s="176"/>
    </row>
    <row r="950">
      <c r="A950" s="182" t="s">
        <v>2208</v>
      </c>
      <c r="B950" s="174" t="s">
        <v>2209</v>
      </c>
      <c r="C950" s="176" t="str">
        <f t="shared" si="1"/>
        <v>#REF!</v>
      </c>
      <c r="D950" s="176"/>
      <c r="E950" s="176"/>
    </row>
    <row r="951">
      <c r="A951" s="182" t="s">
        <v>2210</v>
      </c>
      <c r="B951" s="174" t="s">
        <v>2211</v>
      </c>
      <c r="C951" s="176" t="str">
        <f t="shared" si="1"/>
        <v>#REF!</v>
      </c>
      <c r="D951" s="176"/>
      <c r="E951" s="176"/>
    </row>
    <row r="952">
      <c r="A952" s="182" t="s">
        <v>2212</v>
      </c>
      <c r="B952" s="174" t="s">
        <v>2213</v>
      </c>
      <c r="C952" s="176" t="str">
        <f t="shared" si="1"/>
        <v>#REF!</v>
      </c>
      <c r="D952" s="176"/>
      <c r="E952" s="176"/>
    </row>
    <row r="953">
      <c r="A953" s="182" t="s">
        <v>2214</v>
      </c>
      <c r="B953" s="174" t="s">
        <v>2215</v>
      </c>
      <c r="C953" s="176" t="str">
        <f t="shared" si="1"/>
        <v>#REF!</v>
      </c>
      <c r="D953" s="176"/>
      <c r="E953" s="176"/>
    </row>
    <row r="954">
      <c r="A954" s="182" t="s">
        <v>2216</v>
      </c>
      <c r="B954" s="174" t="s">
        <v>2217</v>
      </c>
      <c r="C954" s="176" t="str">
        <f t="shared" si="1"/>
        <v>#REF!</v>
      </c>
      <c r="D954" s="176"/>
      <c r="E954" s="176"/>
    </row>
    <row r="955">
      <c r="A955" s="182" t="s">
        <v>2218</v>
      </c>
      <c r="B955" s="174" t="s">
        <v>2219</v>
      </c>
      <c r="C955" s="176" t="str">
        <f t="shared" si="1"/>
        <v>#REF!</v>
      </c>
      <c r="D955" s="176"/>
      <c r="E955" s="176"/>
    </row>
    <row r="956">
      <c r="A956" s="182" t="s">
        <v>2220</v>
      </c>
      <c r="B956" s="174" t="s">
        <v>2221</v>
      </c>
      <c r="C956" s="176" t="str">
        <f t="shared" si="1"/>
        <v>#REF!</v>
      </c>
      <c r="D956" s="176"/>
      <c r="E956" s="176"/>
    </row>
    <row r="957">
      <c r="A957" s="182" t="s">
        <v>2222</v>
      </c>
      <c r="B957" s="174" t="s">
        <v>2223</v>
      </c>
      <c r="C957" s="176" t="str">
        <f t="shared" si="1"/>
        <v>#REF!</v>
      </c>
      <c r="D957" s="176"/>
      <c r="E957" s="176"/>
    </row>
    <row r="958">
      <c r="A958" s="182" t="s">
        <v>2224</v>
      </c>
      <c r="B958" s="174" t="s">
        <v>2225</v>
      </c>
      <c r="C958" s="176" t="str">
        <f t="shared" si="1"/>
        <v>#REF!</v>
      </c>
      <c r="D958" s="176"/>
      <c r="E958" s="176"/>
    </row>
    <row r="959">
      <c r="A959" s="182" t="s">
        <v>2226</v>
      </c>
      <c r="B959" s="174" t="s">
        <v>2227</v>
      </c>
      <c r="C959" s="176" t="str">
        <f t="shared" si="1"/>
        <v>#REF!</v>
      </c>
      <c r="D959" s="176"/>
      <c r="E959" s="176"/>
    </row>
    <row r="960">
      <c r="A960" s="182" t="s">
        <v>2228</v>
      </c>
      <c r="B960" s="174" t="s">
        <v>2229</v>
      </c>
      <c r="C960" s="176" t="str">
        <f t="shared" si="1"/>
        <v>#REF!</v>
      </c>
      <c r="D960" s="176"/>
      <c r="E960" s="176"/>
    </row>
    <row r="961">
      <c r="A961" s="182" t="s">
        <v>2230</v>
      </c>
      <c r="B961" s="174" t="s">
        <v>2231</v>
      </c>
      <c r="C961" s="176" t="str">
        <f t="shared" si="1"/>
        <v>#REF!</v>
      </c>
      <c r="D961" s="176"/>
      <c r="E961" s="176"/>
    </row>
    <row r="962">
      <c r="A962" s="182" t="s">
        <v>2232</v>
      </c>
      <c r="B962" s="174" t="s">
        <v>2233</v>
      </c>
      <c r="C962" s="176" t="str">
        <f t="shared" si="1"/>
        <v>#REF!</v>
      </c>
      <c r="D962" s="176"/>
      <c r="E962" s="176"/>
    </row>
    <row r="963">
      <c r="A963" s="182" t="s">
        <v>2234</v>
      </c>
      <c r="B963" s="174" t="s">
        <v>2235</v>
      </c>
      <c r="C963" s="176" t="str">
        <f t="shared" si="1"/>
        <v>#REF!</v>
      </c>
      <c r="D963" s="176"/>
      <c r="E963" s="176"/>
    </row>
    <row r="964">
      <c r="A964" s="182" t="s">
        <v>2236</v>
      </c>
      <c r="B964" s="174" t="s">
        <v>2237</v>
      </c>
      <c r="C964" s="176" t="str">
        <f t="shared" si="1"/>
        <v>#REF!</v>
      </c>
      <c r="D964" s="176"/>
      <c r="E964" s="176"/>
    </row>
    <row r="965">
      <c r="A965" s="182" t="s">
        <v>2238</v>
      </c>
      <c r="B965" s="174" t="s">
        <v>2239</v>
      </c>
      <c r="C965" s="176" t="str">
        <f t="shared" si="1"/>
        <v>#REF!</v>
      </c>
      <c r="D965" s="176"/>
      <c r="E965" s="176"/>
    </row>
    <row r="966">
      <c r="A966" s="182" t="s">
        <v>2240</v>
      </c>
      <c r="B966" s="174" t="s">
        <v>2241</v>
      </c>
      <c r="C966" s="176" t="str">
        <f t="shared" si="1"/>
        <v>#REF!</v>
      </c>
      <c r="D966" s="176"/>
      <c r="E966" s="176"/>
    </row>
    <row r="967">
      <c r="A967" s="182" t="s">
        <v>2242</v>
      </c>
      <c r="B967" s="174" t="s">
        <v>2243</v>
      </c>
      <c r="C967" s="176" t="str">
        <f t="shared" si="1"/>
        <v>#REF!</v>
      </c>
      <c r="D967" s="176"/>
      <c r="E967" s="176"/>
    </row>
    <row r="968">
      <c r="A968" s="182" t="s">
        <v>2244</v>
      </c>
      <c r="B968" s="174" t="s">
        <v>2245</v>
      </c>
      <c r="C968" s="176" t="str">
        <f t="shared" si="1"/>
        <v>#REF!</v>
      </c>
      <c r="D968" s="176"/>
      <c r="E968" s="176"/>
    </row>
    <row r="969">
      <c r="A969" s="182" t="s">
        <v>2246</v>
      </c>
      <c r="B969" s="174" t="s">
        <v>2247</v>
      </c>
      <c r="C969" s="176" t="str">
        <f t="shared" si="1"/>
        <v>#REF!</v>
      </c>
      <c r="D969" s="176"/>
      <c r="E969" s="176"/>
    </row>
    <row r="970">
      <c r="A970" s="182" t="s">
        <v>2248</v>
      </c>
      <c r="B970" s="174" t="s">
        <v>2249</v>
      </c>
      <c r="C970" s="176" t="str">
        <f t="shared" si="1"/>
        <v>#REF!</v>
      </c>
      <c r="D970" s="176"/>
      <c r="E970" s="176"/>
    </row>
    <row r="971">
      <c r="A971" s="182" t="s">
        <v>2250</v>
      </c>
      <c r="B971" s="174" t="s">
        <v>2251</v>
      </c>
      <c r="C971" s="176" t="str">
        <f t="shared" si="1"/>
        <v>#REF!</v>
      </c>
      <c r="D971" s="176"/>
      <c r="E971" s="176"/>
    </row>
    <row r="972">
      <c r="A972" s="182" t="s">
        <v>2252</v>
      </c>
      <c r="B972" s="174" t="s">
        <v>2253</v>
      </c>
      <c r="C972" s="176" t="str">
        <f t="shared" si="1"/>
        <v>#REF!</v>
      </c>
      <c r="D972" s="176"/>
      <c r="E972" s="176"/>
    </row>
    <row r="973">
      <c r="A973" s="182" t="s">
        <v>2254</v>
      </c>
      <c r="B973" s="174" t="s">
        <v>2255</v>
      </c>
      <c r="C973" s="176" t="str">
        <f t="shared" si="1"/>
        <v>#REF!</v>
      </c>
      <c r="D973" s="176"/>
      <c r="E973" s="176"/>
    </row>
    <row r="974">
      <c r="A974" s="182" t="s">
        <v>2256</v>
      </c>
      <c r="B974" s="174" t="s">
        <v>2257</v>
      </c>
      <c r="C974" s="176" t="str">
        <f t="shared" si="1"/>
        <v>#REF!</v>
      </c>
      <c r="D974" s="176"/>
      <c r="E974" s="176"/>
    </row>
    <row r="975">
      <c r="A975" s="182" t="s">
        <v>2258</v>
      </c>
      <c r="B975" s="174" t="s">
        <v>2259</v>
      </c>
      <c r="C975" s="176" t="str">
        <f t="shared" si="1"/>
        <v>#REF!</v>
      </c>
      <c r="D975" s="176"/>
      <c r="E975" s="176"/>
    </row>
    <row r="976">
      <c r="A976" s="182" t="s">
        <v>2260</v>
      </c>
      <c r="B976" s="174" t="s">
        <v>2261</v>
      </c>
      <c r="C976" s="176" t="str">
        <f t="shared" si="1"/>
        <v>#REF!</v>
      </c>
      <c r="D976" s="176"/>
      <c r="E976" s="176"/>
    </row>
    <row r="977">
      <c r="A977" s="182" t="s">
        <v>2262</v>
      </c>
      <c r="B977" s="174" t="s">
        <v>2263</v>
      </c>
      <c r="C977" s="176" t="str">
        <f t="shared" si="1"/>
        <v>#REF!</v>
      </c>
      <c r="D977" s="176"/>
      <c r="E977" s="176"/>
    </row>
    <row r="978">
      <c r="A978" s="182" t="s">
        <v>2264</v>
      </c>
      <c r="B978" s="174" t="s">
        <v>2265</v>
      </c>
      <c r="C978" s="176" t="str">
        <f t="shared" si="1"/>
        <v>#REF!</v>
      </c>
      <c r="D978" s="176"/>
      <c r="E978" s="176"/>
    </row>
    <row r="979">
      <c r="A979" s="182" t="s">
        <v>2266</v>
      </c>
      <c r="B979" s="174" t="s">
        <v>2267</v>
      </c>
      <c r="C979" s="176" t="str">
        <f t="shared" si="1"/>
        <v>#REF!</v>
      </c>
      <c r="D979" s="176"/>
      <c r="E979" s="176"/>
    </row>
    <row r="980">
      <c r="A980" s="182" t="s">
        <v>2268</v>
      </c>
      <c r="B980" s="174" t="s">
        <v>2269</v>
      </c>
      <c r="C980" s="176" t="str">
        <f t="shared" si="1"/>
        <v>#REF!</v>
      </c>
      <c r="D980" s="176"/>
      <c r="E980" s="176"/>
    </row>
    <row r="981">
      <c r="A981" s="182" t="s">
        <v>2270</v>
      </c>
      <c r="B981" s="174" t="s">
        <v>2271</v>
      </c>
      <c r="C981" s="176" t="str">
        <f t="shared" si="1"/>
        <v>#REF!</v>
      </c>
      <c r="D981" s="176"/>
      <c r="E981" s="176"/>
    </row>
    <row r="982">
      <c r="A982" s="182" t="s">
        <v>2272</v>
      </c>
      <c r="B982" s="174" t="s">
        <v>2273</v>
      </c>
      <c r="C982" s="176" t="str">
        <f t="shared" si="1"/>
        <v>#REF!</v>
      </c>
      <c r="D982" s="176"/>
      <c r="E982" s="176"/>
    </row>
    <row r="983">
      <c r="A983" s="182" t="s">
        <v>2274</v>
      </c>
      <c r="B983" s="174" t="s">
        <v>2275</v>
      </c>
      <c r="C983" s="176" t="str">
        <f t="shared" si="1"/>
        <v>#REF!</v>
      </c>
      <c r="D983" s="176"/>
      <c r="E983" s="176"/>
    </row>
    <row r="984">
      <c r="A984" s="182" t="s">
        <v>2276</v>
      </c>
      <c r="B984" s="174" t="s">
        <v>2277</v>
      </c>
      <c r="C984" s="176" t="str">
        <f t="shared" si="1"/>
        <v>#REF!</v>
      </c>
      <c r="D984" s="176"/>
      <c r="E984" s="176"/>
    </row>
    <row r="985">
      <c r="A985" s="182" t="s">
        <v>2278</v>
      </c>
      <c r="B985" s="174" t="s">
        <v>2279</v>
      </c>
      <c r="C985" s="176" t="str">
        <f t="shared" si="1"/>
        <v>#REF!</v>
      </c>
      <c r="D985" s="176"/>
      <c r="E985" s="176"/>
    </row>
    <row r="986">
      <c r="A986" s="182" t="s">
        <v>2280</v>
      </c>
      <c r="B986" s="174" t="s">
        <v>2281</v>
      </c>
      <c r="C986" s="176" t="str">
        <f t="shared" si="1"/>
        <v>#REF!</v>
      </c>
      <c r="D986" s="176"/>
      <c r="E986" s="176"/>
    </row>
    <row r="987">
      <c r="A987" s="182" t="s">
        <v>2282</v>
      </c>
      <c r="B987" s="174" t="s">
        <v>2283</v>
      </c>
      <c r="C987" s="176" t="str">
        <f t="shared" si="1"/>
        <v>#REF!</v>
      </c>
      <c r="D987" s="176"/>
      <c r="E987" s="176"/>
    </row>
    <row r="988">
      <c r="A988" s="182" t="s">
        <v>2284</v>
      </c>
      <c r="B988" s="174" t="s">
        <v>2285</v>
      </c>
      <c r="C988" s="176" t="str">
        <f t="shared" si="1"/>
        <v>#REF!</v>
      </c>
      <c r="D988" s="176"/>
      <c r="E988" s="176"/>
    </row>
    <row r="989">
      <c r="A989" s="182" t="s">
        <v>2286</v>
      </c>
      <c r="B989" s="174" t="s">
        <v>2287</v>
      </c>
      <c r="C989" s="176" t="str">
        <f t="shared" si="1"/>
        <v>#REF!</v>
      </c>
      <c r="D989" s="176"/>
      <c r="E989" s="176"/>
    </row>
    <row r="990">
      <c r="A990" s="182" t="s">
        <v>2288</v>
      </c>
      <c r="B990" s="174" t="s">
        <v>2289</v>
      </c>
      <c r="C990" s="176" t="str">
        <f t="shared" si="1"/>
        <v>#REF!</v>
      </c>
      <c r="D990" s="176"/>
      <c r="E990" s="176"/>
    </row>
    <row r="991">
      <c r="A991" s="182" t="s">
        <v>2290</v>
      </c>
      <c r="B991" s="174" t="s">
        <v>2291</v>
      </c>
      <c r="C991" s="176" t="str">
        <f t="shared" si="1"/>
        <v>#REF!</v>
      </c>
      <c r="D991" s="176"/>
      <c r="E991" s="176"/>
    </row>
    <row r="992">
      <c r="A992" s="182" t="s">
        <v>2292</v>
      </c>
      <c r="B992" s="174" t="s">
        <v>2293</v>
      </c>
      <c r="C992" s="176" t="str">
        <f t="shared" si="1"/>
        <v>#REF!</v>
      </c>
      <c r="D992" s="176"/>
      <c r="E992" s="176"/>
    </row>
    <row r="993">
      <c r="A993" s="182" t="s">
        <v>2294</v>
      </c>
      <c r="B993" s="174" t="s">
        <v>2295</v>
      </c>
      <c r="C993" s="176" t="str">
        <f t="shared" si="1"/>
        <v>#REF!</v>
      </c>
      <c r="D993" s="176"/>
      <c r="E993" s="176"/>
    </row>
    <row r="994">
      <c r="A994" s="182" t="s">
        <v>2296</v>
      </c>
      <c r="B994" s="174" t="s">
        <v>2297</v>
      </c>
      <c r="C994" s="176" t="str">
        <f t="shared" si="1"/>
        <v>#REF!</v>
      </c>
      <c r="D994" s="176"/>
      <c r="E994" s="176"/>
    </row>
    <row r="995">
      <c r="A995" s="182" t="s">
        <v>2298</v>
      </c>
      <c r="B995" s="174" t="s">
        <v>2299</v>
      </c>
      <c r="C995" s="176" t="str">
        <f t="shared" si="1"/>
        <v>#REF!</v>
      </c>
      <c r="D995" s="176"/>
      <c r="E995" s="176"/>
    </row>
    <row r="996">
      <c r="A996" s="182" t="s">
        <v>2300</v>
      </c>
      <c r="B996" s="174" t="s">
        <v>2301</v>
      </c>
      <c r="C996" s="176" t="str">
        <f t="shared" si="1"/>
        <v>#REF!</v>
      </c>
      <c r="D996" s="176"/>
      <c r="E996" s="176"/>
    </row>
    <row r="997">
      <c r="A997" s="182" t="s">
        <v>2302</v>
      </c>
      <c r="B997" s="174" t="s">
        <v>2303</v>
      </c>
      <c r="C997" s="176" t="str">
        <f t="shared" si="1"/>
        <v>#REF!</v>
      </c>
      <c r="D997" s="176"/>
      <c r="E997" s="176"/>
    </row>
    <row r="998">
      <c r="A998" s="182" t="s">
        <v>2304</v>
      </c>
      <c r="B998" s="174" t="s">
        <v>2305</v>
      </c>
      <c r="C998" s="176" t="str">
        <f t="shared" si="1"/>
        <v>#REF!</v>
      </c>
      <c r="D998" s="176"/>
      <c r="E998" s="176"/>
    </row>
    <row r="999">
      <c r="A999" s="182">
        <v>843.0</v>
      </c>
      <c r="B999" s="174" t="s">
        <v>2306</v>
      </c>
      <c r="C999" s="176" t="str">
        <f t="shared" si="1"/>
        <v>#REF!</v>
      </c>
      <c r="D999" s="176"/>
      <c r="E999" s="176"/>
    </row>
    <row r="1000">
      <c r="A1000" s="182" t="s">
        <v>2307</v>
      </c>
      <c r="B1000" s="174" t="s">
        <v>2308</v>
      </c>
      <c r="C1000" s="176" t="str">
        <f t="shared" si="1"/>
        <v>#REF!</v>
      </c>
      <c r="D1000" s="176"/>
      <c r="E1000" s="176"/>
    </row>
    <row r="1001">
      <c r="A1001" s="182" t="s">
        <v>2309</v>
      </c>
      <c r="B1001" s="174" t="s">
        <v>2310</v>
      </c>
      <c r="C1001" s="176" t="str">
        <f t="shared" si="1"/>
        <v>#REF!</v>
      </c>
      <c r="D1001" s="176"/>
      <c r="E1001" s="176"/>
    </row>
    <row r="1002">
      <c r="A1002" s="182" t="s">
        <v>2311</v>
      </c>
      <c r="B1002" s="174" t="s">
        <v>2312</v>
      </c>
      <c r="C1002" s="176" t="str">
        <f t="shared" si="1"/>
        <v>#REF!</v>
      </c>
      <c r="D1002" s="176"/>
      <c r="E1002" s="176"/>
    </row>
    <row r="1003">
      <c r="A1003" s="182" t="s">
        <v>2313</v>
      </c>
      <c r="B1003" s="174" t="s">
        <v>2314</v>
      </c>
      <c r="C1003" s="176" t="str">
        <f t="shared" si="1"/>
        <v>#REF!</v>
      </c>
      <c r="D1003" s="176"/>
      <c r="E1003" s="176"/>
    </row>
    <row r="1004">
      <c r="A1004" s="182" t="s">
        <v>2315</v>
      </c>
      <c r="B1004" s="174" t="s">
        <v>2316</v>
      </c>
      <c r="C1004" s="176" t="str">
        <f t="shared" si="1"/>
        <v>#REF!</v>
      </c>
      <c r="D1004" s="176"/>
      <c r="E1004" s="176"/>
    </row>
    <row r="1005">
      <c r="A1005" s="182" t="s">
        <v>2317</v>
      </c>
      <c r="B1005" s="174" t="s">
        <v>202</v>
      </c>
      <c r="C1005" s="176" t="str">
        <f t="shared" si="1"/>
        <v>#REF!</v>
      </c>
      <c r="D1005" s="176"/>
      <c r="E1005" s="176"/>
    </row>
    <row r="1006">
      <c r="A1006" s="182" t="s">
        <v>2318</v>
      </c>
      <c r="B1006" s="174" t="s">
        <v>204</v>
      </c>
      <c r="C1006" s="176" t="str">
        <f t="shared" si="1"/>
        <v>#REF!</v>
      </c>
      <c r="D1006" s="176"/>
      <c r="E1006" s="176"/>
    </row>
    <row r="1007">
      <c r="A1007" s="182" t="s">
        <v>2319</v>
      </c>
      <c r="B1007" s="174" t="s">
        <v>2320</v>
      </c>
      <c r="C1007" s="176" t="str">
        <f t="shared" si="1"/>
        <v>#REF!</v>
      </c>
      <c r="D1007" s="176"/>
      <c r="E1007" s="176"/>
    </row>
    <row r="1008">
      <c r="A1008" s="182" t="s">
        <v>2321</v>
      </c>
      <c r="B1008" s="174" t="s">
        <v>2322</v>
      </c>
      <c r="C1008" s="176" t="str">
        <f t="shared" si="1"/>
        <v>#REF!</v>
      </c>
      <c r="D1008" s="176"/>
      <c r="E1008" s="176"/>
    </row>
    <row r="1009">
      <c r="A1009" s="182" t="s">
        <v>2323</v>
      </c>
      <c r="B1009" s="174" t="s">
        <v>2324</v>
      </c>
      <c r="C1009" s="176" t="str">
        <f t="shared" si="1"/>
        <v>#REF!</v>
      </c>
      <c r="D1009" s="176"/>
      <c r="E1009" s="176"/>
    </row>
    <row r="1010">
      <c r="A1010" s="182" t="s">
        <v>2325</v>
      </c>
      <c r="B1010" s="174" t="s">
        <v>2326</v>
      </c>
      <c r="C1010" s="176" t="str">
        <f t="shared" si="1"/>
        <v>#REF!</v>
      </c>
      <c r="D1010" s="176"/>
      <c r="E1010" s="176"/>
    </row>
    <row r="1011">
      <c r="A1011" s="182" t="s">
        <v>2327</v>
      </c>
      <c r="B1011" s="174" t="s">
        <v>2328</v>
      </c>
      <c r="C1011" s="176" t="str">
        <f t="shared" si="1"/>
        <v>#REF!</v>
      </c>
      <c r="D1011" s="176"/>
      <c r="E1011" s="176"/>
    </row>
    <row r="1012">
      <c r="A1012" s="182" t="s">
        <v>2329</v>
      </c>
      <c r="B1012" s="174" t="s">
        <v>2330</v>
      </c>
      <c r="C1012" s="176" t="str">
        <f t="shared" si="1"/>
        <v>#REF!</v>
      </c>
      <c r="D1012" s="176"/>
      <c r="E1012" s="176"/>
    </row>
    <row r="1013">
      <c r="A1013" s="182" t="s">
        <v>2331</v>
      </c>
      <c r="B1013" s="174" t="s">
        <v>2332</v>
      </c>
      <c r="C1013" s="176" t="str">
        <f t="shared" si="1"/>
        <v>#REF!</v>
      </c>
      <c r="D1013" s="176"/>
      <c r="E1013" s="176"/>
    </row>
    <row r="1014">
      <c r="A1014" s="182" t="s">
        <v>2333</v>
      </c>
      <c r="B1014" s="174" t="s">
        <v>2334</v>
      </c>
      <c r="C1014" s="176" t="str">
        <f t="shared" si="1"/>
        <v>#REF!</v>
      </c>
      <c r="D1014" s="176"/>
      <c r="E1014" s="176"/>
    </row>
    <row r="1015">
      <c r="A1015" s="182" t="s">
        <v>2335</v>
      </c>
      <c r="B1015" s="174" t="s">
        <v>2336</v>
      </c>
      <c r="C1015" s="176" t="str">
        <f t="shared" si="1"/>
        <v>#REF!</v>
      </c>
      <c r="D1015" s="176"/>
      <c r="E1015" s="176"/>
    </row>
    <row r="1016">
      <c r="A1016" s="182" t="s">
        <v>2337</v>
      </c>
      <c r="B1016" s="174" t="s">
        <v>2338</v>
      </c>
      <c r="C1016" s="176" t="str">
        <f t="shared" si="1"/>
        <v>#REF!</v>
      </c>
      <c r="D1016" s="176"/>
      <c r="E1016" s="176"/>
    </row>
    <row r="1017">
      <c r="A1017" s="182" t="s">
        <v>2339</v>
      </c>
      <c r="B1017" s="174" t="s">
        <v>2340</v>
      </c>
      <c r="C1017" s="176" t="str">
        <f t="shared" si="1"/>
        <v>#REF!</v>
      </c>
      <c r="D1017" s="176"/>
      <c r="E1017" s="176"/>
    </row>
    <row r="1018">
      <c r="A1018" s="182" t="s">
        <v>2341</v>
      </c>
      <c r="B1018" s="174" t="s">
        <v>2342</v>
      </c>
      <c r="C1018" s="176" t="str">
        <f t="shared" si="1"/>
        <v>#REF!</v>
      </c>
      <c r="D1018" s="176"/>
      <c r="E1018" s="176"/>
    </row>
    <row r="1019">
      <c r="A1019" s="182" t="s">
        <v>2343</v>
      </c>
      <c r="B1019" s="174" t="s">
        <v>2344</v>
      </c>
      <c r="C1019" s="176" t="str">
        <f t="shared" si="1"/>
        <v>#REF!</v>
      </c>
      <c r="D1019" s="176"/>
      <c r="E1019" s="176"/>
    </row>
    <row r="1020">
      <c r="A1020" s="182">
        <v>863.0</v>
      </c>
      <c r="B1020" s="174" t="s">
        <v>2345</v>
      </c>
      <c r="C1020" s="176" t="str">
        <f t="shared" si="1"/>
        <v>#REF!</v>
      </c>
      <c r="D1020" s="176"/>
      <c r="E1020" s="176"/>
    </row>
    <row r="1021">
      <c r="A1021" s="182" t="s">
        <v>2346</v>
      </c>
      <c r="B1021" s="174" t="s">
        <v>2347</v>
      </c>
      <c r="C1021" s="176" t="str">
        <f t="shared" si="1"/>
        <v>#REF!</v>
      </c>
      <c r="D1021" s="176"/>
      <c r="E1021" s="176"/>
    </row>
    <row r="1022">
      <c r="A1022" s="182" t="s">
        <v>2348</v>
      </c>
      <c r="B1022" s="174" t="s">
        <v>2349</v>
      </c>
      <c r="C1022" s="176" t="str">
        <f t="shared" si="1"/>
        <v>#REF!</v>
      </c>
      <c r="D1022" s="176"/>
      <c r="E1022" s="176"/>
    </row>
    <row r="1023">
      <c r="A1023" s="182" t="s">
        <v>2350</v>
      </c>
      <c r="B1023" s="174" t="s">
        <v>2351</v>
      </c>
      <c r="C1023" s="176" t="str">
        <f t="shared" si="1"/>
        <v>#REF!</v>
      </c>
      <c r="D1023" s="176"/>
      <c r="E1023" s="176"/>
    </row>
    <row r="1024">
      <c r="A1024" s="182" t="s">
        <v>2352</v>
      </c>
      <c r="B1024" s="174" t="s">
        <v>2353</v>
      </c>
      <c r="C1024" s="176" t="str">
        <f t="shared" si="1"/>
        <v>#REF!</v>
      </c>
      <c r="D1024" s="176"/>
      <c r="E1024" s="176"/>
    </row>
    <row r="1025">
      <c r="A1025" s="182" t="s">
        <v>2354</v>
      </c>
      <c r="B1025" s="174" t="s">
        <v>2355</v>
      </c>
      <c r="C1025" s="176" t="str">
        <f t="shared" si="1"/>
        <v>#REF!</v>
      </c>
      <c r="D1025" s="176"/>
      <c r="E1025" s="176"/>
    </row>
    <row r="1026">
      <c r="A1026" s="182" t="s">
        <v>2356</v>
      </c>
      <c r="B1026" s="174" t="s">
        <v>403</v>
      </c>
      <c r="C1026" s="176" t="str">
        <f t="shared" si="1"/>
        <v>#REF!</v>
      </c>
      <c r="D1026" s="176"/>
      <c r="E1026" s="176"/>
    </row>
    <row r="1027">
      <c r="A1027" s="182" t="s">
        <v>2357</v>
      </c>
      <c r="B1027" s="174" t="s">
        <v>2358</v>
      </c>
      <c r="C1027" s="176" t="str">
        <f t="shared" si="1"/>
        <v>#REF!</v>
      </c>
      <c r="D1027" s="176"/>
      <c r="E1027" s="176"/>
    </row>
    <row r="1028">
      <c r="A1028" s="182" t="s">
        <v>2359</v>
      </c>
      <c r="B1028" s="174" t="s">
        <v>2360</v>
      </c>
      <c r="C1028" s="176" t="str">
        <f t="shared" si="1"/>
        <v>#REF!</v>
      </c>
      <c r="D1028" s="176"/>
      <c r="E1028" s="176"/>
    </row>
    <row r="1029">
      <c r="A1029" s="182" t="s">
        <v>2361</v>
      </c>
      <c r="B1029" s="174" t="s">
        <v>2362</v>
      </c>
      <c r="C1029" s="176" t="str">
        <f t="shared" si="1"/>
        <v>#REF!</v>
      </c>
      <c r="D1029" s="176"/>
      <c r="E1029" s="176"/>
    </row>
    <row r="1030">
      <c r="A1030" s="182" t="s">
        <v>2363</v>
      </c>
      <c r="B1030" s="174" t="s">
        <v>2364</v>
      </c>
      <c r="C1030" s="176" t="str">
        <f t="shared" si="1"/>
        <v>#REF!</v>
      </c>
      <c r="D1030" s="176"/>
      <c r="E1030" s="176"/>
    </row>
    <row r="1031">
      <c r="A1031" s="182" t="s">
        <v>2365</v>
      </c>
      <c r="B1031" s="174" t="s">
        <v>2366</v>
      </c>
      <c r="C1031" s="176" t="str">
        <f t="shared" si="1"/>
        <v>#REF!</v>
      </c>
      <c r="D1031" s="176"/>
      <c r="E1031" s="176"/>
    </row>
    <row r="1032">
      <c r="A1032" s="182" t="s">
        <v>2367</v>
      </c>
      <c r="B1032" s="174" t="s">
        <v>174</v>
      </c>
      <c r="C1032" s="176" t="str">
        <f t="shared" si="1"/>
        <v>#REF!</v>
      </c>
      <c r="D1032" s="176"/>
      <c r="E1032" s="176"/>
    </row>
    <row r="1033">
      <c r="A1033" s="182" t="s">
        <v>2368</v>
      </c>
      <c r="B1033" s="174" t="s">
        <v>2369</v>
      </c>
      <c r="C1033" s="176" t="str">
        <f t="shared" si="1"/>
        <v>#REF!</v>
      </c>
      <c r="D1033" s="176"/>
      <c r="E1033" s="176"/>
    </row>
    <row r="1034">
      <c r="A1034" s="182" t="s">
        <v>2370</v>
      </c>
      <c r="B1034" s="174" t="s">
        <v>145</v>
      </c>
      <c r="C1034" s="176" t="str">
        <f t="shared" si="1"/>
        <v>#REF!</v>
      </c>
      <c r="D1034" s="176"/>
      <c r="E1034" s="176"/>
    </row>
    <row r="1035">
      <c r="A1035" s="182" t="s">
        <v>2371</v>
      </c>
      <c r="B1035" s="174" t="s">
        <v>143</v>
      </c>
      <c r="C1035" s="176" t="str">
        <f t="shared" si="1"/>
        <v>#REF!</v>
      </c>
      <c r="D1035" s="176"/>
      <c r="E1035" s="176"/>
    </row>
    <row r="1036">
      <c r="A1036" s="182" t="s">
        <v>2372</v>
      </c>
      <c r="B1036" s="174" t="s">
        <v>2373</v>
      </c>
      <c r="C1036" s="176" t="str">
        <f t="shared" si="1"/>
        <v>#REF!</v>
      </c>
      <c r="D1036" s="176"/>
      <c r="E1036" s="176"/>
    </row>
    <row r="1037">
      <c r="A1037" s="176" t="s">
        <v>2374</v>
      </c>
      <c r="B1037" s="174" t="s">
        <v>2375</v>
      </c>
      <c r="C1037" s="176" t="str">
        <f t="shared" si="1"/>
        <v>#REF!</v>
      </c>
      <c r="D1037" s="176"/>
      <c r="E1037" s="176"/>
    </row>
    <row r="1038">
      <c r="A1038" s="182" t="s">
        <v>2376</v>
      </c>
      <c r="B1038" s="174" t="s">
        <v>2377</v>
      </c>
      <c r="C1038" s="176" t="str">
        <f t="shared" si="1"/>
        <v>#REF!</v>
      </c>
      <c r="D1038" s="176"/>
      <c r="E1038" s="176"/>
    </row>
    <row r="1039">
      <c r="A1039" s="182" t="s">
        <v>2378</v>
      </c>
      <c r="B1039" s="174" t="s">
        <v>2379</v>
      </c>
      <c r="C1039" s="176" t="str">
        <f t="shared" si="1"/>
        <v>#REF!</v>
      </c>
      <c r="D1039" s="176"/>
      <c r="E1039" s="176"/>
    </row>
    <row r="1040">
      <c r="A1040" s="182" t="s">
        <v>2380</v>
      </c>
      <c r="B1040" s="174" t="s">
        <v>2381</v>
      </c>
      <c r="C1040" s="176" t="str">
        <f t="shared" si="1"/>
        <v>#REF!</v>
      </c>
      <c r="D1040" s="176"/>
      <c r="E1040" s="176"/>
    </row>
    <row r="1041">
      <c r="A1041" s="182" t="s">
        <v>2382</v>
      </c>
      <c r="B1041" s="174" t="s">
        <v>2383</v>
      </c>
      <c r="C1041" s="176" t="str">
        <f t="shared" si="1"/>
        <v>#REF!</v>
      </c>
      <c r="D1041" s="176"/>
      <c r="E1041" s="176"/>
    </row>
    <row r="1042">
      <c r="A1042" s="182" t="s">
        <v>2384</v>
      </c>
      <c r="B1042" s="174" t="s">
        <v>2385</v>
      </c>
      <c r="C1042" s="176" t="str">
        <f t="shared" si="1"/>
        <v>#REF!</v>
      </c>
      <c r="D1042" s="176"/>
      <c r="E1042" s="176"/>
    </row>
    <row r="1043">
      <c r="A1043" s="182" t="s">
        <v>2386</v>
      </c>
      <c r="B1043" s="174" t="s">
        <v>2387</v>
      </c>
      <c r="C1043" s="176" t="str">
        <f t="shared" si="1"/>
        <v>#REF!</v>
      </c>
      <c r="D1043" s="176"/>
      <c r="E1043" s="176"/>
    </row>
    <row r="1044">
      <c r="A1044" s="182" t="s">
        <v>2388</v>
      </c>
      <c r="B1044" s="174" t="s">
        <v>2389</v>
      </c>
      <c r="C1044" s="176" t="str">
        <f t="shared" si="1"/>
        <v>#REF!</v>
      </c>
      <c r="D1044" s="176"/>
      <c r="E1044" s="176"/>
    </row>
    <row r="1045">
      <c r="A1045" s="182" t="s">
        <v>2390</v>
      </c>
      <c r="B1045" s="174" t="s">
        <v>2391</v>
      </c>
      <c r="C1045" s="176" t="str">
        <f t="shared" si="1"/>
        <v>#REF!</v>
      </c>
      <c r="D1045" s="176"/>
      <c r="E1045" s="176"/>
    </row>
    <row r="1046">
      <c r="A1046" s="182" t="s">
        <v>2392</v>
      </c>
      <c r="B1046" s="174" t="s">
        <v>2393</v>
      </c>
      <c r="C1046" s="176" t="str">
        <f t="shared" si="1"/>
        <v>#REF!</v>
      </c>
      <c r="D1046" s="176"/>
      <c r="E1046" s="176"/>
    </row>
    <row r="1047">
      <c r="A1047" s="182" t="s">
        <v>2394</v>
      </c>
      <c r="B1047" s="174" t="s">
        <v>2395</v>
      </c>
      <c r="C1047" s="176" t="str">
        <f t="shared" si="1"/>
        <v>#REF!</v>
      </c>
      <c r="D1047" s="176"/>
      <c r="E1047" s="176"/>
    </row>
    <row r="1048">
      <c r="A1048" s="182" t="s">
        <v>2396</v>
      </c>
      <c r="B1048" s="174" t="s">
        <v>2397</v>
      </c>
      <c r="C1048" s="176" t="str">
        <f t="shared" si="1"/>
        <v>#REF!</v>
      </c>
      <c r="D1048" s="176"/>
      <c r="E1048" s="176"/>
    </row>
    <row r="1049">
      <c r="A1049" s="182">
        <v>888.0</v>
      </c>
      <c r="B1049" s="174" t="s">
        <v>2398</v>
      </c>
      <c r="C1049" s="176" t="str">
        <f t="shared" si="1"/>
        <v>#REF!</v>
      </c>
      <c r="D1049" s="176"/>
      <c r="E1049" s="176"/>
    </row>
    <row r="1050">
      <c r="A1050" s="182" t="s">
        <v>2399</v>
      </c>
      <c r="B1050" s="174" t="s">
        <v>2400</v>
      </c>
      <c r="C1050" s="176" t="str">
        <f t="shared" si="1"/>
        <v>#REF!</v>
      </c>
      <c r="D1050" s="176"/>
      <c r="E1050" s="176"/>
    </row>
    <row r="1051">
      <c r="A1051" s="182">
        <v>889.0</v>
      </c>
      <c r="B1051" s="174" t="s">
        <v>2401</v>
      </c>
      <c r="C1051" s="176" t="str">
        <f t="shared" si="1"/>
        <v>#REF!</v>
      </c>
      <c r="D1051" s="176"/>
      <c r="E1051" s="176"/>
    </row>
    <row r="1052">
      <c r="A1052" s="182" t="s">
        <v>2402</v>
      </c>
      <c r="B1052" s="174" t="s">
        <v>2403</v>
      </c>
      <c r="C1052" s="176" t="str">
        <f t="shared" si="1"/>
        <v>#REF!</v>
      </c>
      <c r="D1052" s="176"/>
      <c r="E1052" s="176"/>
    </row>
    <row r="1053">
      <c r="A1053" s="176" t="s">
        <v>2404</v>
      </c>
      <c r="B1053" s="174" t="s">
        <v>2405</v>
      </c>
      <c r="C1053" s="176" t="str">
        <f t="shared" si="1"/>
        <v>#REF!</v>
      </c>
      <c r="D1053" s="176"/>
      <c r="E1053" s="176"/>
    </row>
    <row r="1054">
      <c r="A1054" s="182">
        <v>891.0</v>
      </c>
      <c r="B1054" s="174" t="s">
        <v>2406</v>
      </c>
      <c r="C1054" s="176" t="str">
        <f t="shared" si="1"/>
        <v>#REF!</v>
      </c>
      <c r="D1054" s="176"/>
      <c r="E1054" s="176"/>
    </row>
    <row r="1055" ht="18.0" customHeight="1">
      <c r="A1055" s="182">
        <v>892.0</v>
      </c>
      <c r="B1055" s="174" t="s">
        <v>255</v>
      </c>
      <c r="C1055" s="176" t="str">
        <f>IMAGE("https://limitlesstcg.s3.us-east-2.amazonaws.com/pokemon/gen9/urshifu.png")</f>
        <v>#REF!</v>
      </c>
      <c r="D1055" s="176"/>
      <c r="E1055" s="176"/>
    </row>
    <row r="1056">
      <c r="A1056" s="182" t="s">
        <v>2407</v>
      </c>
      <c r="B1056" s="174" t="s">
        <v>257</v>
      </c>
      <c r="C1056" s="176" t="str">
        <f>IMAGE("https://limitlesstcg.s3.us-east-2.amazonaws.com/pokemon/gen9/urshifu-rapid-strike.png")</f>
        <v>#REF!</v>
      </c>
      <c r="D1056" s="176"/>
      <c r="E1056" s="176"/>
    </row>
    <row r="1057">
      <c r="A1057" s="182">
        <v>893.0</v>
      </c>
      <c r="B1057" s="174" t="s">
        <v>2408</v>
      </c>
      <c r="C1057" s="176" t="str">
        <f t="shared" ref="C1057:C1203" si="2">IMAGE("https://serebii.net/pokedex-sv/icon/"&amp;A1057&amp;".png")</f>
        <v>#REF!</v>
      </c>
      <c r="D1057" s="176"/>
      <c r="E1057" s="176"/>
    </row>
    <row r="1058">
      <c r="A1058" s="182">
        <v>894.0</v>
      </c>
      <c r="B1058" s="174" t="s">
        <v>2409</v>
      </c>
      <c r="C1058" s="176" t="str">
        <f t="shared" si="2"/>
        <v>#REF!</v>
      </c>
      <c r="D1058" s="176"/>
      <c r="E1058" s="176"/>
    </row>
    <row r="1059">
      <c r="A1059" s="182">
        <v>895.0</v>
      </c>
      <c r="B1059" s="174" t="s">
        <v>2410</v>
      </c>
      <c r="C1059" s="176" t="str">
        <f t="shared" si="2"/>
        <v>#REF!</v>
      </c>
      <c r="D1059" s="176"/>
      <c r="E1059" s="176"/>
    </row>
    <row r="1060">
      <c r="A1060" s="182">
        <v>896.0</v>
      </c>
      <c r="B1060" s="174" t="s">
        <v>2411</v>
      </c>
      <c r="C1060" s="176" t="str">
        <f t="shared" si="2"/>
        <v>#REF!</v>
      </c>
      <c r="D1060" s="176"/>
      <c r="E1060" s="176"/>
    </row>
    <row r="1061">
      <c r="A1061" s="182">
        <v>897.0</v>
      </c>
      <c r="B1061" s="174" t="s">
        <v>2412</v>
      </c>
      <c r="C1061" s="176" t="str">
        <f t="shared" si="2"/>
        <v>#REF!</v>
      </c>
      <c r="D1061" s="176"/>
      <c r="E1061" s="176"/>
    </row>
    <row r="1062">
      <c r="A1062" s="182">
        <v>898.0</v>
      </c>
      <c r="B1062" s="174" t="s">
        <v>2413</v>
      </c>
      <c r="C1062" s="176" t="str">
        <f t="shared" si="2"/>
        <v>#REF!</v>
      </c>
      <c r="D1062" s="176"/>
      <c r="E1062" s="176"/>
    </row>
    <row r="1063">
      <c r="A1063" s="182" t="s">
        <v>2414</v>
      </c>
      <c r="B1063" s="174" t="s">
        <v>2415</v>
      </c>
      <c r="C1063" s="176" t="str">
        <f t="shared" si="2"/>
        <v>#REF!</v>
      </c>
      <c r="D1063" s="176"/>
      <c r="E1063" s="176"/>
    </row>
    <row r="1064">
      <c r="A1064" s="182" t="s">
        <v>2416</v>
      </c>
      <c r="B1064" s="174" t="s">
        <v>2417</v>
      </c>
      <c r="C1064" s="176" t="str">
        <f t="shared" si="2"/>
        <v>#REF!</v>
      </c>
      <c r="D1064" s="176"/>
      <c r="E1064" s="176"/>
    </row>
    <row r="1065">
      <c r="A1065" s="187">
        <v>899.0</v>
      </c>
      <c r="B1065" s="174" t="s">
        <v>2418</v>
      </c>
      <c r="C1065" s="176" t="str">
        <f t="shared" si="2"/>
        <v>#REF!</v>
      </c>
      <c r="D1065" s="176"/>
      <c r="E1065" s="176"/>
    </row>
    <row r="1066">
      <c r="A1066" s="187">
        <v>900.0</v>
      </c>
      <c r="B1066" s="174" t="s">
        <v>2419</v>
      </c>
      <c r="C1066" s="176" t="str">
        <f t="shared" si="2"/>
        <v>#REF!</v>
      </c>
      <c r="D1066" s="176"/>
      <c r="E1066" s="176"/>
    </row>
    <row r="1067">
      <c r="A1067" s="187">
        <v>901.0</v>
      </c>
      <c r="B1067" s="174" t="s">
        <v>385</v>
      </c>
      <c r="C1067" s="176" t="str">
        <f t="shared" si="2"/>
        <v>#REF!</v>
      </c>
      <c r="D1067" s="176"/>
      <c r="E1067" s="176"/>
    </row>
    <row r="1068">
      <c r="A1068" s="187" t="s">
        <v>2420</v>
      </c>
      <c r="B1068" s="174" t="s">
        <v>384</v>
      </c>
      <c r="C1068" s="176" t="str">
        <f t="shared" si="2"/>
        <v>#REF!</v>
      </c>
      <c r="D1068" s="176"/>
      <c r="E1068" s="176"/>
      <c r="F1068" s="176"/>
      <c r="G1068" s="176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  <c r="Z1068" s="176"/>
    </row>
    <row r="1069">
      <c r="A1069" s="187">
        <v>902.0</v>
      </c>
      <c r="B1069" s="174" t="s">
        <v>308</v>
      </c>
      <c r="C1069" s="176" t="str">
        <f t="shared" si="2"/>
        <v>#REF!</v>
      </c>
      <c r="D1069" s="176"/>
      <c r="E1069" s="176"/>
    </row>
    <row r="1070">
      <c r="A1070" s="187" t="s">
        <v>2421</v>
      </c>
      <c r="B1070" s="174" t="s">
        <v>2422</v>
      </c>
      <c r="C1070" s="176" t="str">
        <f t="shared" si="2"/>
        <v>#REF!</v>
      </c>
      <c r="D1070" s="176"/>
      <c r="E1070" s="176"/>
    </row>
    <row r="1071">
      <c r="A1071" s="187">
        <v>903.0</v>
      </c>
      <c r="B1071" s="174" t="s">
        <v>2423</v>
      </c>
      <c r="C1071" s="176" t="str">
        <f t="shared" si="2"/>
        <v>#REF!</v>
      </c>
      <c r="D1071" s="176"/>
      <c r="E1071" s="176"/>
    </row>
    <row r="1072">
      <c r="A1072" s="187">
        <v>904.0</v>
      </c>
      <c r="B1072" s="174" t="s">
        <v>2424</v>
      </c>
      <c r="C1072" s="176" t="str">
        <f t="shared" si="2"/>
        <v>#REF!</v>
      </c>
      <c r="D1072" s="176"/>
      <c r="E1072" s="176"/>
    </row>
    <row r="1073">
      <c r="A1073" s="187">
        <v>905.0</v>
      </c>
      <c r="B1073" s="174" t="s">
        <v>251</v>
      </c>
      <c r="C1073" s="176" t="str">
        <f t="shared" si="2"/>
        <v>#REF!</v>
      </c>
      <c r="D1073" s="176"/>
      <c r="E1073" s="176"/>
    </row>
    <row r="1074">
      <c r="A1074" s="187" t="s">
        <v>2425</v>
      </c>
      <c r="B1074" s="174" t="s">
        <v>253</v>
      </c>
      <c r="C1074" s="176" t="str">
        <f t="shared" si="2"/>
        <v>#REF!</v>
      </c>
      <c r="D1074" s="176"/>
      <c r="E1074" s="176"/>
    </row>
    <row r="1075">
      <c r="A1075" s="187">
        <v>906.0</v>
      </c>
      <c r="B1075" s="174" t="s">
        <v>2426</v>
      </c>
      <c r="C1075" s="176" t="str">
        <f t="shared" si="2"/>
        <v>#REF!</v>
      </c>
      <c r="D1075" s="176"/>
      <c r="E1075" s="176"/>
    </row>
    <row r="1076">
      <c r="A1076" s="187">
        <v>907.0</v>
      </c>
      <c r="B1076" s="174" t="s">
        <v>2427</v>
      </c>
      <c r="C1076" s="176" t="str">
        <f t="shared" si="2"/>
        <v>#REF!</v>
      </c>
      <c r="D1076" s="176"/>
      <c r="E1076" s="176"/>
    </row>
    <row r="1077">
      <c r="A1077" s="187">
        <v>908.0</v>
      </c>
      <c r="B1077" s="174" t="s">
        <v>2428</v>
      </c>
      <c r="C1077" s="176" t="str">
        <f t="shared" si="2"/>
        <v>#REF!</v>
      </c>
      <c r="D1077" s="176"/>
      <c r="E1077" s="176"/>
    </row>
    <row r="1078">
      <c r="A1078" s="187">
        <v>909.0</v>
      </c>
      <c r="B1078" s="174" t="s">
        <v>2429</v>
      </c>
      <c r="C1078" s="176" t="str">
        <f t="shared" si="2"/>
        <v>#REF!</v>
      </c>
      <c r="D1078" s="176"/>
      <c r="E1078" s="176"/>
    </row>
    <row r="1079">
      <c r="A1079" s="187">
        <v>910.0</v>
      </c>
      <c r="B1079" s="174" t="s">
        <v>2430</v>
      </c>
      <c r="C1079" s="176" t="str">
        <f t="shared" si="2"/>
        <v>#REF!</v>
      </c>
      <c r="D1079" s="176"/>
      <c r="E1079" s="176"/>
    </row>
    <row r="1080">
      <c r="A1080" s="187">
        <v>911.0</v>
      </c>
      <c r="B1080" s="174" t="s">
        <v>28</v>
      </c>
      <c r="C1080" s="176" t="str">
        <f t="shared" si="2"/>
        <v>#REF!</v>
      </c>
      <c r="D1080" s="176"/>
      <c r="E1080" s="176"/>
    </row>
    <row r="1081">
      <c r="A1081" s="187">
        <v>912.0</v>
      </c>
      <c r="B1081" s="174" t="s">
        <v>2431</v>
      </c>
      <c r="C1081" s="176" t="str">
        <f t="shared" si="2"/>
        <v>#REF!</v>
      </c>
      <c r="D1081" s="176"/>
      <c r="E1081" s="176"/>
    </row>
    <row r="1082">
      <c r="A1082" s="187">
        <v>913.0</v>
      </c>
      <c r="B1082" s="174" t="s">
        <v>2432</v>
      </c>
      <c r="C1082" s="176" t="str">
        <f t="shared" si="2"/>
        <v>#REF!</v>
      </c>
      <c r="D1082" s="176"/>
      <c r="E1082" s="176"/>
    </row>
    <row r="1083">
      <c r="A1083" s="187">
        <v>914.0</v>
      </c>
      <c r="B1083" s="174" t="s">
        <v>2433</v>
      </c>
      <c r="C1083" s="176" t="str">
        <f t="shared" si="2"/>
        <v>#REF!</v>
      </c>
      <c r="D1083" s="176"/>
      <c r="E1083" s="176"/>
    </row>
    <row r="1084">
      <c r="A1084" s="187">
        <v>915.0</v>
      </c>
      <c r="B1084" s="174" t="s">
        <v>2434</v>
      </c>
      <c r="C1084" s="176" t="str">
        <f t="shared" si="2"/>
        <v>#REF!</v>
      </c>
      <c r="D1084" s="176"/>
      <c r="E1084" s="176"/>
    </row>
    <row r="1085">
      <c r="A1085" s="187">
        <v>916.0</v>
      </c>
      <c r="B1085" s="174" t="s">
        <v>181</v>
      </c>
      <c r="C1085" s="176" t="str">
        <f t="shared" si="2"/>
        <v>#REF!</v>
      </c>
      <c r="D1085" s="176"/>
      <c r="E1085" s="176"/>
    </row>
    <row r="1086">
      <c r="A1086" s="187" t="s">
        <v>2435</v>
      </c>
      <c r="B1086" s="174" t="s">
        <v>184</v>
      </c>
      <c r="C1086" s="176" t="str">
        <f t="shared" si="2"/>
        <v>#REF!</v>
      </c>
      <c r="D1086" s="176"/>
      <c r="E1086" s="176"/>
    </row>
    <row r="1087">
      <c r="A1087" s="187">
        <v>917.0</v>
      </c>
      <c r="B1087" s="174" t="s">
        <v>2436</v>
      </c>
      <c r="C1087" s="176" t="str">
        <f t="shared" si="2"/>
        <v>#REF!</v>
      </c>
      <c r="D1087" s="176"/>
      <c r="E1087" s="176"/>
    </row>
    <row r="1088">
      <c r="A1088" s="187">
        <v>918.0</v>
      </c>
      <c r="B1088" s="174" t="s">
        <v>2437</v>
      </c>
      <c r="C1088" s="176" t="str">
        <f t="shared" si="2"/>
        <v>#REF!</v>
      </c>
      <c r="D1088" s="176"/>
      <c r="E1088" s="176"/>
    </row>
    <row r="1089">
      <c r="A1089" s="187">
        <v>919.0</v>
      </c>
      <c r="B1089" s="174" t="s">
        <v>2438</v>
      </c>
      <c r="C1089" s="176" t="str">
        <f t="shared" si="2"/>
        <v>#REF!</v>
      </c>
      <c r="D1089" s="176"/>
      <c r="E1089" s="176"/>
    </row>
    <row r="1090">
      <c r="A1090" s="187">
        <v>920.0</v>
      </c>
      <c r="B1090" s="174" t="s">
        <v>2439</v>
      </c>
      <c r="C1090" s="176" t="str">
        <f t="shared" si="2"/>
        <v>#REF!</v>
      </c>
      <c r="D1090" s="176"/>
      <c r="E1090" s="176"/>
    </row>
    <row r="1091">
      <c r="A1091" s="187">
        <v>921.0</v>
      </c>
      <c r="B1091" s="174" t="s">
        <v>2440</v>
      </c>
      <c r="C1091" s="176" t="str">
        <f t="shared" si="2"/>
        <v>#REF!</v>
      </c>
      <c r="D1091" s="176"/>
      <c r="E1091" s="176"/>
    </row>
    <row r="1092">
      <c r="A1092" s="187">
        <v>922.0</v>
      </c>
      <c r="B1092" s="174" t="s">
        <v>2441</v>
      </c>
      <c r="C1092" s="176" t="str">
        <f t="shared" si="2"/>
        <v>#REF!</v>
      </c>
      <c r="D1092" s="176"/>
      <c r="E1092" s="176"/>
    </row>
    <row r="1093">
      <c r="A1093" s="187">
        <v>923.0</v>
      </c>
      <c r="B1093" s="174" t="s">
        <v>2442</v>
      </c>
      <c r="C1093" s="176" t="str">
        <f t="shared" si="2"/>
        <v>#REF!</v>
      </c>
      <c r="D1093" s="176"/>
      <c r="E1093" s="176"/>
    </row>
    <row r="1094">
      <c r="A1094" s="187">
        <v>924.0</v>
      </c>
      <c r="B1094" s="174" t="s">
        <v>2443</v>
      </c>
      <c r="C1094" s="176" t="str">
        <f t="shared" si="2"/>
        <v>#REF!</v>
      </c>
      <c r="D1094" s="176"/>
      <c r="E1094" s="176"/>
    </row>
    <row r="1095">
      <c r="A1095" s="187">
        <v>925.0</v>
      </c>
      <c r="B1095" s="174" t="s">
        <v>140</v>
      </c>
      <c r="C1095" s="176" t="str">
        <f t="shared" si="2"/>
        <v>#REF!</v>
      </c>
      <c r="D1095" s="176"/>
      <c r="E1095" s="176"/>
    </row>
    <row r="1096">
      <c r="A1096" s="187">
        <v>926.0</v>
      </c>
      <c r="B1096" s="174" t="s">
        <v>2444</v>
      </c>
      <c r="C1096" s="176" t="str">
        <f t="shared" si="2"/>
        <v>#REF!</v>
      </c>
      <c r="D1096" s="176"/>
      <c r="E1096" s="176"/>
    </row>
    <row r="1097">
      <c r="A1097" s="187">
        <v>927.0</v>
      </c>
      <c r="B1097" s="174" t="s">
        <v>2445</v>
      </c>
      <c r="C1097" s="176" t="str">
        <f t="shared" si="2"/>
        <v>#REF!</v>
      </c>
      <c r="D1097" s="176"/>
      <c r="E1097" s="176"/>
    </row>
    <row r="1098">
      <c r="A1098" s="187">
        <v>928.0</v>
      </c>
      <c r="B1098" s="174" t="s">
        <v>2446</v>
      </c>
      <c r="C1098" s="176" t="str">
        <f t="shared" si="2"/>
        <v>#REF!</v>
      </c>
      <c r="D1098" s="176"/>
      <c r="E1098" s="176"/>
    </row>
    <row r="1099">
      <c r="A1099" s="187">
        <v>929.0</v>
      </c>
      <c r="B1099" s="174" t="s">
        <v>2447</v>
      </c>
      <c r="C1099" s="176" t="str">
        <f t="shared" si="2"/>
        <v>#REF!</v>
      </c>
      <c r="D1099" s="176"/>
      <c r="E1099" s="176"/>
    </row>
    <row r="1100">
      <c r="A1100" s="187">
        <v>930.0</v>
      </c>
      <c r="B1100" s="174" t="s">
        <v>2448</v>
      </c>
      <c r="C1100" s="176" t="str">
        <f t="shared" si="2"/>
        <v>#REF!</v>
      </c>
      <c r="D1100" s="176"/>
      <c r="E1100" s="176"/>
    </row>
    <row r="1101">
      <c r="A1101" s="187">
        <v>931.0</v>
      </c>
      <c r="B1101" s="174" t="s">
        <v>196</v>
      </c>
      <c r="C1101" s="176" t="str">
        <f t="shared" si="2"/>
        <v>#REF!</v>
      </c>
      <c r="D1101" s="176"/>
      <c r="E1101" s="176"/>
    </row>
    <row r="1102">
      <c r="A1102" s="187">
        <v>932.0</v>
      </c>
      <c r="B1102" s="174" t="s">
        <v>2449</v>
      </c>
      <c r="C1102" s="176" t="str">
        <f t="shared" si="2"/>
        <v>#REF!</v>
      </c>
      <c r="D1102" s="176"/>
      <c r="E1102" s="176"/>
    </row>
    <row r="1103">
      <c r="A1103" s="187">
        <v>933.0</v>
      </c>
      <c r="B1103" s="174" t="s">
        <v>2450</v>
      </c>
      <c r="C1103" s="176" t="str">
        <f t="shared" si="2"/>
        <v>#REF!</v>
      </c>
      <c r="D1103" s="176"/>
      <c r="E1103" s="176"/>
    </row>
    <row r="1104">
      <c r="A1104" s="187">
        <v>934.0</v>
      </c>
      <c r="B1104" s="174" t="s">
        <v>2451</v>
      </c>
      <c r="C1104" s="176" t="str">
        <f t="shared" si="2"/>
        <v>#REF!</v>
      </c>
      <c r="D1104" s="176"/>
      <c r="E1104" s="176"/>
    </row>
    <row r="1105">
      <c r="A1105" s="187">
        <v>934.0</v>
      </c>
      <c r="B1105" s="174" t="s">
        <v>2451</v>
      </c>
      <c r="C1105" s="176" t="str">
        <f t="shared" si="2"/>
        <v>#REF!</v>
      </c>
      <c r="D1105" s="176"/>
      <c r="E1105" s="176"/>
    </row>
    <row r="1106">
      <c r="A1106" s="187">
        <v>935.0</v>
      </c>
      <c r="B1106" s="174" t="s">
        <v>2452</v>
      </c>
      <c r="C1106" s="176" t="str">
        <f t="shared" si="2"/>
        <v>#REF!</v>
      </c>
      <c r="D1106" s="176"/>
      <c r="E1106" s="176"/>
    </row>
    <row r="1107">
      <c r="A1107" s="187">
        <v>936.0</v>
      </c>
      <c r="B1107" s="174" t="s">
        <v>2453</v>
      </c>
      <c r="C1107" s="176" t="str">
        <f t="shared" si="2"/>
        <v>#REF!</v>
      </c>
      <c r="D1107" s="176"/>
      <c r="E1107" s="176"/>
    </row>
    <row r="1108">
      <c r="A1108" s="187">
        <v>937.0</v>
      </c>
      <c r="B1108" s="174" t="s">
        <v>2454</v>
      </c>
      <c r="C1108" s="176" t="str">
        <f t="shared" si="2"/>
        <v>#REF!</v>
      </c>
      <c r="D1108" s="176"/>
      <c r="E1108" s="176"/>
    </row>
    <row r="1109">
      <c r="A1109" s="187">
        <v>938.0</v>
      </c>
      <c r="B1109" s="174" t="s">
        <v>2455</v>
      </c>
      <c r="C1109" s="176" t="str">
        <f t="shared" si="2"/>
        <v>#REF!</v>
      </c>
      <c r="D1109" s="176"/>
      <c r="E1109" s="176"/>
    </row>
    <row r="1110">
      <c r="A1110" s="187">
        <v>939.0</v>
      </c>
      <c r="B1110" s="174" t="s">
        <v>2456</v>
      </c>
      <c r="C1110" s="176" t="str">
        <f t="shared" si="2"/>
        <v>#REF!</v>
      </c>
      <c r="D1110" s="176"/>
      <c r="E1110" s="176"/>
    </row>
    <row r="1111">
      <c r="A1111" s="187">
        <v>940.0</v>
      </c>
      <c r="B1111" s="174" t="s">
        <v>2457</v>
      </c>
      <c r="C1111" s="176" t="str">
        <f t="shared" si="2"/>
        <v>#REF!</v>
      </c>
      <c r="D1111" s="176"/>
      <c r="E1111" s="176"/>
    </row>
    <row r="1112">
      <c r="A1112" s="187">
        <v>941.0</v>
      </c>
      <c r="B1112" s="174" t="s">
        <v>2458</v>
      </c>
      <c r="C1112" s="176" t="str">
        <f t="shared" si="2"/>
        <v>#REF!</v>
      </c>
      <c r="D1112" s="176"/>
      <c r="E1112" s="176"/>
    </row>
    <row r="1113">
      <c r="A1113" s="187">
        <v>942.0</v>
      </c>
      <c r="B1113" s="174" t="s">
        <v>2459</v>
      </c>
      <c r="C1113" s="176" t="str">
        <f t="shared" si="2"/>
        <v>#REF!</v>
      </c>
      <c r="D1113" s="176"/>
      <c r="E1113" s="176"/>
    </row>
    <row r="1114">
      <c r="A1114" s="187">
        <v>943.0</v>
      </c>
      <c r="B1114" s="174" t="s">
        <v>2460</v>
      </c>
      <c r="C1114" s="176" t="str">
        <f t="shared" si="2"/>
        <v>#REF!</v>
      </c>
      <c r="D1114" s="176"/>
      <c r="E1114" s="176"/>
    </row>
    <row r="1115">
      <c r="A1115" s="187">
        <v>944.0</v>
      </c>
      <c r="B1115" s="174" t="s">
        <v>2461</v>
      </c>
      <c r="C1115" s="176" t="str">
        <f t="shared" si="2"/>
        <v>#REF!</v>
      </c>
      <c r="D1115" s="176"/>
      <c r="E1115" s="176"/>
    </row>
    <row r="1116">
      <c r="A1116" s="187">
        <v>945.0</v>
      </c>
      <c r="B1116" s="174" t="s">
        <v>2462</v>
      </c>
      <c r="C1116" s="176" t="str">
        <f t="shared" si="2"/>
        <v>#REF!</v>
      </c>
      <c r="D1116" s="176"/>
      <c r="E1116" s="176"/>
    </row>
    <row r="1117">
      <c r="A1117" s="187">
        <v>946.0</v>
      </c>
      <c r="B1117" s="174" t="s">
        <v>2463</v>
      </c>
      <c r="C1117" s="176" t="str">
        <f t="shared" si="2"/>
        <v>#REF!</v>
      </c>
      <c r="D1117" s="176"/>
      <c r="E1117" s="176"/>
    </row>
    <row r="1118">
      <c r="A1118" s="187">
        <v>947.0</v>
      </c>
      <c r="B1118" s="174" t="s">
        <v>2464</v>
      </c>
      <c r="C1118" s="176" t="str">
        <f t="shared" si="2"/>
        <v>#REF!</v>
      </c>
      <c r="D1118" s="176"/>
      <c r="E1118" s="176"/>
    </row>
    <row r="1119">
      <c r="A1119" s="187">
        <v>948.0</v>
      </c>
      <c r="B1119" s="174" t="s">
        <v>2465</v>
      </c>
      <c r="C1119" s="176" t="str">
        <f t="shared" si="2"/>
        <v>#REF!</v>
      </c>
      <c r="D1119" s="176"/>
      <c r="E1119" s="176"/>
    </row>
    <row r="1120">
      <c r="A1120" s="187">
        <v>949.0</v>
      </c>
      <c r="B1120" s="174" t="s">
        <v>2466</v>
      </c>
      <c r="C1120" s="176" t="str">
        <f t="shared" si="2"/>
        <v>#REF!</v>
      </c>
      <c r="D1120" s="176"/>
      <c r="E1120" s="176"/>
    </row>
    <row r="1121">
      <c r="A1121" s="187">
        <v>950.0</v>
      </c>
      <c r="B1121" s="174" t="s">
        <v>2467</v>
      </c>
      <c r="C1121" s="176" t="str">
        <f t="shared" si="2"/>
        <v>#REF!</v>
      </c>
      <c r="D1121" s="176"/>
      <c r="E1121" s="176"/>
    </row>
    <row r="1122">
      <c r="A1122" s="187">
        <v>951.0</v>
      </c>
      <c r="B1122" s="174" t="s">
        <v>2468</v>
      </c>
      <c r="C1122" s="176" t="str">
        <f t="shared" si="2"/>
        <v>#REF!</v>
      </c>
      <c r="D1122" s="176"/>
      <c r="E1122" s="176"/>
    </row>
    <row r="1123">
      <c r="A1123" s="187">
        <v>952.0</v>
      </c>
      <c r="B1123" s="174" t="s">
        <v>2469</v>
      </c>
      <c r="C1123" s="176" t="str">
        <f t="shared" si="2"/>
        <v>#REF!</v>
      </c>
      <c r="D1123" s="176"/>
      <c r="E1123" s="176"/>
    </row>
    <row r="1124">
      <c r="A1124" s="187">
        <v>953.0</v>
      </c>
      <c r="B1124" s="174" t="s">
        <v>2470</v>
      </c>
      <c r="C1124" s="176" t="str">
        <f t="shared" si="2"/>
        <v>#REF!</v>
      </c>
      <c r="D1124" s="176"/>
      <c r="E1124" s="176"/>
    </row>
    <row r="1125">
      <c r="A1125" s="187">
        <v>954.0</v>
      </c>
      <c r="B1125" s="174" t="s">
        <v>2471</v>
      </c>
      <c r="C1125" s="176" t="str">
        <f t="shared" si="2"/>
        <v>#REF!</v>
      </c>
      <c r="D1125" s="176"/>
      <c r="E1125" s="176"/>
    </row>
    <row r="1126">
      <c r="A1126" s="187">
        <v>955.0</v>
      </c>
      <c r="B1126" s="174" t="s">
        <v>2472</v>
      </c>
      <c r="C1126" s="176" t="str">
        <f t="shared" si="2"/>
        <v>#REF!</v>
      </c>
      <c r="D1126" s="176"/>
      <c r="E1126" s="176"/>
    </row>
    <row r="1127">
      <c r="A1127" s="187">
        <v>956.0</v>
      </c>
      <c r="B1127" s="174" t="s">
        <v>2473</v>
      </c>
      <c r="C1127" s="176" t="str">
        <f t="shared" si="2"/>
        <v>#REF!</v>
      </c>
      <c r="D1127" s="176"/>
      <c r="E1127" s="176"/>
    </row>
    <row r="1128">
      <c r="A1128" s="187">
        <v>957.0</v>
      </c>
      <c r="B1128" s="174" t="s">
        <v>2474</v>
      </c>
      <c r="C1128" s="176" t="str">
        <f t="shared" si="2"/>
        <v>#REF!</v>
      </c>
      <c r="D1128" s="176"/>
      <c r="E1128" s="176"/>
    </row>
    <row r="1129">
      <c r="A1129" s="187">
        <v>958.0</v>
      </c>
      <c r="B1129" s="174" t="s">
        <v>2475</v>
      </c>
      <c r="C1129" s="176" t="str">
        <f t="shared" si="2"/>
        <v>#REF!</v>
      </c>
      <c r="D1129" s="176"/>
      <c r="E1129" s="176"/>
    </row>
    <row r="1130">
      <c r="A1130" s="187">
        <v>959.0</v>
      </c>
      <c r="B1130" s="174" t="s">
        <v>2476</v>
      </c>
      <c r="C1130" s="176" t="str">
        <f t="shared" si="2"/>
        <v>#REF!</v>
      </c>
      <c r="D1130" s="176"/>
      <c r="E1130" s="176"/>
    </row>
    <row r="1131">
      <c r="A1131" s="187">
        <v>960.0</v>
      </c>
      <c r="B1131" s="174" t="s">
        <v>2477</v>
      </c>
      <c r="C1131" s="176" t="str">
        <f t="shared" si="2"/>
        <v>#REF!</v>
      </c>
      <c r="D1131" s="176"/>
      <c r="E1131" s="176"/>
    </row>
    <row r="1132">
      <c r="A1132" s="187" t="s">
        <v>2478</v>
      </c>
      <c r="B1132" s="174" t="s">
        <v>195</v>
      </c>
      <c r="C1132" s="176" t="str">
        <f t="shared" si="2"/>
        <v>#REF!</v>
      </c>
      <c r="D1132" s="176"/>
      <c r="E1132" s="176"/>
    </row>
    <row r="1133">
      <c r="A1133" s="187" t="s">
        <v>2479</v>
      </c>
      <c r="B1133" s="174" t="s">
        <v>198</v>
      </c>
      <c r="C1133" s="176" t="str">
        <f t="shared" si="2"/>
        <v>#REF!</v>
      </c>
      <c r="D1133" s="176"/>
      <c r="E1133" s="176"/>
    </row>
    <row r="1134">
      <c r="A1134" s="187" t="s">
        <v>2480</v>
      </c>
      <c r="B1134" s="174" t="s">
        <v>200</v>
      </c>
      <c r="C1134" s="176" t="str">
        <f t="shared" si="2"/>
        <v>#REF!</v>
      </c>
      <c r="D1134" s="176"/>
      <c r="E1134" s="176"/>
    </row>
    <row r="1135">
      <c r="A1135" s="187">
        <v>961.0</v>
      </c>
      <c r="B1135" s="174" t="s">
        <v>2481</v>
      </c>
      <c r="C1135" s="176" t="str">
        <f t="shared" si="2"/>
        <v>#REF!</v>
      </c>
      <c r="D1135" s="176"/>
      <c r="E1135" s="176"/>
    </row>
    <row r="1136">
      <c r="A1136" s="187">
        <v>962.0</v>
      </c>
      <c r="B1136" s="174" t="s">
        <v>2482</v>
      </c>
      <c r="C1136" s="176" t="str">
        <f t="shared" si="2"/>
        <v>#REF!</v>
      </c>
      <c r="D1136" s="176"/>
      <c r="E1136" s="176"/>
    </row>
    <row r="1137">
      <c r="A1137" s="187">
        <v>963.0</v>
      </c>
      <c r="B1137" s="174" t="s">
        <v>2483</v>
      </c>
      <c r="C1137" s="176" t="str">
        <f t="shared" si="2"/>
        <v>#REF!</v>
      </c>
      <c r="D1137" s="176"/>
      <c r="E1137" s="176"/>
    </row>
    <row r="1138">
      <c r="A1138" s="187">
        <v>964.0</v>
      </c>
      <c r="B1138" s="174" t="s">
        <v>2484</v>
      </c>
      <c r="C1138" s="176" t="str">
        <f t="shared" si="2"/>
        <v>#REF!</v>
      </c>
      <c r="D1138" s="176"/>
      <c r="E1138" s="176"/>
    </row>
    <row r="1139">
      <c r="A1139" s="187">
        <v>965.0</v>
      </c>
      <c r="B1139" s="174" t="s">
        <v>2485</v>
      </c>
      <c r="C1139" s="176" t="str">
        <f t="shared" si="2"/>
        <v>#REF!</v>
      </c>
      <c r="D1139" s="176"/>
      <c r="E1139" s="176"/>
    </row>
    <row r="1140">
      <c r="A1140" s="187">
        <v>966.0</v>
      </c>
      <c r="B1140" s="174" t="s">
        <v>2486</v>
      </c>
      <c r="C1140" s="176" t="str">
        <f t="shared" si="2"/>
        <v>#REF!</v>
      </c>
      <c r="D1140" s="176"/>
      <c r="E1140" s="176"/>
    </row>
    <row r="1141">
      <c r="A1141" s="187">
        <v>967.0</v>
      </c>
      <c r="B1141" s="174" t="s">
        <v>2487</v>
      </c>
      <c r="C1141" s="176" t="str">
        <f t="shared" si="2"/>
        <v>#REF!</v>
      </c>
      <c r="D1141" s="176"/>
      <c r="E1141" s="176"/>
    </row>
    <row r="1142">
      <c r="A1142" s="187">
        <v>968.0</v>
      </c>
      <c r="B1142" s="174" t="s">
        <v>2488</v>
      </c>
      <c r="C1142" s="176" t="str">
        <f t="shared" si="2"/>
        <v>#REF!</v>
      </c>
      <c r="D1142" s="176"/>
      <c r="E1142" s="176"/>
    </row>
    <row r="1143">
      <c r="A1143" s="187">
        <v>969.0</v>
      </c>
      <c r="B1143" s="174" t="s">
        <v>2489</v>
      </c>
      <c r="C1143" s="176" t="str">
        <f t="shared" si="2"/>
        <v>#REF!</v>
      </c>
      <c r="D1143" s="176"/>
      <c r="E1143" s="176"/>
    </row>
    <row r="1144">
      <c r="A1144" s="187">
        <v>970.0</v>
      </c>
      <c r="B1144" s="174" t="s">
        <v>2490</v>
      </c>
      <c r="C1144" s="176" t="str">
        <f t="shared" si="2"/>
        <v>#REF!</v>
      </c>
      <c r="D1144" s="176"/>
      <c r="E1144" s="176"/>
    </row>
    <row r="1145">
      <c r="A1145" s="187">
        <v>971.0</v>
      </c>
      <c r="B1145" s="174" t="s">
        <v>2491</v>
      </c>
      <c r="C1145" s="176" t="str">
        <f t="shared" si="2"/>
        <v>#REF!</v>
      </c>
      <c r="D1145" s="176"/>
      <c r="E1145" s="176"/>
    </row>
    <row r="1146">
      <c r="A1146" s="187">
        <v>972.0</v>
      </c>
      <c r="B1146" s="174" t="s">
        <v>2492</v>
      </c>
      <c r="C1146" s="176" t="str">
        <f t="shared" si="2"/>
        <v>#REF!</v>
      </c>
      <c r="D1146" s="176"/>
      <c r="E1146" s="176"/>
    </row>
    <row r="1147">
      <c r="A1147" s="187">
        <v>973.0</v>
      </c>
      <c r="B1147" s="174" t="s">
        <v>2493</v>
      </c>
      <c r="C1147" s="176" t="str">
        <f t="shared" si="2"/>
        <v>#REF!</v>
      </c>
      <c r="D1147" s="176"/>
      <c r="E1147" s="176"/>
    </row>
    <row r="1148">
      <c r="A1148" s="187">
        <v>974.0</v>
      </c>
      <c r="B1148" s="174" t="s">
        <v>2494</v>
      </c>
      <c r="C1148" s="176" t="str">
        <f t="shared" si="2"/>
        <v>#REF!</v>
      </c>
      <c r="D1148" s="176"/>
      <c r="E1148" s="176"/>
    </row>
    <row r="1149">
      <c r="A1149" s="187">
        <v>975.0</v>
      </c>
      <c r="B1149" s="174" t="s">
        <v>2495</v>
      </c>
      <c r="C1149" s="176" t="str">
        <f t="shared" si="2"/>
        <v>#REF!</v>
      </c>
      <c r="D1149" s="176"/>
      <c r="E1149" s="176"/>
    </row>
    <row r="1150">
      <c r="A1150" s="187">
        <v>976.0</v>
      </c>
      <c r="B1150" s="174" t="s">
        <v>2496</v>
      </c>
      <c r="C1150" s="176" t="str">
        <f t="shared" si="2"/>
        <v>#REF!</v>
      </c>
      <c r="D1150" s="176"/>
      <c r="E1150" s="176"/>
    </row>
    <row r="1151">
      <c r="A1151" s="187" t="s">
        <v>2497</v>
      </c>
      <c r="B1151" s="174" t="s">
        <v>2498</v>
      </c>
      <c r="C1151" s="176" t="str">
        <f t="shared" si="2"/>
        <v>#REF!</v>
      </c>
      <c r="D1151" s="176"/>
      <c r="E1151" s="176"/>
    </row>
    <row r="1152">
      <c r="A1152" s="187">
        <v>977.0</v>
      </c>
      <c r="B1152" s="174" t="s">
        <v>2499</v>
      </c>
      <c r="C1152" s="176" t="str">
        <f t="shared" si="2"/>
        <v>#REF!</v>
      </c>
      <c r="D1152" s="176"/>
      <c r="E1152" s="176"/>
    </row>
    <row r="1153">
      <c r="A1153" s="187">
        <v>978.0</v>
      </c>
      <c r="B1153" s="174" t="s">
        <v>208</v>
      </c>
      <c r="C1153" s="176" t="str">
        <f t="shared" si="2"/>
        <v>#REF!</v>
      </c>
      <c r="D1153" s="176"/>
      <c r="E1153" s="176"/>
    </row>
    <row r="1154">
      <c r="A1154" s="187">
        <v>979.0</v>
      </c>
      <c r="B1154" s="174" t="s">
        <v>2500</v>
      </c>
      <c r="C1154" s="176" t="str">
        <f t="shared" si="2"/>
        <v>#REF!</v>
      </c>
      <c r="D1154" s="176"/>
      <c r="E1154" s="176"/>
    </row>
    <row r="1155">
      <c r="A1155" s="187">
        <v>980.0</v>
      </c>
      <c r="B1155" s="176" t="s">
        <v>2501</v>
      </c>
      <c r="C1155" s="176" t="str">
        <f t="shared" si="2"/>
        <v>#REF!</v>
      </c>
      <c r="D1155" s="176"/>
      <c r="E1155" s="176"/>
    </row>
    <row r="1156">
      <c r="A1156" s="187">
        <v>981.0</v>
      </c>
      <c r="B1156" s="174" t="s">
        <v>2502</v>
      </c>
      <c r="C1156" s="176" t="str">
        <f t="shared" si="2"/>
        <v>#REF!</v>
      </c>
      <c r="D1156" s="176"/>
      <c r="E1156" s="176"/>
    </row>
    <row r="1157">
      <c r="A1157" s="187">
        <v>982.0</v>
      </c>
      <c r="B1157" s="174" t="s">
        <v>2503</v>
      </c>
      <c r="C1157" s="176" t="str">
        <f t="shared" si="2"/>
        <v>#REF!</v>
      </c>
      <c r="D1157" s="176"/>
      <c r="E1157" s="176"/>
    </row>
    <row r="1158">
      <c r="A1158" s="187">
        <v>983.0</v>
      </c>
      <c r="B1158" s="174" t="s">
        <v>2504</v>
      </c>
      <c r="C1158" s="176" t="str">
        <f t="shared" si="2"/>
        <v>#REF!</v>
      </c>
      <c r="D1158" s="176"/>
      <c r="E1158" s="176"/>
    </row>
    <row r="1159">
      <c r="A1159" s="187">
        <v>984.0</v>
      </c>
      <c r="B1159" s="174" t="s">
        <v>2505</v>
      </c>
      <c r="C1159" s="176" t="str">
        <f t="shared" si="2"/>
        <v>#REF!</v>
      </c>
      <c r="D1159" s="176"/>
      <c r="E1159" s="176"/>
    </row>
    <row r="1160">
      <c r="A1160" s="187">
        <v>985.0</v>
      </c>
      <c r="B1160" s="174" t="s">
        <v>2506</v>
      </c>
      <c r="C1160" s="176" t="str">
        <f t="shared" si="2"/>
        <v>#REF!</v>
      </c>
      <c r="D1160" s="176"/>
      <c r="E1160" s="176"/>
    </row>
    <row r="1161">
      <c r="A1161" s="187">
        <v>986.0</v>
      </c>
      <c r="B1161" s="174" t="s">
        <v>2507</v>
      </c>
      <c r="C1161" s="176" t="str">
        <f t="shared" si="2"/>
        <v>#REF!</v>
      </c>
      <c r="D1161" s="176"/>
      <c r="E1161" s="176"/>
    </row>
    <row r="1162">
      <c r="A1162" s="187">
        <v>987.0</v>
      </c>
      <c r="B1162" s="176" t="s">
        <v>2508</v>
      </c>
      <c r="C1162" s="176" t="str">
        <f t="shared" si="2"/>
        <v>#REF!</v>
      </c>
      <c r="D1162" s="176"/>
      <c r="E1162" s="176"/>
    </row>
    <row r="1163">
      <c r="A1163" s="187">
        <v>988.0</v>
      </c>
      <c r="B1163" s="174" t="s">
        <v>2509</v>
      </c>
      <c r="C1163" s="176" t="str">
        <f t="shared" si="2"/>
        <v>#REF!</v>
      </c>
      <c r="D1163" s="176"/>
      <c r="E1163" s="176"/>
    </row>
    <row r="1164">
      <c r="A1164" s="187">
        <v>989.0</v>
      </c>
      <c r="B1164" s="174" t="s">
        <v>2510</v>
      </c>
      <c r="C1164" s="176" t="str">
        <f t="shared" si="2"/>
        <v>#REF!</v>
      </c>
      <c r="D1164" s="176"/>
      <c r="E1164" s="176"/>
    </row>
    <row r="1165">
      <c r="A1165" s="187">
        <v>990.0</v>
      </c>
      <c r="B1165" s="174" t="s">
        <v>2511</v>
      </c>
      <c r="C1165" s="176" t="str">
        <f t="shared" si="2"/>
        <v>#REF!</v>
      </c>
      <c r="D1165" s="176"/>
      <c r="E1165" s="176"/>
    </row>
    <row r="1166">
      <c r="A1166" s="187">
        <v>991.0</v>
      </c>
      <c r="B1166" s="174" t="s">
        <v>2512</v>
      </c>
      <c r="C1166" s="176" t="str">
        <f t="shared" si="2"/>
        <v>#REF!</v>
      </c>
      <c r="D1166" s="176"/>
      <c r="E1166" s="176"/>
    </row>
    <row r="1167">
      <c r="A1167" s="187">
        <v>992.0</v>
      </c>
      <c r="B1167" s="174" t="s">
        <v>2513</v>
      </c>
      <c r="C1167" s="176" t="str">
        <f t="shared" si="2"/>
        <v>#REF!</v>
      </c>
      <c r="D1167" s="176"/>
      <c r="E1167" s="176"/>
    </row>
    <row r="1168">
      <c r="A1168" s="187">
        <v>993.0</v>
      </c>
      <c r="B1168" s="174" t="s">
        <v>2514</v>
      </c>
      <c r="C1168" s="176" t="str">
        <f t="shared" si="2"/>
        <v>#REF!</v>
      </c>
      <c r="D1168" s="176"/>
      <c r="E1168" s="176"/>
    </row>
    <row r="1169">
      <c r="A1169" s="187">
        <v>994.0</v>
      </c>
      <c r="B1169" s="174" t="s">
        <v>2515</v>
      </c>
      <c r="C1169" s="176" t="str">
        <f t="shared" si="2"/>
        <v>#REF!</v>
      </c>
      <c r="D1169" s="176"/>
      <c r="E1169" s="176"/>
    </row>
    <row r="1170">
      <c r="A1170" s="187">
        <v>995.0</v>
      </c>
      <c r="B1170" s="174" t="s">
        <v>2516</v>
      </c>
      <c r="C1170" s="176" t="str">
        <f t="shared" si="2"/>
        <v>#REF!</v>
      </c>
      <c r="D1170" s="176"/>
      <c r="E1170" s="176"/>
    </row>
    <row r="1171">
      <c r="A1171" s="187">
        <v>996.0</v>
      </c>
      <c r="B1171" s="174" t="s">
        <v>2517</v>
      </c>
      <c r="C1171" s="176" t="str">
        <f t="shared" si="2"/>
        <v>#REF!</v>
      </c>
      <c r="D1171" s="176"/>
      <c r="E1171" s="176"/>
    </row>
    <row r="1172">
      <c r="A1172" s="187">
        <v>997.0</v>
      </c>
      <c r="B1172" s="174" t="s">
        <v>2518</v>
      </c>
      <c r="C1172" s="176" t="str">
        <f t="shared" si="2"/>
        <v>#REF!</v>
      </c>
      <c r="D1172" s="176"/>
      <c r="E1172" s="176"/>
    </row>
    <row r="1173">
      <c r="A1173" s="187">
        <v>998.0</v>
      </c>
      <c r="B1173" s="174" t="s">
        <v>2519</v>
      </c>
      <c r="C1173" s="176" t="str">
        <f t="shared" si="2"/>
        <v>#REF!</v>
      </c>
      <c r="D1173" s="176"/>
      <c r="E1173" s="176"/>
    </row>
    <row r="1174">
      <c r="A1174" s="187">
        <v>999.0</v>
      </c>
      <c r="B1174" s="174" t="s">
        <v>212</v>
      </c>
      <c r="C1174" s="176" t="str">
        <f t="shared" si="2"/>
        <v>#REF!</v>
      </c>
      <c r="D1174" s="176"/>
      <c r="E1174" s="176"/>
    </row>
    <row r="1175">
      <c r="A1175" s="187">
        <v>1000.0</v>
      </c>
      <c r="B1175" s="174" t="s">
        <v>34</v>
      </c>
      <c r="C1175" s="176" t="str">
        <f t="shared" si="2"/>
        <v>#REF!</v>
      </c>
      <c r="D1175" s="176"/>
      <c r="E1175" s="176"/>
    </row>
    <row r="1176">
      <c r="A1176" s="187">
        <v>1001.0</v>
      </c>
      <c r="B1176" s="174" t="s">
        <v>2520</v>
      </c>
      <c r="C1176" s="176" t="str">
        <f t="shared" si="2"/>
        <v>#REF!</v>
      </c>
      <c r="D1176" s="176"/>
      <c r="E1176" s="176"/>
    </row>
    <row r="1177">
      <c r="A1177" s="187">
        <v>1002.0</v>
      </c>
      <c r="B1177" s="174" t="s">
        <v>2521</v>
      </c>
      <c r="C1177" s="176" t="str">
        <f t="shared" si="2"/>
        <v>#REF!</v>
      </c>
      <c r="D1177" s="176"/>
      <c r="E1177" s="176"/>
    </row>
    <row r="1178">
      <c r="A1178" s="187">
        <v>1003.0</v>
      </c>
      <c r="B1178" s="174" t="s">
        <v>2522</v>
      </c>
      <c r="C1178" s="176" t="str">
        <f t="shared" si="2"/>
        <v>#REF!</v>
      </c>
      <c r="D1178" s="176"/>
      <c r="E1178" s="176"/>
    </row>
    <row r="1179">
      <c r="A1179" s="187">
        <v>1004.0</v>
      </c>
      <c r="B1179" s="174" t="s">
        <v>2523</v>
      </c>
      <c r="C1179" s="176" t="str">
        <f t="shared" si="2"/>
        <v>#REF!</v>
      </c>
      <c r="D1179" s="176"/>
      <c r="E1179" s="176"/>
    </row>
    <row r="1180">
      <c r="A1180" s="187">
        <v>1005.0</v>
      </c>
      <c r="B1180" s="174" t="s">
        <v>2524</v>
      </c>
      <c r="C1180" s="176" t="str">
        <f t="shared" si="2"/>
        <v>#REF!</v>
      </c>
      <c r="D1180" s="176"/>
      <c r="E1180" s="176"/>
    </row>
    <row r="1181">
      <c r="A1181" s="187">
        <v>1006.0</v>
      </c>
      <c r="B1181" s="174" t="s">
        <v>2525</v>
      </c>
      <c r="C1181" s="176" t="str">
        <f t="shared" si="2"/>
        <v>#REF!</v>
      </c>
      <c r="D1181" s="176"/>
      <c r="E1181" s="176"/>
    </row>
    <row r="1182">
      <c r="A1182" s="187">
        <v>1007.0</v>
      </c>
      <c r="B1182" s="174" t="s">
        <v>2526</v>
      </c>
      <c r="C1182" s="176" t="str">
        <f t="shared" si="2"/>
        <v>#REF!</v>
      </c>
      <c r="D1182" s="176"/>
      <c r="E1182" s="176"/>
    </row>
    <row r="1183">
      <c r="A1183" s="187">
        <v>1008.0</v>
      </c>
      <c r="B1183" s="174" t="s">
        <v>2527</v>
      </c>
      <c r="C1183" s="176" t="str">
        <f t="shared" si="2"/>
        <v>#REF!</v>
      </c>
      <c r="D1183" s="176"/>
      <c r="E1183" s="176"/>
    </row>
    <row r="1184">
      <c r="A1184" s="187">
        <v>1009.0</v>
      </c>
      <c r="B1184" s="175" t="s">
        <v>2528</v>
      </c>
      <c r="C1184" s="176" t="str">
        <f t="shared" si="2"/>
        <v>#REF!</v>
      </c>
      <c r="D1184" s="176"/>
      <c r="E1184" s="176"/>
    </row>
    <row r="1185">
      <c r="A1185" s="187">
        <v>1010.0</v>
      </c>
      <c r="B1185" s="175" t="s">
        <v>2529</v>
      </c>
      <c r="C1185" s="176" t="str">
        <f t="shared" si="2"/>
        <v>#REF!</v>
      </c>
      <c r="D1185" s="176"/>
      <c r="E1185" s="176"/>
    </row>
    <row r="1186">
      <c r="A1186" s="188">
        <v>1011.0</v>
      </c>
      <c r="B1186" s="179" t="s">
        <v>2530</v>
      </c>
      <c r="C1186" s="176" t="str">
        <f t="shared" si="2"/>
        <v>#REF!</v>
      </c>
      <c r="D1186" s="176"/>
      <c r="E1186" s="176"/>
    </row>
    <row r="1187">
      <c r="A1187" s="187">
        <v>1012.0</v>
      </c>
      <c r="B1187" s="189" t="s">
        <v>389</v>
      </c>
      <c r="C1187" s="176" t="str">
        <f t="shared" si="2"/>
        <v>#REF!</v>
      </c>
      <c r="D1187" s="176"/>
      <c r="E1187" s="176"/>
    </row>
    <row r="1188">
      <c r="A1188" s="187">
        <v>1013.0</v>
      </c>
      <c r="B1188" s="189" t="s">
        <v>387</v>
      </c>
      <c r="C1188" s="176" t="str">
        <f t="shared" si="2"/>
        <v>#REF!</v>
      </c>
      <c r="D1188" s="176"/>
      <c r="E1188" s="176"/>
    </row>
    <row r="1189">
      <c r="A1189" s="187">
        <v>1014.0</v>
      </c>
      <c r="B1189" s="190" t="s">
        <v>2531</v>
      </c>
      <c r="C1189" s="176" t="str">
        <f t="shared" si="2"/>
        <v>#REF!</v>
      </c>
      <c r="D1189" s="176"/>
      <c r="E1189" s="176"/>
    </row>
    <row r="1190">
      <c r="A1190" s="187">
        <v>1015.0</v>
      </c>
      <c r="B1190" s="175" t="s">
        <v>2532</v>
      </c>
      <c r="C1190" s="176" t="str">
        <f t="shared" si="2"/>
        <v>#REF!</v>
      </c>
      <c r="D1190" s="176"/>
      <c r="E1190" s="176"/>
    </row>
    <row r="1191">
      <c r="A1191" s="187">
        <v>1016.0</v>
      </c>
      <c r="B1191" s="190" t="s">
        <v>2533</v>
      </c>
      <c r="C1191" s="176" t="str">
        <f t="shared" si="2"/>
        <v>#REF!</v>
      </c>
      <c r="D1191" s="176"/>
      <c r="E1191" s="176"/>
    </row>
    <row r="1192">
      <c r="A1192" s="187">
        <v>1017.0</v>
      </c>
      <c r="B1192" s="190" t="s">
        <v>378</v>
      </c>
      <c r="C1192" s="176" t="str">
        <f t="shared" si="2"/>
        <v>#REF!</v>
      </c>
      <c r="D1192" s="176"/>
      <c r="E1192" s="176"/>
    </row>
    <row r="1193">
      <c r="A1193" s="187" t="s">
        <v>2534</v>
      </c>
      <c r="B1193" s="190" t="s">
        <v>377</v>
      </c>
      <c r="C1193" s="176" t="str">
        <f t="shared" si="2"/>
        <v>#REF!</v>
      </c>
      <c r="D1193" s="176"/>
      <c r="E1193" s="176"/>
    </row>
    <row r="1194">
      <c r="A1194" s="187" t="s">
        <v>2535</v>
      </c>
      <c r="B1194" s="190" t="s">
        <v>380</v>
      </c>
      <c r="C1194" s="176" t="str">
        <f t="shared" si="2"/>
        <v>#REF!</v>
      </c>
      <c r="D1194" s="176"/>
      <c r="E1194" s="176"/>
    </row>
    <row r="1195">
      <c r="A1195" s="187" t="s">
        <v>2536</v>
      </c>
      <c r="B1195" s="175" t="s">
        <v>382</v>
      </c>
      <c r="C1195" s="176" t="str">
        <f t="shared" si="2"/>
        <v>#REF!</v>
      </c>
      <c r="D1195" s="176"/>
      <c r="E1195" s="176"/>
    </row>
    <row r="1196">
      <c r="A1196" s="187">
        <v>1018.0</v>
      </c>
      <c r="B1196" s="175" t="s">
        <v>2537</v>
      </c>
      <c r="C1196" s="176" t="str">
        <f t="shared" si="2"/>
        <v>#REF!</v>
      </c>
      <c r="D1196" s="176"/>
      <c r="E1196" s="176"/>
    </row>
    <row r="1197">
      <c r="A1197" s="187">
        <v>1019.0</v>
      </c>
      <c r="B1197" s="175" t="s">
        <v>2538</v>
      </c>
      <c r="C1197" s="176" t="str">
        <f t="shared" si="2"/>
        <v>#REF!</v>
      </c>
      <c r="D1197" s="176"/>
      <c r="E1197" s="176"/>
    </row>
    <row r="1198">
      <c r="A1198" s="187">
        <v>1020.0</v>
      </c>
      <c r="B1198" s="175" t="s">
        <v>2539</v>
      </c>
      <c r="C1198" s="176" t="str">
        <f t="shared" si="2"/>
        <v>#REF!</v>
      </c>
      <c r="D1198" s="176"/>
      <c r="E1198" s="176"/>
    </row>
    <row r="1199">
      <c r="A1199" s="187">
        <v>1021.0</v>
      </c>
      <c r="B1199" s="175" t="s">
        <v>2540</v>
      </c>
      <c r="C1199" s="176" t="str">
        <f t="shared" si="2"/>
        <v>#REF!</v>
      </c>
      <c r="D1199" s="176"/>
      <c r="E1199" s="176"/>
    </row>
    <row r="1200">
      <c r="A1200" s="187">
        <v>1022.0</v>
      </c>
      <c r="B1200" s="175" t="s">
        <v>2541</v>
      </c>
      <c r="C1200" s="176" t="str">
        <f t="shared" si="2"/>
        <v>#REF!</v>
      </c>
      <c r="D1200" s="176"/>
      <c r="E1200" s="176"/>
    </row>
    <row r="1201">
      <c r="A1201" s="187">
        <v>1023.0</v>
      </c>
      <c r="B1201" s="175" t="s">
        <v>2542</v>
      </c>
      <c r="C1201" s="176" t="str">
        <f t="shared" si="2"/>
        <v>#REF!</v>
      </c>
      <c r="D1201" s="176"/>
      <c r="E1201" s="176"/>
    </row>
    <row r="1202">
      <c r="A1202" s="187">
        <v>1024.0</v>
      </c>
      <c r="B1202" s="175" t="s">
        <v>2543</v>
      </c>
      <c r="C1202" s="176" t="str">
        <f t="shared" si="2"/>
        <v>#REF!</v>
      </c>
      <c r="D1202" s="176"/>
      <c r="E1202" s="176"/>
    </row>
    <row r="1203">
      <c r="A1203" s="187">
        <v>1025.0</v>
      </c>
      <c r="B1203" s="175" t="s">
        <v>2544</v>
      </c>
      <c r="C1203" s="176" t="str">
        <f t="shared" si="2"/>
        <v>#REF!</v>
      </c>
      <c r="D1203" s="176"/>
      <c r="E1203" s="176"/>
    </row>
  </sheetData>
  <mergeCells count="1">
    <mergeCell ref="D1:E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.13"/>
    <col customWidth="1" min="3" max="3" width="6.13"/>
    <col customWidth="1" min="4" max="4" width="5.38"/>
    <col customWidth="1" min="5" max="5" width="2.63"/>
    <col customWidth="1" min="6" max="6" width="1.63"/>
    <col customWidth="1" min="7" max="7" width="2.63"/>
    <col customWidth="1" min="8" max="8" width="6.63"/>
    <col customWidth="1" min="9" max="9" width="6.88"/>
    <col customWidth="1" min="10" max="10" width="1.13"/>
    <col customWidth="1" min="11" max="12" width="1.38"/>
    <col customWidth="1" min="13" max="13" width="6.13"/>
    <col customWidth="1" min="14" max="14" width="5.38"/>
    <col customWidth="1" min="15" max="15" width="2.88"/>
    <col customWidth="1" min="16" max="16" width="1.63"/>
    <col customWidth="1" min="17" max="17" width="2.88"/>
    <col customWidth="1" min="18" max="18" width="6.63"/>
    <col customWidth="1" min="19" max="19" width="6.88"/>
    <col customWidth="1" min="20" max="20" width="1.13"/>
    <col customWidth="1" min="21" max="21" width="1.5"/>
  </cols>
  <sheetData>
    <row r="1" ht="8.25" customHeight="1"/>
    <row r="2" ht="8.25" customHeight="1"/>
    <row r="3" ht="6.0" customHeight="1">
      <c r="B3" s="191"/>
      <c r="C3" s="191"/>
      <c r="D3" s="191"/>
      <c r="E3" s="191"/>
      <c r="F3" s="191"/>
      <c r="G3" s="191"/>
      <c r="H3" s="191"/>
      <c r="I3" s="191"/>
      <c r="J3" s="191"/>
      <c r="L3" s="192"/>
      <c r="M3" s="192"/>
      <c r="N3" s="192"/>
      <c r="O3" s="192"/>
      <c r="P3" s="192"/>
      <c r="Q3" s="192"/>
      <c r="R3" s="192"/>
      <c r="S3" s="192"/>
      <c r="T3" s="192"/>
    </row>
    <row r="4">
      <c r="B4" s="191"/>
      <c r="C4" s="193" t="s">
        <v>2545</v>
      </c>
      <c r="J4" s="191"/>
      <c r="L4" s="192"/>
      <c r="M4" s="194" t="s">
        <v>2546</v>
      </c>
      <c r="T4" s="192"/>
    </row>
    <row r="5" ht="36.0" customHeight="1">
      <c r="B5" s="191"/>
      <c r="C5" s="146" t="str">
        <f>VLOOKUP(IFERROR(VLOOKUP(OpponentData!H2, FormFixes, 2, false), OpponentData!H2), PokemonIcons, 2, False)</f>
        <v>#REF!</v>
      </c>
      <c r="D5" s="195" t="str">
        <f>IF(OpponentData!I2 = "", "", "beat")</f>
        <v>beat</v>
      </c>
      <c r="E5" s="196">
        <f>IF(OpponentData!I2 = 0, "", OpponentData!J2)</f>
        <v>0</v>
      </c>
      <c r="F5" s="195" t="str">
        <f>IF(OpponentData!I2 = 0, "", "of")</f>
        <v>of</v>
      </c>
      <c r="G5" s="197">
        <f>IF(OpponentData!I2 = 0, "", OpponentData!I2)</f>
        <v>2</v>
      </c>
      <c r="H5" s="195" t="s">
        <v>2547</v>
      </c>
      <c r="I5" s="195" t="str">
        <f>IF(OpponentData!K2 = "", "", ("("&amp;LEFT(OpponentData!K2, 3)&amp;"%)"))</f>
        <v>(0%)</v>
      </c>
      <c r="J5" s="191"/>
      <c r="L5" s="192"/>
      <c r="M5" s="198" t="str">
        <f>VLOOKUP(IFERROR(VLOOKUP(OpponentData!M2, FormFixes, 2, false), OpponentData!M2), PokemonIcons, 2, False)</f>
        <v>#REF!</v>
      </c>
      <c r="N5" s="199" t="str">
        <f>IF(OpponentData!N2 = 0, "", "beat")</f>
        <v>beat</v>
      </c>
      <c r="O5" s="200">
        <f>IF(OpponentData!N2 = 0, "", OpponentData!O2)</f>
        <v>0</v>
      </c>
      <c r="P5" s="199" t="str">
        <f>IF(OpponentData!N2 = 0, "", "of")</f>
        <v>of</v>
      </c>
      <c r="Q5" s="201">
        <f>IF(OpponentData!N2 = 0, "", OpponentData!N2)</f>
        <v>2</v>
      </c>
      <c r="R5" s="199" t="s">
        <v>2547</v>
      </c>
      <c r="S5" s="202" t="str">
        <f>IF(OpponentData!P2 = "N/A", "", ("("&amp;LEFT(OpponentData!P2, 3)&amp;"%)"))</f>
        <v>(0%)</v>
      </c>
      <c r="T5" s="192"/>
    </row>
    <row r="6" ht="36.0" customHeight="1">
      <c r="B6" s="191"/>
      <c r="C6" s="146" t="str">
        <f>VLOOKUP(IFERROR(VLOOKUP(OpponentData!H3, FormFixes, 2, false), OpponentData!H3), PokemonIcons, 2, False)</f>
        <v>#REF!</v>
      </c>
      <c r="D6" s="195" t="str">
        <f>IF(OpponentData!I3 = "", "", "beat")</f>
        <v>beat</v>
      </c>
      <c r="E6" s="196">
        <f>IF(OpponentData!I3 = 0, "", OpponentData!J3)</f>
        <v>0</v>
      </c>
      <c r="F6" s="195" t="str">
        <f>IF(OpponentData!I3 = 0, "", "of")</f>
        <v>of</v>
      </c>
      <c r="G6" s="197">
        <f>IF(OpponentData!I3 = 0, "", OpponentData!I3)</f>
        <v>2</v>
      </c>
      <c r="H6" s="195" t="s">
        <v>2547</v>
      </c>
      <c r="I6" s="195" t="str">
        <f>IF(OpponentData!K3 = "", "", ("("&amp;LEFT(OpponentData!K3, 3)&amp;"%)"))</f>
        <v>(0%)</v>
      </c>
      <c r="J6" s="191"/>
      <c r="L6" s="192"/>
      <c r="M6" s="198" t="str">
        <f>VLOOKUP(IFERROR(VLOOKUP(OpponentData!M3, FormFixes, 2, false), OpponentData!M3), PokemonIcons, 2, False)</f>
        <v>#REF!</v>
      </c>
      <c r="N6" s="199" t="str">
        <f>IF(OpponentData!N3 = 0, "", "beat")</f>
        <v>beat</v>
      </c>
      <c r="O6" s="200">
        <f>IF(OpponentData!N3 = 0, "", OpponentData!O3)</f>
        <v>0</v>
      </c>
      <c r="P6" s="199" t="str">
        <f>IF(OpponentData!N3 = 0, "", "of")</f>
        <v>of</v>
      </c>
      <c r="Q6" s="201">
        <f>IF(OpponentData!N3 = 0, "", OpponentData!N3)</f>
        <v>2</v>
      </c>
      <c r="R6" s="199" t="s">
        <v>2547</v>
      </c>
      <c r="S6" s="202" t="str">
        <f>IF(OpponentData!P3 = "N/A", "", ("("&amp;LEFT(OpponentData!P3, 3)&amp;"%)"))</f>
        <v>(0%)</v>
      </c>
      <c r="T6" s="192"/>
    </row>
    <row r="7" ht="36.0" customHeight="1">
      <c r="B7" s="191"/>
      <c r="C7" s="146" t="str">
        <f>VLOOKUP(IFERROR(VLOOKUP(OpponentData!H4, FormFixes, 2, false), OpponentData!H4), PokemonIcons, 2, False)</f>
        <v>#REF!</v>
      </c>
      <c r="D7" s="195" t="str">
        <f>IF(OpponentData!I4 = "", "", "beat")</f>
        <v>beat</v>
      </c>
      <c r="E7" s="196">
        <f>IF(OpponentData!I4 = 0, "", OpponentData!J4)</f>
        <v>0</v>
      </c>
      <c r="F7" s="195" t="str">
        <f>IF(OpponentData!I4 = 0, "", "of")</f>
        <v>of</v>
      </c>
      <c r="G7" s="197">
        <f>IF(OpponentData!I4 = 0, "", OpponentData!I4)</f>
        <v>1</v>
      </c>
      <c r="H7" s="195" t="s">
        <v>2547</v>
      </c>
      <c r="I7" s="195" t="str">
        <f>IF(OpponentData!K4 = "", "", ("("&amp;LEFT(OpponentData!K4, 3)&amp;"%)"))</f>
        <v>(0%)</v>
      </c>
      <c r="J7" s="191"/>
      <c r="L7" s="192"/>
      <c r="M7" s="198" t="str">
        <f>VLOOKUP(IFERROR(VLOOKUP(OpponentData!M4, FormFixes, 2, false), OpponentData!M4), PokemonIcons, 2, False)</f>
        <v>#REF!</v>
      </c>
      <c r="N7" s="199" t="str">
        <f>IF(OpponentData!N4 = 0, "", "beat")</f>
        <v>beat</v>
      </c>
      <c r="O7" s="200">
        <f>IF(OpponentData!N4 = 0, "", OpponentData!O4)</f>
        <v>0</v>
      </c>
      <c r="P7" s="199" t="str">
        <f>IF(OpponentData!N4 = 0, "", "of")</f>
        <v>of</v>
      </c>
      <c r="Q7" s="201">
        <f>IF(OpponentData!N4 = 0, "", OpponentData!N4)</f>
        <v>1</v>
      </c>
      <c r="R7" s="199" t="s">
        <v>2547</v>
      </c>
      <c r="S7" s="202" t="str">
        <f>IF(OpponentData!P4 = "N/A", "", ("("&amp;LEFT(OpponentData!P4, 3)&amp;"%)"))</f>
        <v>(0%)</v>
      </c>
      <c r="T7" s="192"/>
    </row>
    <row r="8" ht="36.0" customHeight="1">
      <c r="B8" s="191"/>
      <c r="C8" s="146" t="str">
        <f>VLOOKUP(IFERROR(VLOOKUP(OpponentData!H5, FormFixes, 2, false), OpponentData!H5), PokemonIcons, 2, False)</f>
        <v>#REF!</v>
      </c>
      <c r="D8" s="195" t="str">
        <f>IF(OpponentData!I5 = "", "", "beat")</f>
        <v>beat</v>
      </c>
      <c r="E8" s="196">
        <f>IF(OpponentData!I5 = 0, "", OpponentData!J5)</f>
        <v>0</v>
      </c>
      <c r="F8" s="195" t="str">
        <f>IF(OpponentData!I5 = 0, "", "of")</f>
        <v>of</v>
      </c>
      <c r="G8" s="197">
        <f>IF(OpponentData!I5 = 0, "", OpponentData!I5)</f>
        <v>1</v>
      </c>
      <c r="H8" s="195" t="s">
        <v>2547</v>
      </c>
      <c r="I8" s="195" t="str">
        <f>IF(OpponentData!K5 = "", "", ("("&amp;LEFT(OpponentData!K5, 3)&amp;"%)"))</f>
        <v>(0%)</v>
      </c>
      <c r="J8" s="191"/>
      <c r="L8" s="192"/>
      <c r="M8" s="198" t="str">
        <f>VLOOKUP(IFERROR(VLOOKUP(OpponentData!M5, FormFixes, 2, false), OpponentData!M5), PokemonIcons, 2, False)</f>
        <v>#REF!</v>
      </c>
      <c r="N8" s="199" t="str">
        <f>IF(OpponentData!N5 = 0, "", "beat")</f>
        <v>beat</v>
      </c>
      <c r="O8" s="200">
        <f>IF(OpponentData!N5 = 0, "", OpponentData!O5)</f>
        <v>0</v>
      </c>
      <c r="P8" s="199" t="str">
        <f>IF(OpponentData!N5 = 0, "", "of")</f>
        <v>of</v>
      </c>
      <c r="Q8" s="201">
        <f>IF(OpponentData!N5 = 0, "", OpponentData!N5)</f>
        <v>1</v>
      </c>
      <c r="R8" s="199" t="s">
        <v>2547</v>
      </c>
      <c r="S8" s="202" t="str">
        <f>IF(OpponentData!P5 = "N/A", "", ("("&amp;LEFT(OpponentData!P5, 3)&amp;"%)"))</f>
        <v>(0%)</v>
      </c>
      <c r="T8" s="192"/>
    </row>
    <row r="9" ht="36.0" customHeight="1">
      <c r="B9" s="191"/>
      <c r="C9" s="146" t="str">
        <f>VLOOKUP(IFERROR(VLOOKUP(OpponentData!H6, FormFixes, 2, false), OpponentData!H6), PokemonIcons, 2, False)</f>
        <v>#REF!</v>
      </c>
      <c r="D9" s="195" t="str">
        <f>IF(OpponentData!I6 = "", "", "beat")</f>
        <v>beat</v>
      </c>
      <c r="E9" s="196">
        <f>IF(OpponentData!I6 = 0, "", OpponentData!J6)</f>
        <v>0</v>
      </c>
      <c r="F9" s="195" t="str">
        <f>IF(OpponentData!I6 = 0, "", "of")</f>
        <v>of</v>
      </c>
      <c r="G9" s="197">
        <f>IF(OpponentData!I6 = 0, "", OpponentData!I6)</f>
        <v>1</v>
      </c>
      <c r="H9" s="195" t="s">
        <v>2547</v>
      </c>
      <c r="I9" s="195" t="str">
        <f>IF(OpponentData!K6 = "", "", ("("&amp;LEFT(OpponentData!K6, 3)&amp;"%)"))</f>
        <v>(0%)</v>
      </c>
      <c r="J9" s="191"/>
      <c r="L9" s="192"/>
      <c r="M9" s="198" t="str">
        <f>VLOOKUP(IFERROR(VLOOKUP(OpponentData!M6, FormFixes, 2, false), OpponentData!M6), PokemonIcons, 2, False)</f>
        <v>#REF!</v>
      </c>
      <c r="N9" s="199" t="str">
        <f>IF(OpponentData!N6 = 0, "", "beat")</f>
        <v>beat</v>
      </c>
      <c r="O9" s="200">
        <f>IF(OpponentData!N6 = 0, "", OpponentData!O6)</f>
        <v>0</v>
      </c>
      <c r="P9" s="199" t="str">
        <f>IF(OpponentData!N6 = 0, "", "of")</f>
        <v>of</v>
      </c>
      <c r="Q9" s="201">
        <f>IF(OpponentData!N6 = 0, "", OpponentData!N6)</f>
        <v>1</v>
      </c>
      <c r="R9" s="199" t="s">
        <v>2547</v>
      </c>
      <c r="S9" s="202" t="str">
        <f>IF(OpponentData!P6 = "N/A", "", ("("&amp;LEFT(OpponentData!P6, 3)&amp;"%)"))</f>
        <v>(0%)</v>
      </c>
      <c r="T9" s="192"/>
    </row>
    <row r="10" ht="6.0" customHeight="1">
      <c r="B10" s="191"/>
      <c r="C10" s="191"/>
      <c r="D10" s="191"/>
      <c r="E10" s="191"/>
      <c r="F10" s="191"/>
      <c r="G10" s="191"/>
      <c r="H10" s="191"/>
      <c r="I10" s="191"/>
      <c r="J10" s="191"/>
      <c r="L10" s="192"/>
      <c r="M10" s="192"/>
      <c r="N10" s="192"/>
      <c r="O10" s="192"/>
      <c r="P10" s="192"/>
      <c r="Q10" s="192"/>
      <c r="R10" s="192"/>
      <c r="S10" s="192"/>
      <c r="T10" s="192"/>
    </row>
    <row r="11" ht="6.75" customHeight="1"/>
    <row r="12" ht="6.75" customHeight="1">
      <c r="B12" s="203"/>
      <c r="C12" s="203"/>
      <c r="D12" s="203"/>
      <c r="E12" s="204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</row>
    <row r="13" ht="7.5" customHeight="1">
      <c r="B13" s="203"/>
      <c r="C13" s="205" t="s">
        <v>2548</v>
      </c>
      <c r="E13" s="206" t="s">
        <v>2549</v>
      </c>
      <c r="T13" s="207"/>
    </row>
    <row r="14" ht="6.0" customHeight="1">
      <c r="B14" s="203"/>
      <c r="T14" s="207"/>
    </row>
    <row r="15">
      <c r="B15" s="203"/>
      <c r="T15" s="207"/>
    </row>
    <row r="16" ht="36.0" customHeight="1">
      <c r="B16" s="203"/>
      <c r="E16" s="208" t="s">
        <v>2502</v>
      </c>
      <c r="M16" s="209" t="str">
        <f>VLOOKUP(IFERROR(VLOOKUP(E16, FormFixes, 2, false), E16), PokemonIcons, 2, False)</f>
        <v>#REF!</v>
      </c>
      <c r="N16" s="210" t="str">
        <f>IF(ISERROR(VLOOKUP(E16, OpponentData!C1:F202, 1, FALSE)), "not", "beat")</f>
        <v>beat</v>
      </c>
      <c r="O16" s="211">
        <f>IFERROR(VLOOKUP(E16, OpponentData!C2:F202, 3, FALSE), "")</f>
        <v>0</v>
      </c>
      <c r="P16" s="210" t="str">
        <f>IF(ISERROR(VLOOKUP(E16, OpponentData!C1:F202, 1, FALSE)), "", "of")</f>
        <v>of</v>
      </c>
      <c r="Q16" s="212">
        <f>IFERROR(VLOOKUP(E16, OpponentData!C2:F202, 2, FALSE), "")</f>
        <v>1</v>
      </c>
      <c r="R16" s="210" t="str">
        <f>IF(ISERROR(VLOOKUP(E16, OpponentData!C1:F202, 1, FALSE)), "played", "games")</f>
        <v>games</v>
      </c>
      <c r="S16" s="213" t="str">
        <f>IFERROR(IF(E16 = "", "", ("("&amp;LEFT(VLOOKUP(E16, OpponentData!C2:F202, 4, FALSE), 3)&amp;"%)")), "")</f>
        <v>(0%)</v>
      </c>
      <c r="T16" s="203"/>
    </row>
    <row r="17" ht="36.0" customHeight="1">
      <c r="B17" s="203"/>
      <c r="E17" s="208" t="s">
        <v>1531</v>
      </c>
      <c r="M17" s="209" t="str">
        <f>VLOOKUP(IFERROR(VLOOKUP(E17, FormFixes, 2, false), E17), PokemonIcons, 2, False)</f>
        <v>#REF!</v>
      </c>
      <c r="N17" s="210" t="str">
        <f>IF(ISERROR(VLOOKUP(E17, OpponentData!C1:F202, 1, FALSE)), "not", "beat")</f>
        <v>not</v>
      </c>
      <c r="O17" s="211" t="str">
        <f>IFERROR(VLOOKUP(E17, OpponentData!C2:F202, 3, FALSE), "")</f>
        <v/>
      </c>
      <c r="P17" s="210" t="str">
        <f>IF(ISERROR(VLOOKUP(E17, OpponentData!C1:F202, 1, FALSE)), "", "of")</f>
        <v/>
      </c>
      <c r="Q17" s="212" t="str">
        <f>IFERROR(VLOOKUP(E17, OpponentData!C2:F202, 2, FALSE), "")</f>
        <v/>
      </c>
      <c r="R17" s="210" t="str">
        <f>IF(ISERROR(VLOOKUP(E17, OpponentData!C1:F202, 1, FALSE)), "played", "games")</f>
        <v>played</v>
      </c>
      <c r="S17" s="213" t="str">
        <f>IFERROR(IF(E17 = "", "", ("("&amp;LEFT(VLOOKUP(E17, OpponentData!C2:F202, 4, FALSE), 3)&amp;"%)")), "")</f>
        <v/>
      </c>
      <c r="T17" s="203"/>
    </row>
    <row r="18" ht="36.0" customHeight="1">
      <c r="B18" s="203"/>
      <c r="E18" s="208" t="s">
        <v>793</v>
      </c>
      <c r="M18" s="209" t="str">
        <f>VLOOKUP(IFERROR(VLOOKUP(E18, FormFixes, 2, false), E18), PokemonIcons, 2, False)</f>
        <v>#REF!</v>
      </c>
      <c r="N18" s="210" t="str">
        <f>IF(ISERROR(VLOOKUP(E18, OpponentData!C1:F202, 1, FALSE)), "not", "beat")</f>
        <v>not</v>
      </c>
      <c r="O18" s="211" t="str">
        <f>IFERROR(VLOOKUP(E18, OpponentData!C2:F202, 3, FALSE), "")</f>
        <v/>
      </c>
      <c r="P18" s="210" t="str">
        <f>IF(ISERROR(VLOOKUP(E18, OpponentData!C1:F202, 1, FALSE)), "", "of")</f>
        <v/>
      </c>
      <c r="Q18" s="212" t="str">
        <f>IFERROR(VLOOKUP(E18, OpponentData!C2:F202, 2, FALSE), "")</f>
        <v/>
      </c>
      <c r="R18" s="210" t="str">
        <f>IF(ISERROR(VLOOKUP(E18, OpponentData!C1:F202, 1, FALSE)), "played", "games")</f>
        <v>played</v>
      </c>
      <c r="S18" s="213" t="str">
        <f>IFERROR(IF(E18 = "", "", ("("&amp;LEFT(VLOOKUP(E18, OpponentData!C2:F202, 4, FALSE), 3)&amp;"%)")), "")</f>
        <v/>
      </c>
      <c r="T18" s="203"/>
    </row>
    <row r="19" ht="6.0" customHeight="1">
      <c r="B19" s="203"/>
      <c r="C19" s="203"/>
      <c r="D19" s="203"/>
      <c r="E19" s="204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14" t="str">
        <f>IF(E19="", "", "games")</f>
        <v/>
      </c>
      <c r="S19" s="203"/>
      <c r="T19" s="203"/>
    </row>
    <row r="20" ht="9.0" customHeight="1"/>
  </sheetData>
  <customSheetViews>
    <customSheetView guid="{4B22BF0D-F0F9-40A5-BE7F-31A956904BCB}" filter="1" showAutoFilter="1">
      <autoFilter ref="$E$16:$L$18"/>
    </customSheetView>
  </customSheetViews>
  <mergeCells count="7">
    <mergeCell ref="C4:I4"/>
    <mergeCell ref="M4:S4"/>
    <mergeCell ref="C13:D18"/>
    <mergeCell ref="E13:S15"/>
    <mergeCell ref="E16:L16"/>
    <mergeCell ref="E17:L17"/>
    <mergeCell ref="E18:L18"/>
  </mergeCells>
  <dataValidations>
    <dataValidation type="list" allowBlank="1" showErrorMessage="1" sqref="E16:E18">
      <formula1>OpponentData!$C$2:$C$202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25"/>
    <col customWidth="1" min="14" max="14" width="1.13"/>
  </cols>
  <sheetData>
    <row r="1" ht="7.5" customHeight="1">
      <c r="A1" s="215"/>
      <c r="B1" s="215"/>
      <c r="C1" s="216"/>
      <c r="D1" s="216"/>
      <c r="E1" s="216"/>
      <c r="F1" s="215"/>
      <c r="G1" s="216"/>
      <c r="H1" s="216"/>
      <c r="I1" s="216"/>
      <c r="J1" s="215"/>
      <c r="K1" s="216"/>
      <c r="L1" s="216"/>
      <c r="M1" s="216"/>
      <c r="N1" s="216"/>
    </row>
    <row r="2">
      <c r="A2" s="215"/>
      <c r="B2" s="217" t="str">
        <f>'Team Info From Paste'!C2</f>
        <v>Alcremie-Matcha-Cream</v>
      </c>
      <c r="F2" s="217" t="str">
        <f>'Team Info From Paste'!C3</f>
        <v>Weavile</v>
      </c>
      <c r="J2" s="217" t="str">
        <f>'Team Info From Paste'!C4</f>
        <v>Skeledirge</v>
      </c>
      <c r="N2" s="216"/>
    </row>
    <row r="3">
      <c r="A3" s="216"/>
      <c r="N3" s="216"/>
    </row>
    <row r="4">
      <c r="A4" s="216"/>
      <c r="N4" s="216"/>
    </row>
    <row r="5">
      <c r="A5" s="216"/>
      <c r="N5" s="216"/>
    </row>
    <row r="6">
      <c r="A6" s="216"/>
      <c r="N6" s="216"/>
    </row>
    <row r="7">
      <c r="A7" s="216"/>
      <c r="N7" s="216"/>
    </row>
    <row r="8">
      <c r="A8" s="216"/>
      <c r="N8" s="216"/>
    </row>
    <row r="9">
      <c r="A9" s="216"/>
      <c r="N9" s="216"/>
    </row>
    <row r="10">
      <c r="A10" s="216"/>
      <c r="N10" s="216"/>
    </row>
    <row r="11">
      <c r="A11" s="216"/>
      <c r="N11" s="216"/>
    </row>
    <row r="12">
      <c r="A12" s="216"/>
      <c r="N12" s="216"/>
    </row>
    <row r="13">
      <c r="A13" s="215"/>
      <c r="B13" s="217" t="str">
        <f>'Team Info From Paste'!C5</f>
        <v>Gholdengo</v>
      </c>
      <c r="F13" s="217" t="str">
        <f>'Team Info From Paste'!C6</f>
        <v>Exeggutor-Alola</v>
      </c>
      <c r="J13" s="217" t="str">
        <f>'Team Info From Paste'!C7</f>
        <v>Salamence</v>
      </c>
      <c r="N13" s="216"/>
    </row>
    <row r="14">
      <c r="A14" s="216"/>
      <c r="N14" s="216"/>
    </row>
    <row r="15">
      <c r="A15" s="216"/>
      <c r="N15" s="216"/>
    </row>
    <row r="16">
      <c r="A16" s="216"/>
      <c r="N16" s="216"/>
    </row>
    <row r="17">
      <c r="A17" s="216"/>
      <c r="N17" s="216"/>
    </row>
    <row r="18">
      <c r="A18" s="216"/>
      <c r="N18" s="216"/>
    </row>
    <row r="19">
      <c r="A19" s="216"/>
      <c r="N19" s="216"/>
    </row>
    <row r="20">
      <c r="A20" s="216"/>
      <c r="N20" s="216"/>
    </row>
    <row r="21">
      <c r="A21" s="216"/>
      <c r="N21" s="216"/>
    </row>
    <row r="22">
      <c r="A22" s="216"/>
      <c r="N22" s="216"/>
    </row>
    <row r="23">
      <c r="A23" s="216"/>
      <c r="N23" s="216"/>
    </row>
    <row r="24" ht="6.75" customHeight="1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0.88"/>
    <col customWidth="1" min="3" max="3" width="7.38"/>
    <col customWidth="1" min="4" max="4" width="22.63"/>
    <col customWidth="1" min="5" max="5" width="10.88"/>
    <col customWidth="1" min="8" max="8" width="22.88"/>
    <col customWidth="1" min="9" max="9" width="0.88"/>
    <col customWidth="1" min="10" max="10" width="2.38"/>
  </cols>
  <sheetData>
    <row r="1" ht="4.5" customHeight="1">
      <c r="B1" s="218"/>
      <c r="C1" s="218"/>
      <c r="D1" s="218"/>
      <c r="E1" s="218"/>
      <c r="F1" s="218"/>
      <c r="G1" s="218"/>
      <c r="H1" s="218"/>
      <c r="I1" s="218"/>
    </row>
    <row r="2" ht="37.5" customHeight="1">
      <c r="B2" s="218"/>
      <c r="C2" s="219" t="s">
        <v>2550</v>
      </c>
      <c r="D2" s="4"/>
      <c r="E2" s="4"/>
      <c r="F2" s="4"/>
      <c r="G2" s="4"/>
      <c r="H2" s="8"/>
      <c r="I2" s="218"/>
    </row>
    <row r="3">
      <c r="B3" s="218"/>
      <c r="C3" s="220" t="s">
        <v>2551</v>
      </c>
      <c r="I3" s="218"/>
    </row>
    <row r="4" ht="4.5" customHeight="1">
      <c r="B4" s="218"/>
      <c r="C4" s="218"/>
      <c r="D4" s="218"/>
      <c r="E4" s="218"/>
      <c r="F4" s="218"/>
      <c r="G4" s="218"/>
      <c r="H4" s="218"/>
      <c r="I4" s="218"/>
    </row>
    <row r="5" ht="31.5" customHeight="1">
      <c r="B5" s="218"/>
      <c r="C5" s="17" t="str">
        <f>IMAGE("https://cdn-icons-png.flaticon.com/512/124/124021.png")</f>
        <v>#REF!</v>
      </c>
      <c r="D5" s="221" t="s">
        <v>2552</v>
      </c>
      <c r="F5" s="222" t="s">
        <v>2553</v>
      </c>
      <c r="I5" s="218"/>
    </row>
    <row r="6" ht="31.5" customHeight="1">
      <c r="B6" s="218"/>
      <c r="C6" s="17" t="str">
        <f t="shared" ref="C6:C7" si="1">IMAGE("https://cdn-icons-png.flaticon.com/512/3670/3670157.png")</f>
        <v>#REF!</v>
      </c>
      <c r="D6" s="223" t="s">
        <v>2554</v>
      </c>
      <c r="I6" s="218"/>
    </row>
    <row r="7" ht="31.5" customHeight="1">
      <c r="B7" s="218"/>
      <c r="C7" s="170" t="str">
        <f t="shared" si="1"/>
        <v>#REF!</v>
      </c>
      <c r="D7" s="221" t="s">
        <v>2555</v>
      </c>
      <c r="F7" s="224" t="s">
        <v>2556</v>
      </c>
      <c r="I7" s="218"/>
    </row>
    <row r="8" ht="31.5" customHeight="1">
      <c r="B8" s="218"/>
      <c r="C8" s="63" t="str">
        <f>IMAGE("https://uploads-ssl.webflow.com/5c14e387dab576fe667689cf/64f1a9ddd0246590df69e9ef_ko-fi_logo_02-p-500.png")</f>
        <v>#REF!</v>
      </c>
      <c r="D8" s="221" t="s">
        <v>2557</v>
      </c>
      <c r="H8" s="225" t="s">
        <v>2558</v>
      </c>
      <c r="I8" s="218"/>
    </row>
    <row r="9" ht="4.5" customHeight="1">
      <c r="B9" s="218"/>
      <c r="C9" s="218"/>
      <c r="D9" s="218"/>
      <c r="E9" s="218"/>
      <c r="F9" s="218"/>
      <c r="G9" s="218"/>
      <c r="H9" s="218"/>
      <c r="I9" s="218"/>
    </row>
    <row r="10" ht="23.25" customHeight="1">
      <c r="A10" s="17"/>
      <c r="B10" s="17"/>
      <c r="C10" s="226" t="s">
        <v>2559</v>
      </c>
      <c r="F10" s="227" t="s">
        <v>2560</v>
      </c>
    </row>
    <row r="11">
      <c r="B11" s="17"/>
      <c r="C11" s="228" t="s">
        <v>2561</v>
      </c>
    </row>
    <row r="12">
      <c r="A12" s="17"/>
      <c r="B12" s="17"/>
      <c r="C12" s="229" t="s">
        <v>2562</v>
      </c>
    </row>
    <row r="13">
      <c r="A13" s="17"/>
      <c r="B13" s="17"/>
    </row>
    <row r="14">
      <c r="A14" s="17"/>
      <c r="B14" s="17"/>
    </row>
    <row r="15" ht="18.75" customHeight="1"/>
    <row r="17">
      <c r="B17" s="17"/>
      <c r="C17" s="228" t="s">
        <v>2563</v>
      </c>
    </row>
    <row r="18">
      <c r="B18" s="17"/>
      <c r="C18" s="229" t="s">
        <v>2564</v>
      </c>
    </row>
    <row r="19">
      <c r="B19" s="17"/>
    </row>
    <row r="22" ht="47.25" customHeight="1"/>
    <row r="23" ht="51.75" customHeight="1"/>
  </sheetData>
  <mergeCells count="10">
    <mergeCell ref="C12:H16"/>
    <mergeCell ref="C17:H17"/>
    <mergeCell ref="C18:H23"/>
    <mergeCell ref="C2:H2"/>
    <mergeCell ref="C3:H3"/>
    <mergeCell ref="F5:H6"/>
    <mergeCell ref="F7:H7"/>
    <mergeCell ref="C10:E10"/>
    <mergeCell ref="F10:H10"/>
    <mergeCell ref="C11:H11"/>
  </mergeCells>
  <hyperlinks>
    <hyperlink r:id="rId1" ref="D5"/>
    <hyperlink r:id="rId2" ref="D7"/>
    <hyperlink r:id="rId3" ref="F7"/>
    <hyperlink r:id="rId4" ref="D8"/>
    <hyperlink r:id="rId5" ref="F10"/>
  </hyperlinks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.5"/>
    <col customWidth="1" min="3" max="4" width="13.63"/>
    <col customWidth="1" min="5" max="5" width="15.88"/>
    <col customWidth="1" min="7" max="7" width="1.25"/>
    <col customWidth="1" min="8" max="8" width="13.5"/>
    <col customWidth="1" min="9" max="9" width="13.25"/>
    <col customWidth="1" min="10" max="10" width="13.88"/>
    <col customWidth="1" min="11" max="11" width="16.75"/>
    <col customWidth="1" min="12" max="12" width="3.13"/>
    <col customWidth="1" min="13" max="13" width="13.5"/>
    <col customWidth="1" min="14" max="15" width="14.25"/>
    <col customWidth="1" min="16" max="16" width="13.0"/>
    <col customWidth="1" min="17" max="17" width="3.0"/>
  </cols>
  <sheetData>
    <row r="1">
      <c r="A1" s="61" t="s">
        <v>2565</v>
      </c>
      <c r="B1" s="61"/>
      <c r="C1" s="61" t="s">
        <v>30</v>
      </c>
      <c r="D1" s="61" t="s">
        <v>2566</v>
      </c>
      <c r="E1" s="61" t="s">
        <v>2567</v>
      </c>
      <c r="F1" s="61" t="s">
        <v>119</v>
      </c>
      <c r="G1" s="230"/>
      <c r="H1" s="230" t="str">
        <f>IFERROR(__xludf.DUMMYFUNCTION("QUERY(MatchupDataTableWithHeaders,""SELECT C, D, E, F ORDER BY F DESC, D DESC LIMIT 5"",1)"),"-any-")</f>
        <v>-any-</v>
      </c>
      <c r="I1" s="169" t="str">
        <f>IFERROR(__xludf.DUMMYFUNCTION("""COMPUTED_VALUE"""),"# Games Faced")</f>
        <v># Games Faced</v>
      </c>
      <c r="J1" s="169" t="str">
        <f>IFERROR(__xludf.DUMMYFUNCTION("""COMPUTED_VALUE"""),"# Games Beaten")</f>
        <v># Games Beaten</v>
      </c>
      <c r="K1" s="169" t="str">
        <f>IFERROR(__xludf.DUMMYFUNCTION("""COMPUTED_VALUE"""),"Winrate")</f>
        <v>Winrate</v>
      </c>
      <c r="L1" s="169"/>
      <c r="M1" s="169" t="str">
        <f>IFERROR(__xludf.DUMMYFUNCTION("QUERY(MatchupDataTableWithHeaders,""SELECT C, D, E, F WHERE D is not null ORDER BY F ASC, D DESC LIMIT 5"",1)"),"-any-")</f>
        <v>-any-</v>
      </c>
      <c r="N1" s="169" t="str">
        <f>IFERROR(__xludf.DUMMYFUNCTION("""COMPUTED_VALUE"""),"# Games Faced")</f>
        <v># Games Faced</v>
      </c>
      <c r="O1" s="169" t="str">
        <f>IFERROR(__xludf.DUMMYFUNCTION("""COMPUTED_VALUE"""),"# Games Beaten")</f>
        <v># Games Beaten</v>
      </c>
      <c r="P1" s="169" t="str">
        <f>IFERROR(__xludf.DUMMYFUNCTION("""COMPUTED_VALUE"""),"Winrate")</f>
        <v>Winrate</v>
      </c>
      <c r="R1" s="61"/>
      <c r="S1" s="61"/>
      <c r="T1" s="61"/>
      <c r="U1" s="61"/>
    </row>
    <row r="2">
      <c r="A2" s="63" t="str">
        <f>IFERROR(__xludf.DUMMYFUNCTION("UNIQUE(FLATTEN(OppMonsUsed))"),"Hitmonlee")</f>
        <v>Hitmonlee</v>
      </c>
      <c r="C2" s="63" t="str">
        <f t="array" ref="C2:C402">SORT(A2:A402)</f>
        <v>Amoonguss</v>
      </c>
      <c r="D2" s="63">
        <f>IF(C2&lt;&gt;"", CountIF(OppMonsUsed, C2), "")</f>
        <v>1</v>
      </c>
      <c r="E2" s="63">
        <f>IFERROR(__xludf.DUMMYFUNCTION("IF(C2&lt;&gt;"""",COUNTIF(FILTER(OppMonsUsed, GameResults=""win""), C2), """")"),0.0)</f>
        <v>0</v>
      </c>
      <c r="F2" s="231">
        <f t="shared" ref="F2:F402" si="1">IFERROR(100*E2/D2, "")</f>
        <v>0</v>
      </c>
      <c r="H2" s="63" t="str">
        <f>IFERROR(__xludf.DUMMYFUNCTION("""COMPUTED_VALUE"""),"Incineroar")</f>
        <v>Incineroar</v>
      </c>
      <c r="I2" s="63">
        <f>IFERROR(__xludf.DUMMYFUNCTION("""COMPUTED_VALUE"""),2.0)</f>
        <v>2</v>
      </c>
      <c r="J2" s="63">
        <f>IFERROR(__xludf.DUMMYFUNCTION("""COMPUTED_VALUE"""),0.0)</f>
        <v>0</v>
      </c>
      <c r="K2" s="231">
        <f>IFERROR(__xludf.DUMMYFUNCTION("""COMPUTED_VALUE"""),0.0)</f>
        <v>0</v>
      </c>
      <c r="M2" s="63" t="str">
        <f>IFERROR(__xludf.DUMMYFUNCTION("""COMPUTED_VALUE"""),"Incineroar")</f>
        <v>Incineroar</v>
      </c>
      <c r="N2" s="63">
        <f>IFERROR(__xludf.DUMMYFUNCTION("""COMPUTED_VALUE"""),2.0)</f>
        <v>2</v>
      </c>
      <c r="O2" s="63">
        <f>IFERROR(__xludf.DUMMYFUNCTION("""COMPUTED_VALUE"""),0.0)</f>
        <v>0</v>
      </c>
      <c r="P2" s="231">
        <f>IFERROR(__xludf.DUMMYFUNCTION("""COMPUTED_VALUE"""),0.0)</f>
        <v>0</v>
      </c>
    </row>
    <row r="3">
      <c r="A3" s="63" t="str">
        <f>IFERROR(__xludf.DUMMYFUNCTION("""COMPUTED_VALUE"""),"Gyarados")</f>
        <v>Gyarados</v>
      </c>
      <c r="C3" s="63" t="s">
        <v>2500</v>
      </c>
      <c r="D3" s="63">
        <f>IF(C3&lt;&gt;"", CountIF(OppMonsUsed, C3), "")</f>
        <v>1</v>
      </c>
      <c r="E3" s="63">
        <f>IFERROR(__xludf.DUMMYFUNCTION("IF(C3&lt;&gt;"""",COUNTIF(FILTER(OppMonsUsed, GameResults=""win""), C3), """")"),0.0)</f>
        <v>0</v>
      </c>
      <c r="F3" s="231">
        <f t="shared" si="1"/>
        <v>0</v>
      </c>
      <c r="H3" s="63" t="str">
        <f>IFERROR(__xludf.DUMMYFUNCTION("""COMPUTED_VALUE"""),"Urshifu-Rapid-Strike")</f>
        <v>Urshifu-Rapid-Strike</v>
      </c>
      <c r="I3" s="63">
        <f>IFERROR(__xludf.DUMMYFUNCTION("""COMPUTED_VALUE"""),2.0)</f>
        <v>2</v>
      </c>
      <c r="J3" s="63">
        <f>IFERROR(__xludf.DUMMYFUNCTION("""COMPUTED_VALUE"""),0.0)</f>
        <v>0</v>
      </c>
      <c r="K3" s="231">
        <f>IFERROR(__xludf.DUMMYFUNCTION("""COMPUTED_VALUE"""),0.0)</f>
        <v>0</v>
      </c>
      <c r="M3" s="63" t="str">
        <f>IFERROR(__xludf.DUMMYFUNCTION("""COMPUTED_VALUE"""),"Urshifu-Rapid-Strike")</f>
        <v>Urshifu-Rapid-Strike</v>
      </c>
      <c r="N3" s="63">
        <f>IFERROR(__xludf.DUMMYFUNCTION("""COMPUTED_VALUE"""),2.0)</f>
        <v>2</v>
      </c>
      <c r="O3" s="63">
        <f>IFERROR(__xludf.DUMMYFUNCTION("""COMPUTED_VALUE"""),0.0)</f>
        <v>0</v>
      </c>
      <c r="P3" s="231">
        <f>IFERROR(__xludf.DUMMYFUNCTION("""COMPUTED_VALUE"""),0.0)</f>
        <v>0</v>
      </c>
      <c r="U3" s="170"/>
    </row>
    <row r="4">
      <c r="A4" s="63" t="str">
        <f>IFERROR(__xludf.DUMMYFUNCTION("""COMPUTED_VALUE"""),"Clefable")</f>
        <v>Clefable</v>
      </c>
      <c r="C4" s="63" t="s">
        <v>2537</v>
      </c>
      <c r="D4" s="63">
        <f>IF(C4&lt;&gt;"", CountIF(OppMonsUsed, C4), "")</f>
        <v>1</v>
      </c>
      <c r="E4" s="63">
        <f>IFERROR(__xludf.DUMMYFUNCTION("IF(C4&lt;&gt;"""",COUNTIF(FILTER(OppMonsUsed, GameResults=""win""), C4), """")"),0.0)</f>
        <v>0</v>
      </c>
      <c r="F4" s="231">
        <f t="shared" si="1"/>
        <v>0</v>
      </c>
      <c r="H4" s="63" t="str">
        <f>IFERROR(__xludf.DUMMYFUNCTION("""COMPUTED_VALUE"""),"Amoonguss")</f>
        <v>Amoonguss</v>
      </c>
      <c r="I4" s="63">
        <f>IFERROR(__xludf.DUMMYFUNCTION("""COMPUTED_VALUE"""),1.0)</f>
        <v>1</v>
      </c>
      <c r="J4" s="63">
        <f>IFERROR(__xludf.DUMMYFUNCTION("""COMPUTED_VALUE"""),0.0)</f>
        <v>0</v>
      </c>
      <c r="K4" s="231">
        <f>IFERROR(__xludf.DUMMYFUNCTION("""COMPUTED_VALUE"""),0.0)</f>
        <v>0</v>
      </c>
      <c r="M4" s="63" t="str">
        <f>IFERROR(__xludf.DUMMYFUNCTION("""COMPUTED_VALUE"""),"Amoonguss")</f>
        <v>Amoonguss</v>
      </c>
      <c r="N4" s="63">
        <f>IFERROR(__xludf.DUMMYFUNCTION("""COMPUTED_VALUE"""),1.0)</f>
        <v>1</v>
      </c>
      <c r="O4" s="63">
        <f>IFERROR(__xludf.DUMMYFUNCTION("""COMPUTED_VALUE"""),0.0)</f>
        <v>0</v>
      </c>
      <c r="P4" s="231">
        <f>IFERROR(__xludf.DUMMYFUNCTION("""COMPUTED_VALUE"""),0.0)</f>
        <v>0</v>
      </c>
      <c r="U4" s="170"/>
    </row>
    <row r="5">
      <c r="A5" s="63" t="str">
        <f>IFERROR(__xludf.DUMMYFUNCTION("""COMPUTED_VALUE"""),"Dragonite")</f>
        <v>Dragonite</v>
      </c>
      <c r="C5" s="63" t="s">
        <v>515</v>
      </c>
      <c r="D5" s="63">
        <f>IF(C5&lt;&gt;"", CountIF(OppMonsUsed, C5), "")</f>
        <v>1</v>
      </c>
      <c r="E5" s="63">
        <f>IFERROR(__xludf.DUMMYFUNCTION("IF(C5&lt;&gt;"""",COUNTIF(FILTER(OppMonsUsed, GameResults=""win""), C5), """")"),0.0)</f>
        <v>0</v>
      </c>
      <c r="F5" s="231">
        <f t="shared" si="1"/>
        <v>0</v>
      </c>
      <c r="H5" s="63" t="str">
        <f>IFERROR(__xludf.DUMMYFUNCTION("""COMPUTED_VALUE"""),"Annihilape")</f>
        <v>Annihilape</v>
      </c>
      <c r="I5" s="63">
        <f>IFERROR(__xludf.DUMMYFUNCTION("""COMPUTED_VALUE"""),1.0)</f>
        <v>1</v>
      </c>
      <c r="J5" s="63">
        <f>IFERROR(__xludf.DUMMYFUNCTION("""COMPUTED_VALUE"""),0.0)</f>
        <v>0</v>
      </c>
      <c r="K5" s="231">
        <f>IFERROR(__xludf.DUMMYFUNCTION("""COMPUTED_VALUE"""),0.0)</f>
        <v>0</v>
      </c>
      <c r="M5" s="63" t="str">
        <f>IFERROR(__xludf.DUMMYFUNCTION("""COMPUTED_VALUE"""),"Annihilape")</f>
        <v>Annihilape</v>
      </c>
      <c r="N5" s="63">
        <f>IFERROR(__xludf.DUMMYFUNCTION("""COMPUTED_VALUE"""),1.0)</f>
        <v>1</v>
      </c>
      <c r="O5" s="63">
        <f>IFERROR(__xludf.DUMMYFUNCTION("""COMPUTED_VALUE"""),0.0)</f>
        <v>0</v>
      </c>
      <c r="P5" s="231">
        <f>IFERROR(__xludf.DUMMYFUNCTION("""COMPUTED_VALUE"""),0.0)</f>
        <v>0</v>
      </c>
      <c r="U5" s="170"/>
    </row>
    <row r="6">
      <c r="A6" s="63" t="str">
        <f>IFERROR(__xludf.DUMMYFUNCTION("""COMPUTED_VALUE"""),"Annihilape")</f>
        <v>Annihilape</v>
      </c>
      <c r="C6" s="63" t="s">
        <v>767</v>
      </c>
      <c r="D6" s="63">
        <f>IF(C6&lt;&gt;"", CountIF(OppMonsUsed, C6), "")</f>
        <v>1</v>
      </c>
      <c r="E6" s="63">
        <f>IFERROR(__xludf.DUMMYFUNCTION("IF(C6&lt;&gt;"""",COUNTIF(FILTER(OppMonsUsed, GameResults=""win""), C6), """")"),0.0)</f>
        <v>0</v>
      </c>
      <c r="F6" s="231">
        <f t="shared" si="1"/>
        <v>0</v>
      </c>
      <c r="H6" s="63" t="str">
        <f>IFERROR(__xludf.DUMMYFUNCTION("""COMPUTED_VALUE"""),"Archaludon")</f>
        <v>Archaludon</v>
      </c>
      <c r="I6" s="63">
        <f>IFERROR(__xludf.DUMMYFUNCTION("""COMPUTED_VALUE"""),1.0)</f>
        <v>1</v>
      </c>
      <c r="J6" s="63">
        <f>IFERROR(__xludf.DUMMYFUNCTION("""COMPUTED_VALUE"""),0.0)</f>
        <v>0</v>
      </c>
      <c r="K6" s="231">
        <f>IFERROR(__xludf.DUMMYFUNCTION("""COMPUTED_VALUE"""),0.0)</f>
        <v>0</v>
      </c>
      <c r="M6" s="63" t="str">
        <f>IFERROR(__xludf.DUMMYFUNCTION("""COMPUTED_VALUE"""),"Archaludon")</f>
        <v>Archaludon</v>
      </c>
      <c r="N6" s="63">
        <f>IFERROR(__xludf.DUMMYFUNCTION("""COMPUTED_VALUE"""),1.0)</f>
        <v>1</v>
      </c>
      <c r="O6" s="63">
        <f>IFERROR(__xludf.DUMMYFUNCTION("""COMPUTED_VALUE"""),0.0)</f>
        <v>0</v>
      </c>
      <c r="P6" s="231">
        <f>IFERROR(__xludf.DUMMYFUNCTION("""COMPUTED_VALUE"""),0.0)</f>
        <v>0</v>
      </c>
    </row>
    <row r="7">
      <c r="A7" s="63" t="str">
        <f>IFERROR(__xludf.DUMMYFUNCTION("""COMPUTED_VALUE"""),"Umbreon")</f>
        <v>Umbreon</v>
      </c>
      <c r="C7" s="63" t="s">
        <v>2502</v>
      </c>
      <c r="D7" s="63">
        <f>IF(C7&lt;&gt;"", CountIF(OppMonsUsed, C7), "")</f>
        <v>1</v>
      </c>
      <c r="E7" s="63">
        <f>IFERROR(__xludf.DUMMYFUNCTION("IF(C7&lt;&gt;"""",COUNTIF(FILTER(OppMonsUsed, GameResults=""win""), C7), """")"),0.0)</f>
        <v>0</v>
      </c>
      <c r="F7" s="231">
        <f t="shared" si="1"/>
        <v>0</v>
      </c>
    </row>
    <row r="8">
      <c r="A8" s="63" t="str">
        <f>IFERROR(__xludf.DUMMYFUNCTION("""COMPUTED_VALUE"""),"Archaludon")</f>
        <v>Archaludon</v>
      </c>
      <c r="C8" s="63" t="s">
        <v>727</v>
      </c>
      <c r="D8" s="63">
        <f>IF(C8&lt;&gt;"", CountIF(OppMonsUsed, C8), "")</f>
        <v>1</v>
      </c>
      <c r="E8" s="63">
        <f>IFERROR(__xludf.DUMMYFUNCTION("IF(C8&lt;&gt;"""",COUNTIF(FILTER(OppMonsUsed, GameResults=""win""), C8), """")"),0.0)</f>
        <v>0</v>
      </c>
      <c r="F8" s="231">
        <f t="shared" si="1"/>
        <v>0</v>
      </c>
    </row>
    <row r="9">
      <c r="A9" s="63" t="str">
        <f>IFERROR(__xludf.DUMMYFUNCTION("""COMPUTED_VALUE"""),"Ogerpon-Wellspring")</f>
        <v>Ogerpon-Wellspring</v>
      </c>
      <c r="C9" s="63" t="s">
        <v>670</v>
      </c>
      <c r="D9" s="63">
        <f>IF(C9&lt;&gt;"", CountIF(OppMonsUsed, C9), "")</f>
        <v>1</v>
      </c>
      <c r="E9" s="63">
        <f>IFERROR(__xludf.DUMMYFUNCTION("IF(C9&lt;&gt;"""",COUNTIF(FILTER(OppMonsUsed, GameResults=""win""), C9), """")"),0.0)</f>
        <v>0</v>
      </c>
      <c r="F9" s="231">
        <f t="shared" si="1"/>
        <v>0</v>
      </c>
    </row>
    <row r="10">
      <c r="A10" s="63" t="str">
        <f>IFERROR(__xludf.DUMMYFUNCTION("""COMPUTED_VALUE"""),"Raging Bolt")</f>
        <v>Raging Bolt</v>
      </c>
      <c r="C10" s="63" t="s">
        <v>2063</v>
      </c>
      <c r="D10" s="63">
        <f>IF(C10&lt;&gt;"", CountIF(OppMonsUsed, C10), "")</f>
        <v>2</v>
      </c>
      <c r="E10" s="63">
        <f>IFERROR(__xludf.DUMMYFUNCTION("IF(C10&lt;&gt;"""",COUNTIF(FILTER(OppMonsUsed, GameResults=""win""), C10), """")"),0.0)</f>
        <v>0</v>
      </c>
      <c r="F10" s="231">
        <f t="shared" si="1"/>
        <v>0</v>
      </c>
    </row>
    <row r="11">
      <c r="A11" s="63" t="str">
        <f>IFERROR(__xludf.DUMMYFUNCTION("""COMPUTED_VALUE"""),"Urshifu-Rapid-Strike")</f>
        <v>Urshifu-Rapid-Strike</v>
      </c>
      <c r="C11" s="63" t="s">
        <v>376</v>
      </c>
      <c r="D11" s="63">
        <f>IF(C11&lt;&gt;"", CountIF(OppMonsUsed, C11), "")</f>
        <v>1</v>
      </c>
      <c r="E11" s="63">
        <f>IFERROR(__xludf.DUMMYFUNCTION("IF(C11&lt;&gt;"""",COUNTIF(FILTER(OppMonsUsed, GameResults=""win""), C11), """")"),0.0)</f>
        <v>0</v>
      </c>
      <c r="F11" s="231">
        <f t="shared" si="1"/>
        <v>0</v>
      </c>
    </row>
    <row r="12">
      <c r="A12" s="63" t="str">
        <f>IFERROR(__xludf.DUMMYFUNCTION("""COMPUTED_VALUE"""),"Incineroar")</f>
        <v>Incineroar</v>
      </c>
      <c r="C12" s="63" t="s">
        <v>2540</v>
      </c>
      <c r="D12" s="63">
        <f>IF(C12&lt;&gt;"", CountIF(OppMonsUsed, C12), "")</f>
        <v>1</v>
      </c>
      <c r="E12" s="63">
        <f>IFERROR(__xludf.DUMMYFUNCTION("IF(C12&lt;&gt;"""",COUNTIF(FILTER(OppMonsUsed, GameResults=""win""), C12), """")"),0.0)</f>
        <v>0</v>
      </c>
      <c r="F12" s="231">
        <f t="shared" si="1"/>
        <v>0</v>
      </c>
    </row>
    <row r="13">
      <c r="A13" s="63" t="str">
        <f>IFERROR(__xludf.DUMMYFUNCTION("""COMPUTED_VALUE"""),"Amoonguss")</f>
        <v>Amoonguss</v>
      </c>
      <c r="C13" s="63" t="s">
        <v>869</v>
      </c>
      <c r="D13" s="63">
        <f>IF(C13&lt;&gt;"", CountIF(OppMonsUsed, C13), "")</f>
        <v>1</v>
      </c>
      <c r="E13" s="63">
        <f>IFERROR(__xludf.DUMMYFUNCTION("IF(C13&lt;&gt;"""",COUNTIF(FILTER(OppMonsUsed, GameResults=""win""), C13), """")"),0.0)</f>
        <v>0</v>
      </c>
      <c r="F13" s="231">
        <f t="shared" si="1"/>
        <v>0</v>
      </c>
    </row>
    <row r="14">
      <c r="A14" s="63" t="str">
        <f>IFERROR(__xludf.DUMMYFUNCTION("""COMPUTED_VALUE"""),"Farigiraf")</f>
        <v>Farigiraf</v>
      </c>
      <c r="C14" s="63" t="s">
        <v>383</v>
      </c>
      <c r="D14" s="63">
        <f>IF(C14&lt;&gt;"", CountIF(OppMonsUsed, C14), "")</f>
        <v>1</v>
      </c>
      <c r="E14" s="63">
        <f>IFERROR(__xludf.DUMMYFUNCTION("IF(C14&lt;&gt;"""",COUNTIF(FILTER(OppMonsUsed, GameResults=""win""), C14), """")"),0.0)</f>
        <v>0</v>
      </c>
      <c r="F14" s="231">
        <f t="shared" si="1"/>
        <v>0</v>
      </c>
    </row>
    <row r="15">
      <c r="A15" s="63" t="str">
        <f>IFERROR(__xludf.DUMMYFUNCTION("""COMPUTED_VALUE"""),"Ursaluna-Bloodmoon")</f>
        <v>Ursaluna-Bloodmoon</v>
      </c>
      <c r="C15" s="63" t="s">
        <v>256</v>
      </c>
      <c r="D15" s="63">
        <f>IF(C15&lt;&gt;"", CountIF(OppMonsUsed, C15), "")</f>
        <v>2</v>
      </c>
      <c r="E15" s="63">
        <f>IFERROR(__xludf.DUMMYFUNCTION("IF(C15&lt;&gt;"""",COUNTIF(FILTER(OppMonsUsed, GameResults=""win""), C15), """")"),0.0)</f>
        <v>0</v>
      </c>
      <c r="F15" s="231">
        <f t="shared" si="1"/>
        <v>0</v>
      </c>
    </row>
    <row r="16">
      <c r="A16" s="63"/>
      <c r="C16" s="63"/>
      <c r="D16" s="63" t="str">
        <f>IF(C16&lt;&gt;"", CountIF(OppMonsUsed, C16), "")</f>
        <v/>
      </c>
      <c r="E16" s="63" t="str">
        <f>IFERROR(__xludf.DUMMYFUNCTION("IF(C16&lt;&gt;"""",COUNTIF(FILTER(OppMonsUsed, GameResults=""win""), C16), """")"),"")</f>
        <v/>
      </c>
      <c r="F16" s="231" t="str">
        <f t="shared" si="1"/>
        <v/>
      </c>
    </row>
    <row r="17">
      <c r="C17" s="63"/>
      <c r="D17" s="63" t="str">
        <f>IF(C17&lt;&gt;"", CountIF(OppMonsUsed, C17), "")</f>
        <v/>
      </c>
      <c r="E17" s="63" t="str">
        <f>IFERROR(__xludf.DUMMYFUNCTION("IF(C17&lt;&gt;"""",COUNTIF(FILTER(OppMonsUsed, GameResults=""win""), C17), """")"),"")</f>
        <v/>
      </c>
      <c r="F17" s="231" t="str">
        <f t="shared" si="1"/>
        <v/>
      </c>
      <c r="R17" s="170"/>
    </row>
    <row r="18">
      <c r="C18" s="63"/>
      <c r="D18" s="63" t="str">
        <f>IF(C18&lt;&gt;"", CountIF(OppMonsUsed, C18), "")</f>
        <v/>
      </c>
      <c r="E18" s="63" t="str">
        <f>IFERROR(__xludf.DUMMYFUNCTION("IF(C18&lt;&gt;"""",COUNTIF(FILTER(OppMonsUsed, GameResults=""win""), C18), """")"),"")</f>
        <v/>
      </c>
      <c r="F18" s="231" t="str">
        <f t="shared" si="1"/>
        <v/>
      </c>
    </row>
    <row r="19">
      <c r="C19" s="63"/>
      <c r="D19" s="63" t="str">
        <f>IF(C19&lt;&gt;"", CountIF(OppMonsUsed, C19), "")</f>
        <v/>
      </c>
      <c r="E19" s="63" t="str">
        <f>IFERROR(__xludf.DUMMYFUNCTION("IF(C19&lt;&gt;"""",COUNTIF(FILTER(OppMonsUsed, GameResults=""win""), C19), """")"),"")</f>
        <v/>
      </c>
      <c r="F19" s="231" t="str">
        <f t="shared" si="1"/>
        <v/>
      </c>
    </row>
    <row r="20">
      <c r="C20" s="63"/>
      <c r="D20" s="63" t="str">
        <f>IF(C20&lt;&gt;"", CountIF(OppMonsUsed, C20), "")</f>
        <v/>
      </c>
      <c r="E20" s="63" t="str">
        <f>IFERROR(__xludf.DUMMYFUNCTION("IF(C20&lt;&gt;"""",COUNTIF(FILTER(OppMonsUsed, GameResults=""win""), C20), """")"),"")</f>
        <v/>
      </c>
      <c r="F20" s="231" t="str">
        <f t="shared" si="1"/>
        <v/>
      </c>
    </row>
    <row r="21">
      <c r="C21" s="63"/>
      <c r="D21" s="63" t="str">
        <f>IF(C21&lt;&gt;"", CountIF(OppMonsUsed, C21), "")</f>
        <v/>
      </c>
      <c r="E21" s="63" t="str">
        <f>IFERROR(__xludf.DUMMYFUNCTION("IF(C21&lt;&gt;"""",COUNTIF(FILTER(OppMonsUsed, GameResults=""win""), C21), """")"),"")</f>
        <v/>
      </c>
      <c r="F21" s="231" t="str">
        <f t="shared" si="1"/>
        <v/>
      </c>
    </row>
    <row r="22">
      <c r="C22" s="63"/>
      <c r="D22" s="63" t="str">
        <f>IF(C22&lt;&gt;"", CountIF(OppMonsUsed, C22), "")</f>
        <v/>
      </c>
      <c r="E22" s="63" t="str">
        <f>IFERROR(__xludf.DUMMYFUNCTION("IF(C22&lt;&gt;"""",COUNTIF(FILTER(OppMonsUsed, GameResults=""win""), C22), """")"),"")</f>
        <v/>
      </c>
      <c r="F22" s="231" t="str">
        <f t="shared" si="1"/>
        <v/>
      </c>
    </row>
    <row r="23">
      <c r="C23" s="63"/>
      <c r="D23" s="63" t="str">
        <f>IF(C23&lt;&gt;"", CountIF(OppMonsUsed, C23), "")</f>
        <v/>
      </c>
      <c r="E23" s="63" t="str">
        <f>IFERROR(__xludf.DUMMYFUNCTION("IF(C23&lt;&gt;"""",COUNTIF(FILTER(OppMonsUsed, GameResults=""win""), C23), """")"),"")</f>
        <v/>
      </c>
      <c r="F23" s="231" t="str">
        <f t="shared" si="1"/>
        <v/>
      </c>
    </row>
    <row r="24">
      <c r="C24" s="63"/>
      <c r="D24" s="63" t="str">
        <f>IF(C24&lt;&gt;"", CountIF(OppMonsUsed, C24), "")</f>
        <v/>
      </c>
      <c r="E24" s="63" t="str">
        <f>IFERROR(__xludf.DUMMYFUNCTION("IF(C24&lt;&gt;"""",COUNTIF(FILTER(OppMonsUsed, GameResults=""win""), C24), """")"),"")</f>
        <v/>
      </c>
      <c r="F24" s="231" t="str">
        <f t="shared" si="1"/>
        <v/>
      </c>
    </row>
    <row r="25">
      <c r="C25" s="63"/>
      <c r="D25" s="63" t="str">
        <f>IF(C25&lt;&gt;"", CountIF(OppMonsUsed, C25), "")</f>
        <v/>
      </c>
      <c r="E25" s="63" t="str">
        <f>IFERROR(__xludf.DUMMYFUNCTION("IF(C25&lt;&gt;"""",COUNTIF(FILTER(OppMonsUsed, GameResults=""win""), C25), """")"),"")</f>
        <v/>
      </c>
      <c r="F25" s="231" t="str">
        <f t="shared" si="1"/>
        <v/>
      </c>
    </row>
    <row r="26">
      <c r="C26" s="63"/>
      <c r="D26" s="63" t="str">
        <f>IF(C26&lt;&gt;"", CountIF(OppMonsUsed, C26), "")</f>
        <v/>
      </c>
      <c r="E26" s="63" t="str">
        <f>IFERROR(__xludf.DUMMYFUNCTION("IF(C26&lt;&gt;"""",COUNTIF(FILTER(OppMonsUsed, GameResults=""win""), C26), """")"),"")</f>
        <v/>
      </c>
      <c r="F26" s="231" t="str">
        <f t="shared" si="1"/>
        <v/>
      </c>
    </row>
    <row r="27">
      <c r="C27" s="63"/>
      <c r="D27" s="63" t="str">
        <f>IF(C27&lt;&gt;"", CountIF(OppMonsUsed, C27), "")</f>
        <v/>
      </c>
      <c r="E27" s="63" t="str">
        <f>IFERROR(__xludf.DUMMYFUNCTION("IF(C27&lt;&gt;"""",COUNTIF(FILTER(OppMonsUsed, GameResults=""win""), C27), """")"),"")</f>
        <v/>
      </c>
      <c r="F27" s="231" t="str">
        <f t="shared" si="1"/>
        <v/>
      </c>
    </row>
    <row r="28">
      <c r="C28" s="63"/>
      <c r="D28" s="63" t="str">
        <f>IF(C28&lt;&gt;"", CountIF(OppMonsUsed, C28), "")</f>
        <v/>
      </c>
      <c r="E28" s="63" t="str">
        <f>IFERROR(__xludf.DUMMYFUNCTION("IF(C28&lt;&gt;"""",COUNTIF(FILTER(OppMonsUsed, GameResults=""win""), C28), """")"),"")</f>
        <v/>
      </c>
      <c r="F28" s="231" t="str">
        <f t="shared" si="1"/>
        <v/>
      </c>
    </row>
    <row r="29">
      <c r="C29" s="63"/>
      <c r="D29" s="63" t="str">
        <f>IF(C29&lt;&gt;"", CountIF(OppMonsUsed, C29), "")</f>
        <v/>
      </c>
      <c r="E29" s="63" t="str">
        <f>IFERROR(__xludf.DUMMYFUNCTION("IF(C29&lt;&gt;"""",COUNTIF(FILTER(OppMonsUsed, GameResults=""win""), C29), """")"),"")</f>
        <v/>
      </c>
      <c r="F29" s="231" t="str">
        <f t="shared" si="1"/>
        <v/>
      </c>
    </row>
    <row r="30">
      <c r="C30" s="63"/>
      <c r="D30" s="63" t="str">
        <f>IF(C30&lt;&gt;"", CountIF(OppMonsUsed, C30), "")</f>
        <v/>
      </c>
      <c r="E30" s="63" t="str">
        <f>IFERROR(__xludf.DUMMYFUNCTION("IF(C30&lt;&gt;"""",COUNTIF(FILTER(OppMonsUsed, GameResults=""win""), C30), """")"),"")</f>
        <v/>
      </c>
      <c r="F30" s="231" t="str">
        <f t="shared" si="1"/>
        <v/>
      </c>
    </row>
    <row r="31">
      <c r="C31" s="63"/>
      <c r="D31" s="63" t="str">
        <f>IF(C31&lt;&gt;"", CountIF(OppMonsUsed, C31), "")</f>
        <v/>
      </c>
      <c r="E31" s="63" t="str">
        <f>IFERROR(__xludf.DUMMYFUNCTION("IF(C31&lt;&gt;"""",COUNTIF(FILTER(OppMonsUsed, GameResults=""win""), C31), """")"),"")</f>
        <v/>
      </c>
      <c r="F31" s="231" t="str">
        <f t="shared" si="1"/>
        <v/>
      </c>
    </row>
    <row r="32">
      <c r="C32" s="63"/>
      <c r="D32" s="63" t="str">
        <f>IF(C32&lt;&gt;"", CountIF(OppMonsUsed, C32), "")</f>
        <v/>
      </c>
      <c r="E32" s="63" t="str">
        <f>IFERROR(__xludf.DUMMYFUNCTION("IF(C32&lt;&gt;"""",COUNTIF(FILTER(OppMonsUsed, GameResults=""win""), C32), """")"),"")</f>
        <v/>
      </c>
      <c r="F32" s="231" t="str">
        <f t="shared" si="1"/>
        <v/>
      </c>
    </row>
    <row r="33">
      <c r="C33" s="63"/>
      <c r="D33" s="63" t="str">
        <f>IF(C33&lt;&gt;"", CountIF(OppMonsUsed, C33), "")</f>
        <v/>
      </c>
      <c r="E33" s="63" t="str">
        <f>IFERROR(__xludf.DUMMYFUNCTION("IF(C33&lt;&gt;"""",COUNTIF(FILTER(OppMonsUsed, GameResults=""win""), C33), """")"),"")</f>
        <v/>
      </c>
      <c r="F33" s="231" t="str">
        <f t="shared" si="1"/>
        <v/>
      </c>
    </row>
    <row r="34">
      <c r="C34" s="63"/>
      <c r="D34" s="63" t="str">
        <f>IF(C34&lt;&gt;"", CountIF(OppMonsUsed, C34), "")</f>
        <v/>
      </c>
      <c r="E34" s="63" t="str">
        <f>IFERROR(__xludf.DUMMYFUNCTION("IF(C34&lt;&gt;"""",COUNTIF(FILTER(OppMonsUsed, GameResults=""win""), C34), """")"),"")</f>
        <v/>
      </c>
      <c r="F34" s="231" t="str">
        <f t="shared" si="1"/>
        <v/>
      </c>
    </row>
    <row r="35">
      <c r="C35" s="63"/>
      <c r="D35" s="63" t="str">
        <f>IF(C35&lt;&gt;"", CountIF(OppMonsUsed, C35), "")</f>
        <v/>
      </c>
      <c r="E35" s="63" t="str">
        <f>IFERROR(__xludf.DUMMYFUNCTION("IF(C35&lt;&gt;"""",COUNTIF(FILTER(OppMonsUsed, GameResults=""win""), C35), """")"),"")</f>
        <v/>
      </c>
      <c r="F35" s="231" t="str">
        <f t="shared" si="1"/>
        <v/>
      </c>
    </row>
    <row r="36">
      <c r="C36" s="63"/>
      <c r="D36" s="63" t="str">
        <f>IF(C36&lt;&gt;"", CountIF(OppMonsUsed, C36), "")</f>
        <v/>
      </c>
      <c r="E36" s="63" t="str">
        <f>IFERROR(__xludf.DUMMYFUNCTION("IF(C36&lt;&gt;"""",COUNTIF(FILTER(OppMonsUsed, GameResults=""win""), C36), """")"),"")</f>
        <v/>
      </c>
      <c r="F36" s="231" t="str">
        <f t="shared" si="1"/>
        <v/>
      </c>
    </row>
    <row r="37">
      <c r="C37" s="63"/>
      <c r="D37" s="63" t="str">
        <f>IF(C37&lt;&gt;"", CountIF(OppMonsUsed, C37), "")</f>
        <v/>
      </c>
      <c r="E37" s="63" t="str">
        <f>IFERROR(__xludf.DUMMYFUNCTION("IF(C37&lt;&gt;"""",COUNTIF(FILTER(OppMonsUsed, GameResults=""win""), C37), """")"),"")</f>
        <v/>
      </c>
      <c r="F37" s="231" t="str">
        <f t="shared" si="1"/>
        <v/>
      </c>
    </row>
    <row r="38">
      <c r="C38" s="63"/>
      <c r="D38" s="63" t="str">
        <f>IF(C38&lt;&gt;"", CountIF(OppMonsUsed, C38), "")</f>
        <v/>
      </c>
      <c r="E38" s="63" t="str">
        <f>IFERROR(__xludf.DUMMYFUNCTION("IF(C38&lt;&gt;"""",COUNTIF(FILTER(OppMonsUsed, GameResults=""win""), C38), """")"),"")</f>
        <v/>
      </c>
      <c r="F38" s="231" t="str">
        <f t="shared" si="1"/>
        <v/>
      </c>
    </row>
    <row r="39">
      <c r="C39" s="63"/>
      <c r="D39" s="63" t="str">
        <f>IF(C39&lt;&gt;"", CountIF(OppMonsUsed, C39), "")</f>
        <v/>
      </c>
      <c r="E39" s="63" t="str">
        <f>IFERROR(__xludf.DUMMYFUNCTION("IF(C39&lt;&gt;"""",COUNTIF(FILTER(OppMonsUsed, GameResults=""win""), C39), """")"),"")</f>
        <v/>
      </c>
      <c r="F39" s="231" t="str">
        <f t="shared" si="1"/>
        <v/>
      </c>
    </row>
    <row r="40">
      <c r="C40" s="63"/>
      <c r="D40" s="63" t="str">
        <f>IF(C40&lt;&gt;"", CountIF(OppMonsUsed, C40), "")</f>
        <v/>
      </c>
      <c r="E40" s="63" t="str">
        <f>IFERROR(__xludf.DUMMYFUNCTION("IF(C40&lt;&gt;"""",COUNTIF(FILTER(OppMonsUsed, GameResults=""win""), C40), """")"),"")</f>
        <v/>
      </c>
      <c r="F40" s="231" t="str">
        <f t="shared" si="1"/>
        <v/>
      </c>
    </row>
    <row r="41">
      <c r="C41" s="63"/>
      <c r="D41" s="63" t="str">
        <f>IF(C41&lt;&gt;"", CountIF(OppMonsUsed, C41), "")</f>
        <v/>
      </c>
      <c r="E41" s="63" t="str">
        <f>IFERROR(__xludf.DUMMYFUNCTION("IF(C41&lt;&gt;"""",COUNTIF(FILTER(OppMonsUsed, GameResults=""win""), C41), """")"),"")</f>
        <v/>
      </c>
      <c r="F41" s="231" t="str">
        <f t="shared" si="1"/>
        <v/>
      </c>
    </row>
    <row r="42">
      <c r="C42" s="63"/>
      <c r="D42" s="63" t="str">
        <f>IF(C42&lt;&gt;"", CountIF(OppMonsUsed, C42), "")</f>
        <v/>
      </c>
      <c r="E42" s="63" t="str">
        <f>IFERROR(__xludf.DUMMYFUNCTION("IF(C42&lt;&gt;"""",COUNTIF(FILTER(OppMonsUsed, GameResults=""win""), C42), """")"),"")</f>
        <v/>
      </c>
      <c r="F42" s="231" t="str">
        <f t="shared" si="1"/>
        <v/>
      </c>
    </row>
    <row r="43">
      <c r="C43" s="63"/>
      <c r="D43" s="63" t="str">
        <f>IF(C43&lt;&gt;"", CountIF(OppMonsUsed, C43), "")</f>
        <v/>
      </c>
      <c r="E43" s="63" t="str">
        <f>IFERROR(__xludf.DUMMYFUNCTION("IF(C43&lt;&gt;"""",COUNTIF(FILTER(OppMonsUsed, GameResults=""win""), C43), """")"),"")</f>
        <v/>
      </c>
      <c r="F43" s="231" t="str">
        <f t="shared" si="1"/>
        <v/>
      </c>
    </row>
    <row r="44">
      <c r="C44" s="63"/>
      <c r="D44" s="63" t="str">
        <f>IF(C44&lt;&gt;"", CountIF(OppMonsUsed, C44), "")</f>
        <v/>
      </c>
      <c r="E44" s="63" t="str">
        <f>IFERROR(__xludf.DUMMYFUNCTION("IF(C44&lt;&gt;"""",COUNTIF(FILTER(OppMonsUsed, GameResults=""win""), C44), """")"),"")</f>
        <v/>
      </c>
      <c r="F44" s="231" t="str">
        <f t="shared" si="1"/>
        <v/>
      </c>
    </row>
    <row r="45">
      <c r="C45" s="63"/>
      <c r="D45" s="63" t="str">
        <f>IF(C45&lt;&gt;"", CountIF(OppMonsUsed, C45), "")</f>
        <v/>
      </c>
      <c r="E45" s="63" t="str">
        <f>IFERROR(__xludf.DUMMYFUNCTION("IF(C45&lt;&gt;"""",COUNTIF(FILTER(OppMonsUsed, GameResults=""win""), C45), """")"),"")</f>
        <v/>
      </c>
      <c r="F45" s="231" t="str">
        <f t="shared" si="1"/>
        <v/>
      </c>
    </row>
    <row r="46">
      <c r="C46" s="63"/>
      <c r="D46" s="63" t="str">
        <f>IF(C46&lt;&gt;"", CountIF(OppMonsUsed, C46), "")</f>
        <v/>
      </c>
      <c r="E46" s="63" t="str">
        <f>IFERROR(__xludf.DUMMYFUNCTION("IF(C46&lt;&gt;"""",COUNTIF(FILTER(OppMonsUsed, GameResults=""win""), C46), """")"),"")</f>
        <v/>
      </c>
      <c r="F46" s="231" t="str">
        <f t="shared" si="1"/>
        <v/>
      </c>
    </row>
    <row r="47">
      <c r="C47" s="63"/>
      <c r="D47" s="63" t="str">
        <f>IF(C47&lt;&gt;"", CountIF(OppMonsUsed, C47), "")</f>
        <v/>
      </c>
      <c r="E47" s="63" t="str">
        <f>IFERROR(__xludf.DUMMYFUNCTION("IF(C47&lt;&gt;"""",COUNTIF(FILTER(OppMonsUsed, GameResults=""win""), C47), """")"),"")</f>
        <v/>
      </c>
      <c r="F47" s="231" t="str">
        <f t="shared" si="1"/>
        <v/>
      </c>
    </row>
    <row r="48">
      <c r="C48" s="63"/>
      <c r="D48" s="63" t="str">
        <f>IF(C48&lt;&gt;"", CountIF(OppMonsUsed, C48), "")</f>
        <v/>
      </c>
      <c r="E48" s="63" t="str">
        <f>IFERROR(__xludf.DUMMYFUNCTION("IF(C48&lt;&gt;"""",COUNTIF(FILTER(OppMonsUsed, GameResults=""win""), C48), """")"),"")</f>
        <v/>
      </c>
      <c r="F48" s="231" t="str">
        <f t="shared" si="1"/>
        <v/>
      </c>
    </row>
    <row r="49">
      <c r="C49" s="63"/>
      <c r="D49" s="63" t="str">
        <f>IF(C49&lt;&gt;"", CountIF(OppMonsUsed, C49), "")</f>
        <v/>
      </c>
      <c r="E49" s="63" t="str">
        <f>IFERROR(__xludf.DUMMYFUNCTION("IF(C49&lt;&gt;"""",COUNTIF(FILTER(OppMonsUsed, GameResults=""win""), C49), """")"),"")</f>
        <v/>
      </c>
      <c r="F49" s="231" t="str">
        <f t="shared" si="1"/>
        <v/>
      </c>
    </row>
    <row r="50">
      <c r="C50" s="63"/>
      <c r="D50" s="63" t="str">
        <f>IF(C50&lt;&gt;"", CountIF(OppMonsUsed, C50), "")</f>
        <v/>
      </c>
      <c r="E50" s="63" t="str">
        <f>IFERROR(__xludf.DUMMYFUNCTION("IF(C50&lt;&gt;"""",COUNTIF(FILTER(OppMonsUsed, GameResults=""win""), C50), """")"),"")</f>
        <v/>
      </c>
      <c r="F50" s="231" t="str">
        <f t="shared" si="1"/>
        <v/>
      </c>
    </row>
    <row r="51">
      <c r="C51" s="63"/>
      <c r="D51" s="63" t="str">
        <f>IF(C51&lt;&gt;"", CountIF(OppMonsUsed, C51), "")</f>
        <v/>
      </c>
      <c r="E51" s="63" t="str">
        <f>IFERROR(__xludf.DUMMYFUNCTION("IF(C51&lt;&gt;"""",COUNTIF(FILTER(OppMonsUsed, GameResults=""win""), C51), """")"),"")</f>
        <v/>
      </c>
      <c r="F51" s="231" t="str">
        <f t="shared" si="1"/>
        <v/>
      </c>
    </row>
    <row r="52">
      <c r="C52" s="63"/>
      <c r="D52" s="63" t="str">
        <f>IF(C52&lt;&gt;"", CountIF(OppMonsUsed, C52), "")</f>
        <v/>
      </c>
      <c r="E52" s="63" t="str">
        <f>IFERROR(__xludf.DUMMYFUNCTION("IF(C52&lt;&gt;"""",COUNTIF(FILTER(OppMonsUsed, GameResults=""win""), C52), """")"),"")</f>
        <v/>
      </c>
      <c r="F52" s="231" t="str">
        <f t="shared" si="1"/>
        <v/>
      </c>
    </row>
    <row r="53">
      <c r="C53" s="63"/>
      <c r="D53" s="63" t="str">
        <f>IF(C53&lt;&gt;"", CountIF(OppMonsUsed, C53), "")</f>
        <v/>
      </c>
      <c r="E53" s="63" t="str">
        <f>IFERROR(__xludf.DUMMYFUNCTION("IF(C53&lt;&gt;"""",COUNTIF(FILTER(OppMonsUsed, GameResults=""win""), C53), """")"),"")</f>
        <v/>
      </c>
      <c r="F53" s="231" t="str">
        <f t="shared" si="1"/>
        <v/>
      </c>
    </row>
    <row r="54">
      <c r="C54" s="63"/>
      <c r="D54" s="63" t="str">
        <f>IF(C54&lt;&gt;"", CountIF(OppMonsUsed, C54), "")</f>
        <v/>
      </c>
      <c r="E54" s="63" t="str">
        <f>IFERROR(__xludf.DUMMYFUNCTION("IF(C54&lt;&gt;"""",COUNTIF(FILTER(OppMonsUsed, GameResults=""win""), C54), """")"),"")</f>
        <v/>
      </c>
      <c r="F54" s="231" t="str">
        <f t="shared" si="1"/>
        <v/>
      </c>
    </row>
    <row r="55">
      <c r="C55" s="63"/>
      <c r="D55" s="63" t="str">
        <f>IF(C55&lt;&gt;"", CountIF(OppMonsUsed, C55), "")</f>
        <v/>
      </c>
      <c r="E55" s="63" t="str">
        <f>IFERROR(__xludf.DUMMYFUNCTION("IF(C55&lt;&gt;"""",COUNTIF(FILTER(OppMonsUsed, GameResults=""win""), C55), """")"),"")</f>
        <v/>
      </c>
      <c r="F55" s="231" t="str">
        <f t="shared" si="1"/>
        <v/>
      </c>
    </row>
    <row r="56">
      <c r="C56" s="63"/>
      <c r="D56" s="63" t="str">
        <f>IF(C56&lt;&gt;"", CountIF(OppMonsUsed, C56), "")</f>
        <v/>
      </c>
      <c r="E56" s="63" t="str">
        <f>IFERROR(__xludf.DUMMYFUNCTION("IF(C56&lt;&gt;"""",COUNTIF(FILTER(OppMonsUsed, GameResults=""win""), C56), """")"),"")</f>
        <v/>
      </c>
      <c r="F56" s="231" t="str">
        <f t="shared" si="1"/>
        <v/>
      </c>
    </row>
    <row r="57">
      <c r="C57" s="63"/>
      <c r="D57" s="63" t="str">
        <f>IF(C57&lt;&gt;"", CountIF(OppMonsUsed, C57), "")</f>
        <v/>
      </c>
      <c r="E57" s="63" t="str">
        <f>IFERROR(__xludf.DUMMYFUNCTION("IF(C57&lt;&gt;"""",COUNTIF(FILTER(OppMonsUsed, GameResults=""win""), C57), """")"),"")</f>
        <v/>
      </c>
      <c r="F57" s="231" t="str">
        <f t="shared" si="1"/>
        <v/>
      </c>
    </row>
    <row r="58">
      <c r="C58" s="63"/>
      <c r="D58" s="63" t="str">
        <f>IF(C58&lt;&gt;"", CountIF(OppMonsUsed, C58), "")</f>
        <v/>
      </c>
      <c r="E58" s="63" t="str">
        <f>IFERROR(__xludf.DUMMYFUNCTION("IF(C58&lt;&gt;"""",COUNTIF(FILTER(OppMonsUsed, GameResults=""win""), C58), """")"),"")</f>
        <v/>
      </c>
      <c r="F58" s="231" t="str">
        <f t="shared" si="1"/>
        <v/>
      </c>
    </row>
    <row r="59">
      <c r="C59" s="63"/>
      <c r="D59" s="63" t="str">
        <f>IF(C59&lt;&gt;"", CountIF(OppMonsUsed, C59), "")</f>
        <v/>
      </c>
      <c r="E59" s="63" t="str">
        <f>IFERROR(__xludf.DUMMYFUNCTION("IF(C59&lt;&gt;"""",COUNTIF(FILTER(OppMonsUsed, GameResults=""win""), C59), """")"),"")</f>
        <v/>
      </c>
      <c r="F59" s="231" t="str">
        <f t="shared" si="1"/>
        <v/>
      </c>
    </row>
    <row r="60">
      <c r="C60" s="63"/>
      <c r="D60" s="63" t="str">
        <f>IF(C60&lt;&gt;"", CountIF(OppMonsUsed, C60), "")</f>
        <v/>
      </c>
      <c r="E60" s="63" t="str">
        <f>IFERROR(__xludf.DUMMYFUNCTION("IF(C60&lt;&gt;"""",COUNTIF(FILTER(OppMonsUsed, GameResults=""win""), C60), """")"),"")</f>
        <v/>
      </c>
      <c r="F60" s="231" t="str">
        <f t="shared" si="1"/>
        <v/>
      </c>
    </row>
    <row r="61">
      <c r="C61" s="63"/>
      <c r="D61" s="63" t="str">
        <f>IF(C61&lt;&gt;"", CountIF(OppMonsUsed, C61), "")</f>
        <v/>
      </c>
      <c r="E61" s="63" t="str">
        <f>IFERROR(__xludf.DUMMYFUNCTION("IF(C61&lt;&gt;"""",COUNTIF(FILTER(OppMonsUsed, GameResults=""win""), C61), """")"),"")</f>
        <v/>
      </c>
      <c r="F61" s="231" t="str">
        <f t="shared" si="1"/>
        <v/>
      </c>
    </row>
    <row r="62">
      <c r="C62" s="63"/>
      <c r="D62" s="63" t="str">
        <f>IF(C62&lt;&gt;"", CountIF(OppMonsUsed, C62), "")</f>
        <v/>
      </c>
      <c r="E62" s="63" t="str">
        <f>IFERROR(__xludf.DUMMYFUNCTION("IF(C62&lt;&gt;"""",COUNTIF(FILTER(OppMonsUsed, GameResults=""win""), C62), """")"),"")</f>
        <v/>
      </c>
      <c r="F62" s="231" t="str">
        <f t="shared" si="1"/>
        <v/>
      </c>
    </row>
    <row r="63">
      <c r="C63" s="63"/>
      <c r="D63" s="63" t="str">
        <f>IF(C63&lt;&gt;"", CountIF(OppMonsUsed, C63), "")</f>
        <v/>
      </c>
      <c r="E63" s="63" t="str">
        <f>IFERROR(__xludf.DUMMYFUNCTION("IF(C63&lt;&gt;"""",COUNTIF(FILTER(OppMonsUsed, GameResults=""win""), C63), """")"),"")</f>
        <v/>
      </c>
      <c r="F63" s="231" t="str">
        <f t="shared" si="1"/>
        <v/>
      </c>
    </row>
    <row r="64">
      <c r="C64" s="63"/>
      <c r="D64" s="63" t="str">
        <f>IF(C64&lt;&gt;"", CountIF(OppMonsUsed, C64), "")</f>
        <v/>
      </c>
      <c r="E64" s="63" t="str">
        <f>IFERROR(__xludf.DUMMYFUNCTION("IF(C64&lt;&gt;"""",COUNTIF(FILTER(OppMonsUsed, GameResults=""win""), C64), """")"),"")</f>
        <v/>
      </c>
      <c r="F64" s="231" t="str">
        <f t="shared" si="1"/>
        <v/>
      </c>
    </row>
    <row r="65">
      <c r="C65" s="63"/>
      <c r="D65" s="63" t="str">
        <f>IF(C65&lt;&gt;"", CountIF(OppMonsUsed, C65), "")</f>
        <v/>
      </c>
      <c r="E65" s="63" t="str">
        <f>IFERROR(__xludf.DUMMYFUNCTION("IF(C65&lt;&gt;"""",COUNTIF(FILTER(OppMonsUsed, GameResults=""win""), C65), """")"),"")</f>
        <v/>
      </c>
      <c r="F65" s="231" t="str">
        <f t="shared" si="1"/>
        <v/>
      </c>
    </row>
    <row r="66">
      <c r="C66" s="63"/>
      <c r="D66" s="63" t="str">
        <f>IF(C66&lt;&gt;"", CountIF(OppMonsUsed, C66), "")</f>
        <v/>
      </c>
      <c r="E66" s="63" t="str">
        <f>IFERROR(__xludf.DUMMYFUNCTION("IF(C66&lt;&gt;"""",COUNTIF(FILTER(OppMonsUsed, GameResults=""win""), C66), """")"),"")</f>
        <v/>
      </c>
      <c r="F66" s="231" t="str">
        <f t="shared" si="1"/>
        <v/>
      </c>
    </row>
    <row r="67">
      <c r="C67" s="63"/>
      <c r="D67" s="63" t="str">
        <f>IF(C67&lt;&gt;"", CountIF(OppMonsUsed, C67), "")</f>
        <v/>
      </c>
      <c r="E67" s="63" t="str">
        <f>IFERROR(__xludf.DUMMYFUNCTION("IF(C67&lt;&gt;"""",COUNTIF(FILTER(OppMonsUsed, GameResults=""win""), C67), """")"),"")</f>
        <v/>
      </c>
      <c r="F67" s="231" t="str">
        <f t="shared" si="1"/>
        <v/>
      </c>
    </row>
    <row r="68">
      <c r="C68" s="63"/>
      <c r="D68" s="63" t="str">
        <f>IF(C68&lt;&gt;"", CountIF(OppMonsUsed, C68), "")</f>
        <v/>
      </c>
      <c r="E68" s="63" t="str">
        <f>IFERROR(__xludf.DUMMYFUNCTION("IF(C68&lt;&gt;"""",COUNTIF(FILTER(OppMonsUsed, GameResults=""win""), C68), """")"),"")</f>
        <v/>
      </c>
      <c r="F68" s="231" t="str">
        <f t="shared" si="1"/>
        <v/>
      </c>
    </row>
    <row r="69">
      <c r="C69" s="63"/>
      <c r="D69" s="63" t="str">
        <f>IF(C69&lt;&gt;"", CountIF(OppMonsUsed, C69), "")</f>
        <v/>
      </c>
      <c r="E69" s="63" t="str">
        <f>IFERROR(__xludf.DUMMYFUNCTION("IF(C69&lt;&gt;"""",COUNTIF(FILTER(OppMonsUsed, GameResults=""win""), C69), """")"),"")</f>
        <v/>
      </c>
      <c r="F69" s="231" t="str">
        <f t="shared" si="1"/>
        <v/>
      </c>
    </row>
    <row r="70">
      <c r="C70" s="63"/>
      <c r="D70" s="63" t="str">
        <f>IF(C70&lt;&gt;"", CountIF(OppMonsUsed, C70), "")</f>
        <v/>
      </c>
      <c r="E70" s="63" t="str">
        <f>IFERROR(__xludf.DUMMYFUNCTION("IF(C70&lt;&gt;"""",COUNTIF(FILTER(OppMonsUsed, GameResults=""win""), C70), """")"),"")</f>
        <v/>
      </c>
      <c r="F70" s="231" t="str">
        <f t="shared" si="1"/>
        <v/>
      </c>
    </row>
    <row r="71">
      <c r="C71" s="63"/>
      <c r="D71" s="63" t="str">
        <f>IF(C71&lt;&gt;"", CountIF(OppMonsUsed, C71), "")</f>
        <v/>
      </c>
      <c r="E71" s="63" t="str">
        <f>IFERROR(__xludf.DUMMYFUNCTION("IF(C71&lt;&gt;"""",COUNTIF(FILTER(OppMonsUsed, GameResults=""win""), C71), """")"),"")</f>
        <v/>
      </c>
      <c r="F71" s="231" t="str">
        <f t="shared" si="1"/>
        <v/>
      </c>
    </row>
    <row r="72">
      <c r="C72" s="63"/>
      <c r="D72" s="63" t="str">
        <f>IF(C72&lt;&gt;"", CountIF(OppMonsUsed, C72), "")</f>
        <v/>
      </c>
      <c r="E72" s="63" t="str">
        <f>IFERROR(__xludf.DUMMYFUNCTION("IF(C72&lt;&gt;"""",COUNTIF(FILTER(OppMonsUsed, GameResults=""win""), C72), """")"),"")</f>
        <v/>
      </c>
      <c r="F72" s="231" t="str">
        <f t="shared" si="1"/>
        <v/>
      </c>
    </row>
    <row r="73">
      <c r="C73" s="63"/>
      <c r="D73" s="63" t="str">
        <f>IF(C73&lt;&gt;"", CountIF(OppMonsUsed, C73), "")</f>
        <v/>
      </c>
      <c r="E73" s="63" t="str">
        <f>IFERROR(__xludf.DUMMYFUNCTION("IF(C73&lt;&gt;"""",COUNTIF(FILTER(OppMonsUsed, GameResults=""win""), C73), """")"),"")</f>
        <v/>
      </c>
      <c r="F73" s="231" t="str">
        <f t="shared" si="1"/>
        <v/>
      </c>
    </row>
    <row r="74">
      <c r="C74" s="63"/>
      <c r="D74" s="63" t="str">
        <f>IF(C74&lt;&gt;"", CountIF(OppMonsUsed, C74), "")</f>
        <v/>
      </c>
      <c r="E74" s="63" t="str">
        <f>IFERROR(__xludf.DUMMYFUNCTION("IF(C74&lt;&gt;"""",COUNTIF(FILTER(OppMonsUsed, GameResults=""win""), C74), """")"),"")</f>
        <v/>
      </c>
      <c r="F74" s="231" t="str">
        <f t="shared" si="1"/>
        <v/>
      </c>
    </row>
    <row r="75">
      <c r="C75" s="63"/>
      <c r="D75" s="63" t="str">
        <f>IF(C75&lt;&gt;"", CountIF(OppMonsUsed, C75), "")</f>
        <v/>
      </c>
      <c r="E75" s="63" t="str">
        <f>IFERROR(__xludf.DUMMYFUNCTION("IF(C75&lt;&gt;"""",COUNTIF(FILTER(OppMonsUsed, GameResults=""win""), C75), """")"),"")</f>
        <v/>
      </c>
      <c r="F75" s="231" t="str">
        <f t="shared" si="1"/>
        <v/>
      </c>
    </row>
    <row r="76">
      <c r="C76" s="63"/>
      <c r="D76" s="63" t="str">
        <f>IF(C76&lt;&gt;"", CountIF(OppMonsUsed, C76), "")</f>
        <v/>
      </c>
      <c r="E76" s="63" t="str">
        <f>IFERROR(__xludf.DUMMYFUNCTION("IF(C76&lt;&gt;"""",COUNTIF(FILTER(OppMonsUsed, GameResults=""win""), C76), """")"),"")</f>
        <v/>
      </c>
      <c r="F76" s="231" t="str">
        <f t="shared" si="1"/>
        <v/>
      </c>
    </row>
    <row r="77">
      <c r="C77" s="63"/>
      <c r="D77" s="63" t="str">
        <f>IF(C77&lt;&gt;"", CountIF(OppMonsUsed, C77), "")</f>
        <v/>
      </c>
      <c r="E77" s="63" t="str">
        <f>IFERROR(__xludf.DUMMYFUNCTION("IF(C77&lt;&gt;"""",COUNTIF(FILTER(OppMonsUsed, GameResults=""win""), C77), """")"),"")</f>
        <v/>
      </c>
      <c r="F77" s="231" t="str">
        <f t="shared" si="1"/>
        <v/>
      </c>
    </row>
    <row r="78">
      <c r="C78" s="63"/>
      <c r="D78" s="63" t="str">
        <f>IF(C78&lt;&gt;"", CountIF(OppMonsUsed, C78), "")</f>
        <v/>
      </c>
      <c r="E78" s="63" t="str">
        <f>IFERROR(__xludf.DUMMYFUNCTION("IF(C78&lt;&gt;"""",COUNTIF(FILTER(OppMonsUsed, GameResults=""win""), C78), """")"),"")</f>
        <v/>
      </c>
      <c r="F78" s="231" t="str">
        <f t="shared" si="1"/>
        <v/>
      </c>
    </row>
    <row r="79">
      <c r="C79" s="63"/>
      <c r="D79" s="63" t="str">
        <f>IF(C79&lt;&gt;"", CountIF(OppMonsUsed, C79), "")</f>
        <v/>
      </c>
      <c r="E79" s="63" t="str">
        <f>IFERROR(__xludf.DUMMYFUNCTION("IF(C79&lt;&gt;"""",COUNTIF(FILTER(OppMonsUsed, GameResults=""win""), C79), """")"),"")</f>
        <v/>
      </c>
      <c r="F79" s="231" t="str">
        <f t="shared" si="1"/>
        <v/>
      </c>
    </row>
    <row r="80">
      <c r="C80" s="63"/>
      <c r="D80" s="63" t="str">
        <f>IF(C80&lt;&gt;"", CountIF(OppMonsUsed, C80), "")</f>
        <v/>
      </c>
      <c r="E80" s="63" t="str">
        <f>IFERROR(__xludf.DUMMYFUNCTION("IF(C80&lt;&gt;"""",COUNTIF(FILTER(OppMonsUsed, GameResults=""win""), C80), """")"),"")</f>
        <v/>
      </c>
      <c r="F80" s="231" t="str">
        <f t="shared" si="1"/>
        <v/>
      </c>
    </row>
    <row r="81">
      <c r="C81" s="63"/>
      <c r="D81" s="63" t="str">
        <f>IF(C81&lt;&gt;"", CountIF(OppMonsUsed, C81), "")</f>
        <v/>
      </c>
      <c r="E81" s="63" t="str">
        <f>IFERROR(__xludf.DUMMYFUNCTION("IF(C81&lt;&gt;"""",COUNTIF(FILTER(OppMonsUsed, GameResults=""win""), C81), """")"),"")</f>
        <v/>
      </c>
      <c r="F81" s="231" t="str">
        <f t="shared" si="1"/>
        <v/>
      </c>
    </row>
    <row r="82">
      <c r="C82" s="63"/>
      <c r="D82" s="63" t="str">
        <f>IF(C82&lt;&gt;"", CountIF(OppMonsUsed, C82), "")</f>
        <v/>
      </c>
      <c r="E82" s="63" t="str">
        <f>IFERROR(__xludf.DUMMYFUNCTION("IF(C82&lt;&gt;"""",COUNTIF(FILTER(OppMonsUsed, GameResults=""win""), C82), """")"),"")</f>
        <v/>
      </c>
      <c r="F82" s="231" t="str">
        <f t="shared" si="1"/>
        <v/>
      </c>
    </row>
    <row r="83">
      <c r="C83" s="63"/>
      <c r="D83" s="63" t="str">
        <f>IF(C83&lt;&gt;"", CountIF(OppMonsUsed, C83), "")</f>
        <v/>
      </c>
      <c r="E83" s="63" t="str">
        <f>IFERROR(__xludf.DUMMYFUNCTION("IF(C83&lt;&gt;"""",COUNTIF(FILTER(OppMonsUsed, GameResults=""win""), C83), """")"),"")</f>
        <v/>
      </c>
      <c r="F83" s="231" t="str">
        <f t="shared" si="1"/>
        <v/>
      </c>
    </row>
    <row r="84">
      <c r="C84" s="63"/>
      <c r="D84" s="63" t="str">
        <f>IF(C84&lt;&gt;"", CountIF(OppMonsUsed, C84), "")</f>
        <v/>
      </c>
      <c r="E84" s="63" t="str">
        <f>IFERROR(__xludf.DUMMYFUNCTION("IF(C84&lt;&gt;"""",COUNTIF(FILTER(OppMonsUsed, GameResults=""win""), C84), """")"),"")</f>
        <v/>
      </c>
      <c r="F84" s="231" t="str">
        <f t="shared" si="1"/>
        <v/>
      </c>
    </row>
    <row r="85">
      <c r="C85" s="63"/>
      <c r="D85" s="63" t="str">
        <f>IF(C85&lt;&gt;"", CountIF(OppMonsUsed, C85), "")</f>
        <v/>
      </c>
      <c r="E85" s="63" t="str">
        <f>IFERROR(__xludf.DUMMYFUNCTION("IF(C85&lt;&gt;"""",COUNTIF(FILTER(OppMonsUsed, GameResults=""win""), C85), """")"),"")</f>
        <v/>
      </c>
      <c r="F85" s="231" t="str">
        <f t="shared" si="1"/>
        <v/>
      </c>
    </row>
    <row r="86">
      <c r="C86" s="63"/>
      <c r="D86" s="63" t="str">
        <f>IF(C86&lt;&gt;"", CountIF(OppMonsUsed, C86), "")</f>
        <v/>
      </c>
      <c r="E86" s="63" t="str">
        <f>IFERROR(__xludf.DUMMYFUNCTION("IF(C86&lt;&gt;"""",COUNTIF(FILTER(OppMonsUsed, GameResults=""win""), C86), """")"),"")</f>
        <v/>
      </c>
      <c r="F86" s="231" t="str">
        <f t="shared" si="1"/>
        <v/>
      </c>
    </row>
    <row r="87">
      <c r="C87" s="63"/>
      <c r="D87" s="63" t="str">
        <f>IF(C87&lt;&gt;"", CountIF(OppMonsUsed, C87), "")</f>
        <v/>
      </c>
      <c r="E87" s="63" t="str">
        <f>IFERROR(__xludf.DUMMYFUNCTION("IF(C87&lt;&gt;"""",COUNTIF(FILTER(OppMonsUsed, GameResults=""win""), C87), """")"),"")</f>
        <v/>
      </c>
      <c r="F87" s="231" t="str">
        <f t="shared" si="1"/>
        <v/>
      </c>
    </row>
    <row r="88">
      <c r="C88" s="63"/>
      <c r="D88" s="63" t="str">
        <f>IF(C88&lt;&gt;"", CountIF(OppMonsUsed, C88), "")</f>
        <v/>
      </c>
      <c r="E88" s="63" t="str">
        <f>IFERROR(__xludf.DUMMYFUNCTION("IF(C88&lt;&gt;"""",COUNTIF(FILTER(OppMonsUsed, GameResults=""win""), C88), """")"),"")</f>
        <v/>
      </c>
      <c r="F88" s="231" t="str">
        <f t="shared" si="1"/>
        <v/>
      </c>
    </row>
    <row r="89">
      <c r="C89" s="63"/>
      <c r="D89" s="63" t="str">
        <f>IF(C89&lt;&gt;"", CountIF(OppMonsUsed, C89), "")</f>
        <v/>
      </c>
      <c r="E89" s="63" t="str">
        <f>IFERROR(__xludf.DUMMYFUNCTION("IF(C89&lt;&gt;"""",COUNTIF(FILTER(OppMonsUsed, GameResults=""win""), C89), """")"),"")</f>
        <v/>
      </c>
      <c r="F89" s="231" t="str">
        <f t="shared" si="1"/>
        <v/>
      </c>
    </row>
    <row r="90">
      <c r="C90" s="63"/>
      <c r="D90" s="63" t="str">
        <f>IF(C90&lt;&gt;"", CountIF(OppMonsUsed, C90), "")</f>
        <v/>
      </c>
      <c r="E90" s="63" t="str">
        <f>IFERROR(__xludf.DUMMYFUNCTION("IF(C90&lt;&gt;"""",COUNTIF(FILTER(OppMonsUsed, GameResults=""win""), C90), """")"),"")</f>
        <v/>
      </c>
      <c r="F90" s="231" t="str">
        <f t="shared" si="1"/>
        <v/>
      </c>
    </row>
    <row r="91">
      <c r="C91" s="63"/>
      <c r="D91" s="63" t="str">
        <f>IF(C91&lt;&gt;"", CountIF(OppMonsUsed, C91), "")</f>
        <v/>
      </c>
      <c r="E91" s="63" t="str">
        <f>IFERROR(__xludf.DUMMYFUNCTION("IF(C91&lt;&gt;"""",COUNTIF(FILTER(OppMonsUsed, GameResults=""win""), C91), """")"),"")</f>
        <v/>
      </c>
      <c r="F91" s="231" t="str">
        <f t="shared" si="1"/>
        <v/>
      </c>
    </row>
    <row r="92">
      <c r="C92" s="63"/>
      <c r="D92" s="63" t="str">
        <f>IF(C92&lt;&gt;"", CountIF(OppMonsUsed, C92), "")</f>
        <v/>
      </c>
      <c r="E92" s="63" t="str">
        <f>IFERROR(__xludf.DUMMYFUNCTION("IF(C92&lt;&gt;"""",COUNTIF(FILTER(OppMonsUsed, GameResults=""win""), C92), """")"),"")</f>
        <v/>
      </c>
      <c r="F92" s="231" t="str">
        <f t="shared" si="1"/>
        <v/>
      </c>
    </row>
    <row r="93">
      <c r="C93" s="63"/>
      <c r="D93" s="63" t="str">
        <f>IF(C93&lt;&gt;"", CountIF(OppMonsUsed, C93), "")</f>
        <v/>
      </c>
      <c r="E93" s="63" t="str">
        <f>IFERROR(__xludf.DUMMYFUNCTION("IF(C93&lt;&gt;"""",COUNTIF(FILTER(OppMonsUsed, GameResults=""win""), C93), """")"),"")</f>
        <v/>
      </c>
      <c r="F93" s="231" t="str">
        <f t="shared" si="1"/>
        <v/>
      </c>
    </row>
    <row r="94">
      <c r="C94" s="63"/>
      <c r="D94" s="63" t="str">
        <f>IF(C94&lt;&gt;"", CountIF(OppMonsUsed, C94), "")</f>
        <v/>
      </c>
      <c r="E94" s="63" t="str">
        <f>IFERROR(__xludf.DUMMYFUNCTION("IF(C94&lt;&gt;"""",COUNTIF(FILTER(OppMonsUsed, GameResults=""win""), C94), """")"),"")</f>
        <v/>
      </c>
      <c r="F94" s="231" t="str">
        <f t="shared" si="1"/>
        <v/>
      </c>
    </row>
    <row r="95">
      <c r="C95" s="63"/>
      <c r="D95" s="63" t="str">
        <f>IF(C95&lt;&gt;"", CountIF(OppMonsUsed, C95), "")</f>
        <v/>
      </c>
      <c r="E95" s="63" t="str">
        <f>IFERROR(__xludf.DUMMYFUNCTION("IF(C95&lt;&gt;"""",COUNTIF(FILTER(OppMonsUsed, GameResults=""win""), C95), """")"),"")</f>
        <v/>
      </c>
      <c r="F95" s="231" t="str">
        <f t="shared" si="1"/>
        <v/>
      </c>
    </row>
    <row r="96">
      <c r="C96" s="63"/>
      <c r="D96" s="63" t="str">
        <f>IF(C96&lt;&gt;"", CountIF(OppMonsUsed, C96), "")</f>
        <v/>
      </c>
      <c r="E96" s="63" t="str">
        <f>IFERROR(__xludf.DUMMYFUNCTION("IF(C96&lt;&gt;"""",COUNTIF(FILTER(OppMonsUsed, GameResults=""win""), C96), """")"),"")</f>
        <v/>
      </c>
      <c r="F96" s="231" t="str">
        <f t="shared" si="1"/>
        <v/>
      </c>
    </row>
    <row r="97">
      <c r="C97" s="63"/>
      <c r="D97" s="63" t="str">
        <f>IF(C97&lt;&gt;"", CountIF(OppMonsUsed, C97), "")</f>
        <v/>
      </c>
      <c r="E97" s="63" t="str">
        <f>IFERROR(__xludf.DUMMYFUNCTION("IF(C97&lt;&gt;"""",COUNTIF(FILTER(OppMonsUsed, GameResults=""win""), C97), """")"),"")</f>
        <v/>
      </c>
      <c r="F97" s="231" t="str">
        <f t="shared" si="1"/>
        <v/>
      </c>
    </row>
    <row r="98">
      <c r="C98" s="63"/>
      <c r="D98" s="63" t="str">
        <f>IF(C98&lt;&gt;"", CountIF(OppMonsUsed, C98), "")</f>
        <v/>
      </c>
      <c r="E98" s="63" t="str">
        <f>IFERROR(__xludf.DUMMYFUNCTION("IF(C98&lt;&gt;"""",COUNTIF(FILTER(OppMonsUsed, GameResults=""win""), C98), """")"),"")</f>
        <v/>
      </c>
      <c r="F98" s="231" t="str">
        <f t="shared" si="1"/>
        <v/>
      </c>
    </row>
    <row r="99">
      <c r="C99" s="63"/>
      <c r="D99" s="63" t="str">
        <f>IF(C99&lt;&gt;"", CountIF(OppMonsUsed, C99), "")</f>
        <v/>
      </c>
      <c r="E99" s="63" t="str">
        <f>IFERROR(__xludf.DUMMYFUNCTION("IF(C99&lt;&gt;"""",COUNTIF(FILTER(OppMonsUsed, GameResults=""win""), C99), """")"),"")</f>
        <v/>
      </c>
      <c r="F99" s="231" t="str">
        <f t="shared" si="1"/>
        <v/>
      </c>
    </row>
    <row r="100">
      <c r="C100" s="63"/>
      <c r="D100" s="63" t="str">
        <f>IF(C100&lt;&gt;"", CountIF(OppMonsUsed, C100), "")</f>
        <v/>
      </c>
      <c r="E100" s="63" t="str">
        <f>IFERROR(__xludf.DUMMYFUNCTION("IF(C100&lt;&gt;"""",COUNTIF(FILTER(OppMonsUsed, GameResults=""win""), C100), """")"),"")</f>
        <v/>
      </c>
      <c r="F100" s="231" t="str">
        <f t="shared" si="1"/>
        <v/>
      </c>
    </row>
    <row r="101">
      <c r="C101" s="63"/>
      <c r="D101" s="63" t="str">
        <f>IF(C101&lt;&gt;"", CountIF(OppMonsUsed, C101), "")</f>
        <v/>
      </c>
      <c r="E101" s="63" t="str">
        <f>IFERROR(__xludf.DUMMYFUNCTION("IF(C101&lt;&gt;"""",COUNTIF(FILTER(OppMonsUsed, GameResults=""win""), C101), """")"),"")</f>
        <v/>
      </c>
      <c r="F101" s="231" t="str">
        <f t="shared" si="1"/>
        <v/>
      </c>
    </row>
    <row r="102">
      <c r="C102" s="63"/>
      <c r="D102" s="63" t="str">
        <f>IF(C102&lt;&gt;"", CountIF(OppMonsUsed, C102), "")</f>
        <v/>
      </c>
      <c r="E102" s="63" t="str">
        <f>IFERROR(__xludf.DUMMYFUNCTION("IF(C102&lt;&gt;"""",COUNTIF(FILTER(OppMonsUsed, GameResults=""win""), C102), """")"),"")</f>
        <v/>
      </c>
      <c r="F102" s="231" t="str">
        <f t="shared" si="1"/>
        <v/>
      </c>
    </row>
    <row r="103">
      <c r="C103" s="63"/>
      <c r="D103" s="63" t="str">
        <f>IF(C103&lt;&gt;"", CountIF(OppMonsUsed, C103), "")</f>
        <v/>
      </c>
      <c r="E103" s="63" t="str">
        <f>IFERROR(__xludf.DUMMYFUNCTION("IF(C103&lt;&gt;"""",COUNTIF(FILTER(OppMonsUsed, GameResults=""win""), C103), """")"),"")</f>
        <v/>
      </c>
      <c r="F103" s="231" t="str">
        <f t="shared" si="1"/>
        <v/>
      </c>
    </row>
    <row r="104">
      <c r="C104" s="63"/>
      <c r="D104" s="63" t="str">
        <f>IF(C104&lt;&gt;"", CountIF(OppMonsUsed, C104), "")</f>
        <v/>
      </c>
      <c r="E104" s="63" t="str">
        <f>IFERROR(__xludf.DUMMYFUNCTION("IF(C104&lt;&gt;"""",COUNTIF(FILTER(OppMonsUsed, GameResults=""win""), C104), """")"),"")</f>
        <v/>
      </c>
      <c r="F104" s="231" t="str">
        <f t="shared" si="1"/>
        <v/>
      </c>
    </row>
    <row r="105">
      <c r="C105" s="63"/>
      <c r="D105" s="63" t="str">
        <f>IF(C105&lt;&gt;"", CountIF(OppMonsUsed, C105), "")</f>
        <v/>
      </c>
      <c r="E105" s="63" t="str">
        <f>IFERROR(__xludf.DUMMYFUNCTION("IF(C105&lt;&gt;"""",COUNTIF(FILTER(OppMonsUsed, GameResults=""win""), C105), """")"),"")</f>
        <v/>
      </c>
      <c r="F105" s="231" t="str">
        <f t="shared" si="1"/>
        <v/>
      </c>
    </row>
    <row r="106">
      <c r="C106" s="63"/>
      <c r="D106" s="63" t="str">
        <f>IF(C106&lt;&gt;"", CountIF(OppMonsUsed, C106), "")</f>
        <v/>
      </c>
      <c r="E106" s="63" t="str">
        <f>IFERROR(__xludf.DUMMYFUNCTION("IF(C106&lt;&gt;"""",COUNTIF(FILTER(OppMonsUsed, GameResults=""win""), C106), """")"),"")</f>
        <v/>
      </c>
      <c r="F106" s="231" t="str">
        <f t="shared" si="1"/>
        <v/>
      </c>
    </row>
    <row r="107">
      <c r="C107" s="63"/>
      <c r="D107" s="63" t="str">
        <f>IF(C107&lt;&gt;"", CountIF(OppMonsUsed, C107), "")</f>
        <v/>
      </c>
      <c r="E107" s="63" t="str">
        <f>IFERROR(__xludf.DUMMYFUNCTION("IF(C107&lt;&gt;"""",COUNTIF(FILTER(OppMonsUsed, GameResults=""win""), C107), """")"),"")</f>
        <v/>
      </c>
      <c r="F107" s="231" t="str">
        <f t="shared" si="1"/>
        <v/>
      </c>
    </row>
    <row r="108">
      <c r="C108" s="63"/>
      <c r="D108" s="63" t="str">
        <f>IF(C108&lt;&gt;"", CountIF(OppMonsUsed, C108), "")</f>
        <v/>
      </c>
      <c r="E108" s="63" t="str">
        <f>IFERROR(__xludf.DUMMYFUNCTION("IF(C108&lt;&gt;"""",COUNTIF(FILTER(OppMonsUsed, GameResults=""win""), C108), """")"),"")</f>
        <v/>
      </c>
      <c r="F108" s="231" t="str">
        <f t="shared" si="1"/>
        <v/>
      </c>
    </row>
    <row r="109">
      <c r="C109" s="63"/>
      <c r="D109" s="63" t="str">
        <f>IF(C109&lt;&gt;"", CountIF(OppMonsUsed, C109), "")</f>
        <v/>
      </c>
      <c r="E109" s="63" t="str">
        <f>IFERROR(__xludf.DUMMYFUNCTION("IF(C109&lt;&gt;"""",COUNTIF(FILTER(OppMonsUsed, GameResults=""win""), C109), """")"),"")</f>
        <v/>
      </c>
      <c r="F109" s="231" t="str">
        <f t="shared" si="1"/>
        <v/>
      </c>
    </row>
    <row r="110">
      <c r="C110" s="63"/>
      <c r="D110" s="63" t="str">
        <f>IF(C110&lt;&gt;"", CountIF(OppMonsUsed, C110), "")</f>
        <v/>
      </c>
      <c r="E110" s="63" t="str">
        <f>IFERROR(__xludf.DUMMYFUNCTION("IF(C110&lt;&gt;"""",COUNTIF(FILTER(OppMonsUsed, GameResults=""win""), C110), """")"),"")</f>
        <v/>
      </c>
      <c r="F110" s="231" t="str">
        <f t="shared" si="1"/>
        <v/>
      </c>
    </row>
    <row r="111">
      <c r="C111" s="63"/>
      <c r="D111" s="63" t="str">
        <f>IF(C111&lt;&gt;"", CountIF(OppMonsUsed, C111), "")</f>
        <v/>
      </c>
      <c r="E111" s="63" t="str">
        <f>IFERROR(__xludf.DUMMYFUNCTION("IF(C111&lt;&gt;"""",COUNTIF(FILTER(OppMonsUsed, GameResults=""win""), C111), """")"),"")</f>
        <v/>
      </c>
      <c r="F111" s="231" t="str">
        <f t="shared" si="1"/>
        <v/>
      </c>
    </row>
    <row r="112">
      <c r="C112" s="63"/>
      <c r="D112" s="63" t="str">
        <f>IF(C112&lt;&gt;"", CountIF(OppMonsUsed, C112), "")</f>
        <v/>
      </c>
      <c r="E112" s="63" t="str">
        <f>IFERROR(__xludf.DUMMYFUNCTION("IF(C112&lt;&gt;"""",COUNTIF(FILTER(OppMonsUsed, GameResults=""win""), C112), """")"),"")</f>
        <v/>
      </c>
      <c r="F112" s="231" t="str">
        <f t="shared" si="1"/>
        <v/>
      </c>
    </row>
    <row r="113">
      <c r="C113" s="63"/>
      <c r="D113" s="63" t="str">
        <f>IF(C113&lt;&gt;"", CountIF(OppMonsUsed, C113), "")</f>
        <v/>
      </c>
      <c r="E113" s="63" t="str">
        <f>IFERROR(__xludf.DUMMYFUNCTION("IF(C113&lt;&gt;"""",COUNTIF(FILTER(OppMonsUsed, GameResults=""win""), C113), """")"),"")</f>
        <v/>
      </c>
      <c r="F113" s="231" t="str">
        <f t="shared" si="1"/>
        <v/>
      </c>
    </row>
    <row r="114">
      <c r="C114" s="63"/>
      <c r="D114" s="63" t="str">
        <f>IF(C114&lt;&gt;"", CountIF(OppMonsUsed, C114), "")</f>
        <v/>
      </c>
      <c r="E114" s="63" t="str">
        <f>IFERROR(__xludf.DUMMYFUNCTION("IF(C114&lt;&gt;"""",COUNTIF(FILTER(OppMonsUsed, GameResults=""win""), C114), """")"),"")</f>
        <v/>
      </c>
      <c r="F114" s="231" t="str">
        <f t="shared" si="1"/>
        <v/>
      </c>
    </row>
    <row r="115">
      <c r="C115" s="63"/>
      <c r="D115" s="63" t="str">
        <f>IF(C115&lt;&gt;"", CountIF(OppMonsUsed, C115), "")</f>
        <v/>
      </c>
      <c r="E115" s="63" t="str">
        <f>IFERROR(__xludf.DUMMYFUNCTION("IF(C115&lt;&gt;"""",COUNTIF(FILTER(OppMonsUsed, GameResults=""win""), C115), """")"),"")</f>
        <v/>
      </c>
      <c r="F115" s="231" t="str">
        <f t="shared" si="1"/>
        <v/>
      </c>
    </row>
    <row r="116">
      <c r="C116" s="63"/>
      <c r="D116" s="63" t="str">
        <f>IF(C116&lt;&gt;"", CountIF(OppMonsUsed, C116), "")</f>
        <v/>
      </c>
      <c r="E116" s="63" t="str">
        <f>IFERROR(__xludf.DUMMYFUNCTION("IF(C116&lt;&gt;"""",COUNTIF(FILTER(OppMonsUsed, GameResults=""win""), C116), """")"),"")</f>
        <v/>
      </c>
      <c r="F116" s="231" t="str">
        <f t="shared" si="1"/>
        <v/>
      </c>
    </row>
    <row r="117">
      <c r="C117" s="63"/>
      <c r="D117" s="63" t="str">
        <f>IF(C117&lt;&gt;"", CountIF(OppMonsUsed, C117), "")</f>
        <v/>
      </c>
      <c r="E117" s="63" t="str">
        <f>IFERROR(__xludf.DUMMYFUNCTION("IF(C117&lt;&gt;"""",COUNTIF(FILTER(OppMonsUsed, GameResults=""win""), C117), """")"),"")</f>
        <v/>
      </c>
      <c r="F117" s="231" t="str">
        <f t="shared" si="1"/>
        <v/>
      </c>
    </row>
    <row r="118">
      <c r="C118" s="63"/>
      <c r="D118" s="63" t="str">
        <f>IF(C118&lt;&gt;"", CountIF(OppMonsUsed, C118), "")</f>
        <v/>
      </c>
      <c r="E118" s="63" t="str">
        <f>IFERROR(__xludf.DUMMYFUNCTION("IF(C118&lt;&gt;"""",COUNTIF(FILTER(OppMonsUsed, GameResults=""win""), C118), """")"),"")</f>
        <v/>
      </c>
      <c r="F118" s="231" t="str">
        <f t="shared" si="1"/>
        <v/>
      </c>
    </row>
    <row r="119">
      <c r="C119" s="63"/>
      <c r="D119" s="63" t="str">
        <f>IF(C119&lt;&gt;"", CountIF(OppMonsUsed, C119), "")</f>
        <v/>
      </c>
      <c r="E119" s="63" t="str">
        <f>IFERROR(__xludf.DUMMYFUNCTION("IF(C119&lt;&gt;"""",COUNTIF(FILTER(OppMonsUsed, GameResults=""win""), C119), """")"),"")</f>
        <v/>
      </c>
      <c r="F119" s="231" t="str">
        <f t="shared" si="1"/>
        <v/>
      </c>
    </row>
    <row r="120">
      <c r="C120" s="63"/>
      <c r="D120" s="63" t="str">
        <f>IF(C120&lt;&gt;"", CountIF(OppMonsUsed, C120), "")</f>
        <v/>
      </c>
      <c r="E120" s="63" t="str">
        <f>IFERROR(__xludf.DUMMYFUNCTION("IF(C120&lt;&gt;"""",COUNTIF(FILTER(OppMonsUsed, GameResults=""win""), C120), """")"),"")</f>
        <v/>
      </c>
      <c r="F120" s="231" t="str">
        <f t="shared" si="1"/>
        <v/>
      </c>
    </row>
    <row r="121">
      <c r="C121" s="63"/>
      <c r="D121" s="63" t="str">
        <f>IF(C121&lt;&gt;"", CountIF(OppMonsUsed, C121), "")</f>
        <v/>
      </c>
      <c r="E121" s="63" t="str">
        <f>IFERROR(__xludf.DUMMYFUNCTION("IF(C121&lt;&gt;"""",COUNTIF(FILTER(OppMonsUsed, GameResults=""win""), C121), """")"),"")</f>
        <v/>
      </c>
      <c r="F121" s="231" t="str">
        <f t="shared" si="1"/>
        <v/>
      </c>
    </row>
    <row r="122">
      <c r="C122" s="63"/>
      <c r="D122" s="63" t="str">
        <f>IF(C122&lt;&gt;"", CountIF(OppMonsUsed, C122), "")</f>
        <v/>
      </c>
      <c r="E122" s="63" t="str">
        <f>IFERROR(__xludf.DUMMYFUNCTION("IF(C122&lt;&gt;"""",COUNTIF(FILTER(OppMonsUsed, GameResults=""win""), C122), """")"),"")</f>
        <v/>
      </c>
      <c r="F122" s="231" t="str">
        <f t="shared" si="1"/>
        <v/>
      </c>
    </row>
    <row r="123">
      <c r="C123" s="63"/>
      <c r="D123" s="63" t="str">
        <f>IF(C123&lt;&gt;"", CountIF(OppMonsUsed, C123), "")</f>
        <v/>
      </c>
      <c r="E123" s="63" t="str">
        <f>IFERROR(__xludf.DUMMYFUNCTION("IF(C123&lt;&gt;"""",COUNTIF(FILTER(OppMonsUsed, GameResults=""win""), C123), """")"),"")</f>
        <v/>
      </c>
      <c r="F123" s="231" t="str">
        <f t="shared" si="1"/>
        <v/>
      </c>
    </row>
    <row r="124">
      <c r="C124" s="63"/>
      <c r="D124" s="63" t="str">
        <f>IF(C124&lt;&gt;"", CountIF(OppMonsUsed, C124), "")</f>
        <v/>
      </c>
      <c r="E124" s="63" t="str">
        <f>IFERROR(__xludf.DUMMYFUNCTION("IF(C124&lt;&gt;"""",COUNTIF(FILTER(OppMonsUsed, GameResults=""win""), C124), """")"),"")</f>
        <v/>
      </c>
      <c r="F124" s="231" t="str">
        <f t="shared" si="1"/>
        <v/>
      </c>
    </row>
    <row r="125">
      <c r="C125" s="63"/>
      <c r="D125" s="63" t="str">
        <f>IF(C125&lt;&gt;"", CountIF(OppMonsUsed, C125), "")</f>
        <v/>
      </c>
      <c r="E125" s="63" t="str">
        <f>IFERROR(__xludf.DUMMYFUNCTION("IF(C125&lt;&gt;"""",COUNTIF(FILTER(OppMonsUsed, GameResults=""win""), C125), """")"),"")</f>
        <v/>
      </c>
      <c r="F125" s="231" t="str">
        <f t="shared" si="1"/>
        <v/>
      </c>
    </row>
    <row r="126">
      <c r="C126" s="63"/>
      <c r="D126" s="63" t="str">
        <f>IF(C126&lt;&gt;"", CountIF(OppMonsUsed, C126), "")</f>
        <v/>
      </c>
      <c r="E126" s="63" t="str">
        <f>IFERROR(__xludf.DUMMYFUNCTION("IF(C126&lt;&gt;"""",COUNTIF(FILTER(OppMonsUsed, GameResults=""win""), C126), """")"),"")</f>
        <v/>
      </c>
      <c r="F126" s="231" t="str">
        <f t="shared" si="1"/>
        <v/>
      </c>
    </row>
    <row r="127">
      <c r="C127" s="63"/>
      <c r="D127" s="63" t="str">
        <f>IF(C127&lt;&gt;"", CountIF(OppMonsUsed, C127), "")</f>
        <v/>
      </c>
      <c r="E127" s="63" t="str">
        <f>IFERROR(__xludf.DUMMYFUNCTION("IF(C127&lt;&gt;"""",COUNTIF(FILTER(OppMonsUsed, GameResults=""win""), C127), """")"),"")</f>
        <v/>
      </c>
      <c r="F127" s="231" t="str">
        <f t="shared" si="1"/>
        <v/>
      </c>
    </row>
    <row r="128">
      <c r="C128" s="63"/>
      <c r="D128" s="63" t="str">
        <f>IF(C128&lt;&gt;"", CountIF(OppMonsUsed, C128), "")</f>
        <v/>
      </c>
      <c r="E128" s="63" t="str">
        <f>IFERROR(__xludf.DUMMYFUNCTION("IF(C128&lt;&gt;"""",COUNTIF(FILTER(OppMonsUsed, GameResults=""win""), C128), """")"),"")</f>
        <v/>
      </c>
      <c r="F128" s="231" t="str">
        <f t="shared" si="1"/>
        <v/>
      </c>
    </row>
    <row r="129">
      <c r="C129" s="63"/>
      <c r="D129" s="63" t="str">
        <f>IF(C129&lt;&gt;"", CountIF(OppMonsUsed, C129), "")</f>
        <v/>
      </c>
      <c r="E129" s="63" t="str">
        <f>IFERROR(__xludf.DUMMYFUNCTION("IF(C129&lt;&gt;"""",COUNTIF(FILTER(OppMonsUsed, GameResults=""win""), C129), """")"),"")</f>
        <v/>
      </c>
      <c r="F129" s="231" t="str">
        <f t="shared" si="1"/>
        <v/>
      </c>
    </row>
    <row r="130">
      <c r="C130" s="63"/>
      <c r="D130" s="63" t="str">
        <f>IF(C130&lt;&gt;"", CountIF(OppMonsUsed, C130), "")</f>
        <v/>
      </c>
      <c r="E130" s="63" t="str">
        <f>IFERROR(__xludf.DUMMYFUNCTION("IF(C130&lt;&gt;"""",COUNTIF(FILTER(OppMonsUsed, GameResults=""win""), C130), """")"),"")</f>
        <v/>
      </c>
      <c r="F130" s="231" t="str">
        <f t="shared" si="1"/>
        <v/>
      </c>
    </row>
    <row r="131">
      <c r="C131" s="63"/>
      <c r="D131" s="63" t="str">
        <f>IF(C131&lt;&gt;"", CountIF(OppMonsUsed, C131), "")</f>
        <v/>
      </c>
      <c r="E131" s="63" t="str">
        <f>IFERROR(__xludf.DUMMYFUNCTION("IF(C131&lt;&gt;"""",COUNTIF(FILTER(OppMonsUsed, GameResults=""win""), C131), """")"),"")</f>
        <v/>
      </c>
      <c r="F131" s="231" t="str">
        <f t="shared" si="1"/>
        <v/>
      </c>
    </row>
    <row r="132">
      <c r="C132" s="63"/>
      <c r="D132" s="63" t="str">
        <f>IF(C132&lt;&gt;"", CountIF(OppMonsUsed, C132), "")</f>
        <v/>
      </c>
      <c r="E132" s="63" t="str">
        <f>IFERROR(__xludf.DUMMYFUNCTION("IF(C132&lt;&gt;"""",COUNTIF(FILTER(OppMonsUsed, GameResults=""win""), C132), """")"),"")</f>
        <v/>
      </c>
      <c r="F132" s="231" t="str">
        <f t="shared" si="1"/>
        <v/>
      </c>
    </row>
    <row r="133">
      <c r="C133" s="63"/>
      <c r="D133" s="63" t="str">
        <f>IF(C133&lt;&gt;"", CountIF(OppMonsUsed, C133), "")</f>
        <v/>
      </c>
      <c r="E133" s="63" t="str">
        <f>IFERROR(__xludf.DUMMYFUNCTION("IF(C133&lt;&gt;"""",COUNTIF(FILTER(OppMonsUsed, GameResults=""win""), C133), """")"),"")</f>
        <v/>
      </c>
      <c r="F133" s="231" t="str">
        <f t="shared" si="1"/>
        <v/>
      </c>
    </row>
    <row r="134">
      <c r="C134" s="63"/>
      <c r="D134" s="63" t="str">
        <f>IF(C134&lt;&gt;"", CountIF(OppMonsUsed, C134), "")</f>
        <v/>
      </c>
      <c r="E134" s="63" t="str">
        <f>IFERROR(__xludf.DUMMYFUNCTION("IF(C134&lt;&gt;"""",COUNTIF(FILTER(OppMonsUsed, GameResults=""win""), C134), """")"),"")</f>
        <v/>
      </c>
      <c r="F134" s="231" t="str">
        <f t="shared" si="1"/>
        <v/>
      </c>
    </row>
    <row r="135">
      <c r="C135" s="63"/>
      <c r="D135" s="63" t="str">
        <f>IF(C135&lt;&gt;"", CountIF(OppMonsUsed, C135), "")</f>
        <v/>
      </c>
      <c r="E135" s="63" t="str">
        <f>IFERROR(__xludf.DUMMYFUNCTION("IF(C135&lt;&gt;"""",COUNTIF(FILTER(OppMonsUsed, GameResults=""win""), C135), """")"),"")</f>
        <v/>
      </c>
      <c r="F135" s="231" t="str">
        <f t="shared" si="1"/>
        <v/>
      </c>
    </row>
    <row r="136">
      <c r="C136" s="63"/>
      <c r="D136" s="63" t="str">
        <f>IF(C136&lt;&gt;"", CountIF(OppMonsUsed, C136), "")</f>
        <v/>
      </c>
      <c r="E136" s="63" t="str">
        <f>IFERROR(__xludf.DUMMYFUNCTION("IF(C136&lt;&gt;"""",COUNTIF(FILTER(OppMonsUsed, GameResults=""win""), C136), """")"),"")</f>
        <v/>
      </c>
      <c r="F136" s="231" t="str">
        <f t="shared" si="1"/>
        <v/>
      </c>
    </row>
    <row r="137">
      <c r="C137" s="63"/>
      <c r="D137" s="63" t="str">
        <f>IF(C137&lt;&gt;"", CountIF(OppMonsUsed, C137), "")</f>
        <v/>
      </c>
      <c r="E137" s="63" t="str">
        <f>IFERROR(__xludf.DUMMYFUNCTION("IF(C137&lt;&gt;"""",COUNTIF(FILTER(OppMonsUsed, GameResults=""win""), C137), """")"),"")</f>
        <v/>
      </c>
      <c r="F137" s="231" t="str">
        <f t="shared" si="1"/>
        <v/>
      </c>
    </row>
    <row r="138">
      <c r="C138" s="63"/>
      <c r="D138" s="63" t="str">
        <f>IF(C138&lt;&gt;"", CountIF(OppMonsUsed, C138), "")</f>
        <v/>
      </c>
      <c r="E138" s="63" t="str">
        <f>IFERROR(__xludf.DUMMYFUNCTION("IF(C138&lt;&gt;"""",COUNTIF(FILTER(OppMonsUsed, GameResults=""win""), C138), """")"),"")</f>
        <v/>
      </c>
      <c r="F138" s="231" t="str">
        <f t="shared" si="1"/>
        <v/>
      </c>
    </row>
    <row r="139">
      <c r="C139" s="63"/>
      <c r="D139" s="63" t="str">
        <f>IF(C139&lt;&gt;"", CountIF(OppMonsUsed, C139), "")</f>
        <v/>
      </c>
      <c r="E139" s="63" t="str">
        <f>IFERROR(__xludf.DUMMYFUNCTION("IF(C139&lt;&gt;"""",COUNTIF(FILTER(OppMonsUsed, GameResults=""win""), C139), """")"),"")</f>
        <v/>
      </c>
      <c r="F139" s="231" t="str">
        <f t="shared" si="1"/>
        <v/>
      </c>
    </row>
    <row r="140">
      <c r="C140" s="63"/>
      <c r="D140" s="63" t="str">
        <f>IF(C140&lt;&gt;"", CountIF(OppMonsUsed, C140), "")</f>
        <v/>
      </c>
      <c r="E140" s="63" t="str">
        <f>IFERROR(__xludf.DUMMYFUNCTION("IF(C140&lt;&gt;"""",COUNTIF(FILTER(OppMonsUsed, GameResults=""win""), C140), """")"),"")</f>
        <v/>
      </c>
      <c r="F140" s="231" t="str">
        <f t="shared" si="1"/>
        <v/>
      </c>
    </row>
    <row r="141">
      <c r="C141" s="63"/>
      <c r="D141" s="63" t="str">
        <f>IF(C141&lt;&gt;"", CountIF(OppMonsUsed, C141), "")</f>
        <v/>
      </c>
      <c r="E141" s="63" t="str">
        <f>IFERROR(__xludf.DUMMYFUNCTION("IF(C141&lt;&gt;"""",COUNTIF(FILTER(OppMonsUsed, GameResults=""win""), C141), """")"),"")</f>
        <v/>
      </c>
      <c r="F141" s="231" t="str">
        <f t="shared" si="1"/>
        <v/>
      </c>
    </row>
    <row r="142">
      <c r="C142" s="63"/>
      <c r="D142" s="63" t="str">
        <f>IF(C142&lt;&gt;"", CountIF(OppMonsUsed, C142), "")</f>
        <v/>
      </c>
      <c r="E142" s="63" t="str">
        <f>IFERROR(__xludf.DUMMYFUNCTION("IF(C142&lt;&gt;"""",COUNTIF(FILTER(OppMonsUsed, GameResults=""win""), C142), """")"),"")</f>
        <v/>
      </c>
      <c r="F142" s="231" t="str">
        <f t="shared" si="1"/>
        <v/>
      </c>
    </row>
    <row r="143">
      <c r="C143" s="63"/>
      <c r="D143" s="63" t="str">
        <f>IF(C143&lt;&gt;"", CountIF(OppMonsUsed, C143), "")</f>
        <v/>
      </c>
      <c r="E143" s="63" t="str">
        <f>IFERROR(__xludf.DUMMYFUNCTION("IF(C143&lt;&gt;"""",COUNTIF(FILTER(OppMonsUsed, GameResults=""win""), C143), """")"),"")</f>
        <v/>
      </c>
      <c r="F143" s="231" t="str">
        <f t="shared" si="1"/>
        <v/>
      </c>
    </row>
    <row r="144">
      <c r="C144" s="63"/>
      <c r="D144" s="63" t="str">
        <f>IF(C144&lt;&gt;"", CountIF(OppMonsUsed, C144), "")</f>
        <v/>
      </c>
      <c r="E144" s="63" t="str">
        <f>IFERROR(__xludf.DUMMYFUNCTION("IF(C144&lt;&gt;"""",COUNTIF(FILTER(OppMonsUsed, GameResults=""win""), C144), """")"),"")</f>
        <v/>
      </c>
      <c r="F144" s="231" t="str">
        <f t="shared" si="1"/>
        <v/>
      </c>
    </row>
    <row r="145">
      <c r="C145" s="63"/>
      <c r="D145" s="63" t="str">
        <f>IF(C145&lt;&gt;"", CountIF(OppMonsUsed, C145), "")</f>
        <v/>
      </c>
      <c r="E145" s="63" t="str">
        <f>IFERROR(__xludf.DUMMYFUNCTION("IF(C145&lt;&gt;"""",COUNTIF(FILTER(OppMonsUsed, GameResults=""win""), C145), """")"),"")</f>
        <v/>
      </c>
      <c r="F145" s="231" t="str">
        <f t="shared" si="1"/>
        <v/>
      </c>
    </row>
    <row r="146">
      <c r="C146" s="63"/>
      <c r="D146" s="63" t="str">
        <f>IF(C146&lt;&gt;"", CountIF(OppMonsUsed, C146), "")</f>
        <v/>
      </c>
      <c r="E146" s="63" t="str">
        <f>IFERROR(__xludf.DUMMYFUNCTION("IF(C146&lt;&gt;"""",COUNTIF(FILTER(OppMonsUsed, GameResults=""win""), C146), """")"),"")</f>
        <v/>
      </c>
      <c r="F146" s="231" t="str">
        <f t="shared" si="1"/>
        <v/>
      </c>
    </row>
    <row r="147">
      <c r="C147" s="63"/>
      <c r="D147" s="63" t="str">
        <f>IF(C147&lt;&gt;"", CountIF(OppMonsUsed, C147), "")</f>
        <v/>
      </c>
      <c r="E147" s="63" t="str">
        <f>IFERROR(__xludf.DUMMYFUNCTION("IF(C147&lt;&gt;"""",COUNTIF(FILTER(OppMonsUsed, GameResults=""win""), C147), """")"),"")</f>
        <v/>
      </c>
      <c r="F147" s="231" t="str">
        <f t="shared" si="1"/>
        <v/>
      </c>
    </row>
    <row r="148">
      <c r="C148" s="63"/>
      <c r="D148" s="63" t="str">
        <f>IF(C148&lt;&gt;"", CountIF(OppMonsUsed, C148), "")</f>
        <v/>
      </c>
      <c r="E148" s="63" t="str">
        <f>IFERROR(__xludf.DUMMYFUNCTION("IF(C148&lt;&gt;"""",COUNTIF(FILTER(OppMonsUsed, GameResults=""win""), C148), """")"),"")</f>
        <v/>
      </c>
      <c r="F148" s="231" t="str">
        <f t="shared" si="1"/>
        <v/>
      </c>
    </row>
    <row r="149">
      <c r="C149" s="63"/>
      <c r="D149" s="63" t="str">
        <f>IF(C149&lt;&gt;"", CountIF(OppMonsUsed, C149), "")</f>
        <v/>
      </c>
      <c r="E149" s="63" t="str">
        <f>IFERROR(__xludf.DUMMYFUNCTION("IF(C149&lt;&gt;"""",COUNTIF(FILTER(OppMonsUsed, GameResults=""win""), C149), """")"),"")</f>
        <v/>
      </c>
      <c r="F149" s="231" t="str">
        <f t="shared" si="1"/>
        <v/>
      </c>
    </row>
    <row r="150">
      <c r="C150" s="63"/>
      <c r="D150" s="63" t="str">
        <f>IF(C150&lt;&gt;"", CountIF(OppMonsUsed, C150), "")</f>
        <v/>
      </c>
      <c r="E150" s="63" t="str">
        <f>IFERROR(__xludf.DUMMYFUNCTION("IF(C150&lt;&gt;"""",COUNTIF(FILTER(OppMonsUsed, GameResults=""win""), C150), """")"),"")</f>
        <v/>
      </c>
      <c r="F150" s="231" t="str">
        <f t="shared" si="1"/>
        <v/>
      </c>
    </row>
    <row r="151">
      <c r="C151" s="63"/>
      <c r="D151" s="63" t="str">
        <f>IF(C151&lt;&gt;"", CountIF(OppMonsUsed, C151), "")</f>
        <v/>
      </c>
      <c r="E151" s="63" t="str">
        <f>IFERROR(__xludf.DUMMYFUNCTION("IF(C151&lt;&gt;"""",COUNTIF(FILTER(OppMonsUsed, GameResults=""win""), C151), """")"),"")</f>
        <v/>
      </c>
      <c r="F151" s="231" t="str">
        <f t="shared" si="1"/>
        <v/>
      </c>
    </row>
    <row r="152">
      <c r="C152" s="63"/>
      <c r="D152" s="63" t="str">
        <f>IF(C152&lt;&gt;"", CountIF(OppMonsUsed, C152), "")</f>
        <v/>
      </c>
      <c r="E152" s="63" t="str">
        <f>IFERROR(__xludf.DUMMYFUNCTION("IF(C152&lt;&gt;"""",COUNTIF(FILTER(OppMonsUsed, GameResults=""win""), C152), """")"),"")</f>
        <v/>
      </c>
      <c r="F152" s="231" t="str">
        <f t="shared" si="1"/>
        <v/>
      </c>
    </row>
    <row r="153">
      <c r="C153" s="63"/>
      <c r="D153" s="63" t="str">
        <f>IF(C153&lt;&gt;"", CountIF(OppMonsUsed, C153), "")</f>
        <v/>
      </c>
      <c r="E153" s="63" t="str">
        <f>IFERROR(__xludf.DUMMYFUNCTION("IF(C153&lt;&gt;"""",COUNTIF(FILTER(OppMonsUsed, GameResults=""win""), C153), """")"),"")</f>
        <v/>
      </c>
      <c r="F153" s="231" t="str">
        <f t="shared" si="1"/>
        <v/>
      </c>
    </row>
    <row r="154">
      <c r="C154" s="63"/>
      <c r="D154" s="63" t="str">
        <f>IF(C154&lt;&gt;"", CountIF(OppMonsUsed, C154), "")</f>
        <v/>
      </c>
      <c r="E154" s="63" t="str">
        <f>IFERROR(__xludf.DUMMYFUNCTION("IF(C154&lt;&gt;"""",COUNTIF(FILTER(OppMonsUsed, GameResults=""win""), C154), """")"),"")</f>
        <v/>
      </c>
      <c r="F154" s="231" t="str">
        <f t="shared" si="1"/>
        <v/>
      </c>
    </row>
    <row r="155">
      <c r="C155" s="63"/>
      <c r="D155" s="63" t="str">
        <f>IF(C155&lt;&gt;"", CountIF(OppMonsUsed, C155), "")</f>
        <v/>
      </c>
      <c r="E155" s="63" t="str">
        <f>IFERROR(__xludf.DUMMYFUNCTION("IF(C155&lt;&gt;"""",COUNTIF(FILTER(OppMonsUsed, GameResults=""win""), C155), """")"),"")</f>
        <v/>
      </c>
      <c r="F155" s="231" t="str">
        <f t="shared" si="1"/>
        <v/>
      </c>
    </row>
    <row r="156">
      <c r="C156" s="63"/>
      <c r="D156" s="63" t="str">
        <f>IF(C156&lt;&gt;"", CountIF(OppMonsUsed, C156), "")</f>
        <v/>
      </c>
      <c r="E156" s="63" t="str">
        <f>IFERROR(__xludf.DUMMYFUNCTION("IF(C156&lt;&gt;"""",COUNTIF(FILTER(OppMonsUsed, GameResults=""win""), C156), """")"),"")</f>
        <v/>
      </c>
      <c r="F156" s="231" t="str">
        <f t="shared" si="1"/>
        <v/>
      </c>
    </row>
    <row r="157">
      <c r="C157" s="63"/>
      <c r="D157" s="63" t="str">
        <f>IF(C157&lt;&gt;"", CountIF(OppMonsUsed, C157), "")</f>
        <v/>
      </c>
      <c r="E157" s="63" t="str">
        <f>IFERROR(__xludf.DUMMYFUNCTION("IF(C157&lt;&gt;"""",COUNTIF(FILTER(OppMonsUsed, GameResults=""win""), C157), """")"),"")</f>
        <v/>
      </c>
      <c r="F157" s="231" t="str">
        <f t="shared" si="1"/>
        <v/>
      </c>
    </row>
    <row r="158">
      <c r="C158" s="63"/>
      <c r="D158" s="63" t="str">
        <f>IF(C158&lt;&gt;"", CountIF(OppMonsUsed, C158), "")</f>
        <v/>
      </c>
      <c r="E158" s="63" t="str">
        <f>IFERROR(__xludf.DUMMYFUNCTION("IF(C158&lt;&gt;"""",COUNTIF(FILTER(OppMonsUsed, GameResults=""win""), C158), """")"),"")</f>
        <v/>
      </c>
      <c r="F158" s="231" t="str">
        <f t="shared" si="1"/>
        <v/>
      </c>
    </row>
    <row r="159">
      <c r="C159" s="63"/>
      <c r="D159" s="63" t="str">
        <f>IF(C159&lt;&gt;"", CountIF(OppMonsUsed, C159), "")</f>
        <v/>
      </c>
      <c r="E159" s="63" t="str">
        <f>IFERROR(__xludf.DUMMYFUNCTION("IF(C159&lt;&gt;"""",COUNTIF(FILTER(OppMonsUsed, GameResults=""win""), C159), """")"),"")</f>
        <v/>
      </c>
      <c r="F159" s="231" t="str">
        <f t="shared" si="1"/>
        <v/>
      </c>
    </row>
    <row r="160">
      <c r="C160" s="63"/>
      <c r="D160" s="63" t="str">
        <f>IF(C160&lt;&gt;"", CountIF(OppMonsUsed, C160), "")</f>
        <v/>
      </c>
      <c r="E160" s="63" t="str">
        <f>IFERROR(__xludf.DUMMYFUNCTION("IF(C160&lt;&gt;"""",COUNTIF(FILTER(OppMonsUsed, GameResults=""win""), C160), """")"),"")</f>
        <v/>
      </c>
      <c r="F160" s="231" t="str">
        <f t="shared" si="1"/>
        <v/>
      </c>
    </row>
    <row r="161">
      <c r="C161" s="63"/>
      <c r="D161" s="63" t="str">
        <f>IF(C161&lt;&gt;"", CountIF(OppMonsUsed, C161), "")</f>
        <v/>
      </c>
      <c r="E161" s="63" t="str">
        <f>IFERROR(__xludf.DUMMYFUNCTION("IF(C161&lt;&gt;"""",COUNTIF(FILTER(OppMonsUsed, GameResults=""win""), C161), """")"),"")</f>
        <v/>
      </c>
      <c r="F161" s="231" t="str">
        <f t="shared" si="1"/>
        <v/>
      </c>
    </row>
    <row r="162">
      <c r="C162" s="63"/>
      <c r="D162" s="63" t="str">
        <f>IF(C162&lt;&gt;"", CountIF(OppMonsUsed, C162), "")</f>
        <v/>
      </c>
      <c r="E162" s="63" t="str">
        <f>IFERROR(__xludf.DUMMYFUNCTION("IF(C162&lt;&gt;"""",COUNTIF(FILTER(OppMonsUsed, GameResults=""win""), C162), """")"),"")</f>
        <v/>
      </c>
      <c r="F162" s="231" t="str">
        <f t="shared" si="1"/>
        <v/>
      </c>
    </row>
    <row r="163">
      <c r="C163" s="63"/>
      <c r="D163" s="63" t="str">
        <f>IF(C163&lt;&gt;"", CountIF(OppMonsUsed, C163), "")</f>
        <v/>
      </c>
      <c r="E163" s="63" t="str">
        <f>IFERROR(__xludf.DUMMYFUNCTION("IF(C163&lt;&gt;"""",COUNTIF(FILTER(OppMonsUsed, GameResults=""win""), C163), """")"),"")</f>
        <v/>
      </c>
      <c r="F163" s="231" t="str">
        <f t="shared" si="1"/>
        <v/>
      </c>
    </row>
    <row r="164">
      <c r="C164" s="63"/>
      <c r="D164" s="63" t="str">
        <f>IF(C164&lt;&gt;"", CountIF(OppMonsUsed, C164), "")</f>
        <v/>
      </c>
      <c r="E164" s="63" t="str">
        <f>IFERROR(__xludf.DUMMYFUNCTION("IF(C164&lt;&gt;"""",COUNTIF(FILTER(OppMonsUsed, GameResults=""win""), C164), """")"),"")</f>
        <v/>
      </c>
      <c r="F164" s="231" t="str">
        <f t="shared" si="1"/>
        <v/>
      </c>
    </row>
    <row r="165">
      <c r="C165" s="63"/>
      <c r="D165" s="63" t="str">
        <f>IF(C165&lt;&gt;"", CountIF(OppMonsUsed, C165), "")</f>
        <v/>
      </c>
      <c r="E165" s="63" t="str">
        <f>IFERROR(__xludf.DUMMYFUNCTION("IF(C165&lt;&gt;"""",COUNTIF(FILTER(OppMonsUsed, GameResults=""win""), C165), """")"),"")</f>
        <v/>
      </c>
      <c r="F165" s="231" t="str">
        <f t="shared" si="1"/>
        <v/>
      </c>
    </row>
    <row r="166">
      <c r="C166" s="63"/>
      <c r="D166" s="63" t="str">
        <f>IF(C166&lt;&gt;"", CountIF(OppMonsUsed, C166), "")</f>
        <v/>
      </c>
      <c r="E166" s="63" t="str">
        <f>IFERROR(__xludf.DUMMYFUNCTION("IF(C166&lt;&gt;"""",COUNTIF(FILTER(OppMonsUsed, GameResults=""win""), C166), """")"),"")</f>
        <v/>
      </c>
      <c r="F166" s="231" t="str">
        <f t="shared" si="1"/>
        <v/>
      </c>
    </row>
    <row r="167">
      <c r="C167" s="63"/>
      <c r="D167" s="63" t="str">
        <f>IF(C167&lt;&gt;"", CountIF(OppMonsUsed, C167), "")</f>
        <v/>
      </c>
      <c r="E167" s="63" t="str">
        <f>IFERROR(__xludf.DUMMYFUNCTION("IF(C167&lt;&gt;"""",COUNTIF(FILTER(OppMonsUsed, GameResults=""win""), C167), """")"),"")</f>
        <v/>
      </c>
      <c r="F167" s="231" t="str">
        <f t="shared" si="1"/>
        <v/>
      </c>
    </row>
    <row r="168">
      <c r="C168" s="63"/>
      <c r="D168" s="63" t="str">
        <f>IF(C168&lt;&gt;"", CountIF(OppMonsUsed, C168), "")</f>
        <v/>
      </c>
      <c r="E168" s="63" t="str">
        <f>IFERROR(__xludf.DUMMYFUNCTION("IF(C168&lt;&gt;"""",COUNTIF(FILTER(OppMonsUsed, GameResults=""win""), C168), """")"),"")</f>
        <v/>
      </c>
      <c r="F168" s="231" t="str">
        <f t="shared" si="1"/>
        <v/>
      </c>
    </row>
    <row r="169">
      <c r="C169" s="63"/>
      <c r="D169" s="63" t="str">
        <f>IF(C169&lt;&gt;"", CountIF(OppMonsUsed, C169), "")</f>
        <v/>
      </c>
      <c r="E169" s="63" t="str">
        <f>IFERROR(__xludf.DUMMYFUNCTION("IF(C169&lt;&gt;"""",COUNTIF(FILTER(OppMonsUsed, GameResults=""win""), C169), """")"),"")</f>
        <v/>
      </c>
      <c r="F169" s="231" t="str">
        <f t="shared" si="1"/>
        <v/>
      </c>
    </row>
    <row r="170">
      <c r="C170" s="63"/>
      <c r="D170" s="63" t="str">
        <f>IF(C170&lt;&gt;"", CountIF(OppMonsUsed, C170), "")</f>
        <v/>
      </c>
      <c r="E170" s="63" t="str">
        <f>IFERROR(__xludf.DUMMYFUNCTION("IF(C170&lt;&gt;"""",COUNTIF(FILTER(OppMonsUsed, GameResults=""win""), C170), """")"),"")</f>
        <v/>
      </c>
      <c r="F170" s="231" t="str">
        <f t="shared" si="1"/>
        <v/>
      </c>
    </row>
    <row r="171">
      <c r="C171" s="63"/>
      <c r="D171" s="63" t="str">
        <f>IF(C171&lt;&gt;"", CountIF(OppMonsUsed, C171), "")</f>
        <v/>
      </c>
      <c r="E171" s="63" t="str">
        <f>IFERROR(__xludf.DUMMYFUNCTION("IF(C171&lt;&gt;"""",COUNTIF(FILTER(OppMonsUsed, GameResults=""win""), C171), """")"),"")</f>
        <v/>
      </c>
      <c r="F171" s="231" t="str">
        <f t="shared" si="1"/>
        <v/>
      </c>
    </row>
    <row r="172">
      <c r="C172" s="63"/>
      <c r="D172" s="63" t="str">
        <f>IF(C172&lt;&gt;"", CountIF(OppMonsUsed, C172), "")</f>
        <v/>
      </c>
      <c r="E172" s="63" t="str">
        <f>IFERROR(__xludf.DUMMYFUNCTION("IF(C172&lt;&gt;"""",COUNTIF(FILTER(OppMonsUsed, GameResults=""win""), C172), """")"),"")</f>
        <v/>
      </c>
      <c r="F172" s="231" t="str">
        <f t="shared" si="1"/>
        <v/>
      </c>
    </row>
    <row r="173">
      <c r="C173" s="63"/>
      <c r="D173" s="63" t="str">
        <f>IF(C173&lt;&gt;"", CountIF(OppMonsUsed, C173), "")</f>
        <v/>
      </c>
      <c r="E173" s="63" t="str">
        <f>IFERROR(__xludf.DUMMYFUNCTION("IF(C173&lt;&gt;"""",COUNTIF(FILTER(OppMonsUsed, GameResults=""win""), C173), """")"),"")</f>
        <v/>
      </c>
      <c r="F173" s="231" t="str">
        <f t="shared" si="1"/>
        <v/>
      </c>
    </row>
    <row r="174">
      <c r="C174" s="63"/>
      <c r="D174" s="63" t="str">
        <f>IF(C174&lt;&gt;"", CountIF(OppMonsUsed, C174), "")</f>
        <v/>
      </c>
      <c r="E174" s="63" t="str">
        <f>IFERROR(__xludf.DUMMYFUNCTION("IF(C174&lt;&gt;"""",COUNTIF(FILTER(OppMonsUsed, GameResults=""win""), C174), """")"),"")</f>
        <v/>
      </c>
      <c r="F174" s="231" t="str">
        <f t="shared" si="1"/>
        <v/>
      </c>
    </row>
    <row r="175">
      <c r="C175" s="63"/>
      <c r="D175" s="63" t="str">
        <f>IF(C175&lt;&gt;"", CountIF(OppMonsUsed, C175), "")</f>
        <v/>
      </c>
      <c r="E175" s="63" t="str">
        <f>IFERROR(__xludf.DUMMYFUNCTION("IF(C175&lt;&gt;"""",COUNTIF(FILTER(OppMonsUsed, GameResults=""win""), C175), """")"),"")</f>
        <v/>
      </c>
      <c r="F175" s="231" t="str">
        <f t="shared" si="1"/>
        <v/>
      </c>
    </row>
    <row r="176">
      <c r="C176" s="63"/>
      <c r="D176" s="63" t="str">
        <f>IF(C176&lt;&gt;"", CountIF(OppMonsUsed, C176), "")</f>
        <v/>
      </c>
      <c r="E176" s="63" t="str">
        <f>IFERROR(__xludf.DUMMYFUNCTION("IF(C176&lt;&gt;"""",COUNTIF(FILTER(OppMonsUsed, GameResults=""win""), C176), """")"),"")</f>
        <v/>
      </c>
      <c r="F176" s="231" t="str">
        <f t="shared" si="1"/>
        <v/>
      </c>
    </row>
    <row r="177">
      <c r="C177" s="63"/>
      <c r="D177" s="63" t="str">
        <f>IF(C177&lt;&gt;"", CountIF(OppMonsUsed, C177), "")</f>
        <v/>
      </c>
      <c r="E177" s="63" t="str">
        <f>IFERROR(__xludf.DUMMYFUNCTION("IF(C177&lt;&gt;"""",COUNTIF(FILTER(OppMonsUsed, GameResults=""win""), C177), """")"),"")</f>
        <v/>
      </c>
      <c r="F177" s="231" t="str">
        <f t="shared" si="1"/>
        <v/>
      </c>
    </row>
    <row r="178">
      <c r="C178" s="63"/>
      <c r="D178" s="63" t="str">
        <f>IF(C178&lt;&gt;"", CountIF(OppMonsUsed, C178), "")</f>
        <v/>
      </c>
      <c r="E178" s="63" t="str">
        <f>IFERROR(__xludf.DUMMYFUNCTION("IF(C178&lt;&gt;"""",COUNTIF(FILTER(OppMonsUsed, GameResults=""win""), C178), """")"),"")</f>
        <v/>
      </c>
      <c r="F178" s="231" t="str">
        <f t="shared" si="1"/>
        <v/>
      </c>
    </row>
    <row r="179">
      <c r="C179" s="63"/>
      <c r="D179" s="63" t="str">
        <f>IF(C179&lt;&gt;"", CountIF(OppMonsUsed, C179), "")</f>
        <v/>
      </c>
      <c r="E179" s="63" t="str">
        <f>IFERROR(__xludf.DUMMYFUNCTION("IF(C179&lt;&gt;"""",COUNTIF(FILTER(OppMonsUsed, GameResults=""win""), C179), """")"),"")</f>
        <v/>
      </c>
      <c r="F179" s="231" t="str">
        <f t="shared" si="1"/>
        <v/>
      </c>
    </row>
    <row r="180">
      <c r="C180" s="63"/>
      <c r="D180" s="63" t="str">
        <f>IF(C180&lt;&gt;"", CountIF(OppMonsUsed, C180), "")</f>
        <v/>
      </c>
      <c r="E180" s="63" t="str">
        <f>IFERROR(__xludf.DUMMYFUNCTION("IF(C180&lt;&gt;"""",COUNTIF(FILTER(OppMonsUsed, GameResults=""win""), C180), """")"),"")</f>
        <v/>
      </c>
      <c r="F180" s="231" t="str">
        <f t="shared" si="1"/>
        <v/>
      </c>
    </row>
    <row r="181">
      <c r="C181" s="63"/>
      <c r="D181" s="63" t="str">
        <f>IF(C181&lt;&gt;"", CountIF(OppMonsUsed, C181), "")</f>
        <v/>
      </c>
      <c r="E181" s="63" t="str">
        <f>IFERROR(__xludf.DUMMYFUNCTION("IF(C181&lt;&gt;"""",COUNTIF(FILTER(OppMonsUsed, GameResults=""win""), C181), """")"),"")</f>
        <v/>
      </c>
      <c r="F181" s="231" t="str">
        <f t="shared" si="1"/>
        <v/>
      </c>
    </row>
    <row r="182">
      <c r="C182" s="63"/>
      <c r="D182" s="63" t="str">
        <f>IF(C182&lt;&gt;"", CountIF(OppMonsUsed, C182), "")</f>
        <v/>
      </c>
      <c r="E182" s="63" t="str">
        <f>IFERROR(__xludf.DUMMYFUNCTION("IF(C182&lt;&gt;"""",COUNTIF(FILTER(OppMonsUsed, GameResults=""win""), C182), """")"),"")</f>
        <v/>
      </c>
      <c r="F182" s="231" t="str">
        <f t="shared" si="1"/>
        <v/>
      </c>
    </row>
    <row r="183">
      <c r="C183" s="63"/>
      <c r="D183" s="63" t="str">
        <f>IF(C183&lt;&gt;"", CountIF(OppMonsUsed, C183), "")</f>
        <v/>
      </c>
      <c r="E183" s="63" t="str">
        <f>IFERROR(__xludf.DUMMYFUNCTION("IF(C183&lt;&gt;"""",COUNTIF(FILTER(OppMonsUsed, GameResults=""win""), C183), """")"),"")</f>
        <v/>
      </c>
      <c r="F183" s="231" t="str">
        <f t="shared" si="1"/>
        <v/>
      </c>
    </row>
    <row r="184">
      <c r="C184" s="63"/>
      <c r="D184" s="63" t="str">
        <f>IF(C184&lt;&gt;"", CountIF(OppMonsUsed, C184), "")</f>
        <v/>
      </c>
      <c r="E184" s="63" t="str">
        <f>IFERROR(__xludf.DUMMYFUNCTION("IF(C184&lt;&gt;"""",COUNTIF(FILTER(OppMonsUsed, GameResults=""win""), C184), """")"),"")</f>
        <v/>
      </c>
      <c r="F184" s="231" t="str">
        <f t="shared" si="1"/>
        <v/>
      </c>
    </row>
    <row r="185">
      <c r="C185" s="63"/>
      <c r="D185" s="63" t="str">
        <f>IF(C185&lt;&gt;"", CountIF(OppMonsUsed, C185), "")</f>
        <v/>
      </c>
      <c r="E185" s="63" t="str">
        <f>IFERROR(__xludf.DUMMYFUNCTION("IF(C185&lt;&gt;"""",COUNTIF(FILTER(OppMonsUsed, GameResults=""win""), C185), """")"),"")</f>
        <v/>
      </c>
      <c r="F185" s="231" t="str">
        <f t="shared" si="1"/>
        <v/>
      </c>
    </row>
    <row r="186">
      <c r="C186" s="63"/>
      <c r="D186" s="63" t="str">
        <f>IF(C186&lt;&gt;"", CountIF(OppMonsUsed, C186), "")</f>
        <v/>
      </c>
      <c r="E186" s="63" t="str">
        <f>IFERROR(__xludf.DUMMYFUNCTION("IF(C186&lt;&gt;"""",COUNTIF(FILTER(OppMonsUsed, GameResults=""win""), C186), """")"),"")</f>
        <v/>
      </c>
      <c r="F186" s="231" t="str">
        <f t="shared" si="1"/>
        <v/>
      </c>
    </row>
    <row r="187">
      <c r="C187" s="63"/>
      <c r="D187" s="63" t="str">
        <f>IF(C187&lt;&gt;"", CountIF(OppMonsUsed, C187), "")</f>
        <v/>
      </c>
      <c r="E187" s="63" t="str">
        <f>IFERROR(__xludf.DUMMYFUNCTION("IF(C187&lt;&gt;"""",COUNTIF(FILTER(OppMonsUsed, GameResults=""win""), C187), """")"),"")</f>
        <v/>
      </c>
      <c r="F187" s="231" t="str">
        <f t="shared" si="1"/>
        <v/>
      </c>
    </row>
    <row r="188">
      <c r="C188" s="63"/>
      <c r="D188" s="63" t="str">
        <f>IF(C188&lt;&gt;"", CountIF(OppMonsUsed, C188), "")</f>
        <v/>
      </c>
      <c r="E188" s="63" t="str">
        <f>IFERROR(__xludf.DUMMYFUNCTION("IF(C188&lt;&gt;"""",COUNTIF(FILTER(OppMonsUsed, GameResults=""win""), C188), """")"),"")</f>
        <v/>
      </c>
      <c r="F188" s="231" t="str">
        <f t="shared" si="1"/>
        <v/>
      </c>
    </row>
    <row r="189">
      <c r="C189" s="63"/>
      <c r="D189" s="63" t="str">
        <f>IF(C189&lt;&gt;"", CountIF(OppMonsUsed, C189), "")</f>
        <v/>
      </c>
      <c r="E189" s="63" t="str">
        <f>IFERROR(__xludf.DUMMYFUNCTION("IF(C189&lt;&gt;"""",COUNTIF(FILTER(OppMonsUsed, GameResults=""win""), C189), """")"),"")</f>
        <v/>
      </c>
      <c r="F189" s="231" t="str">
        <f t="shared" si="1"/>
        <v/>
      </c>
    </row>
    <row r="190">
      <c r="C190" s="63"/>
      <c r="D190" s="63" t="str">
        <f>IF(C190&lt;&gt;"", CountIF(OppMonsUsed, C190), "")</f>
        <v/>
      </c>
      <c r="E190" s="63" t="str">
        <f>IFERROR(__xludf.DUMMYFUNCTION("IF(C190&lt;&gt;"""",COUNTIF(FILTER(OppMonsUsed, GameResults=""win""), C190), """")"),"")</f>
        <v/>
      </c>
      <c r="F190" s="231" t="str">
        <f t="shared" si="1"/>
        <v/>
      </c>
    </row>
    <row r="191">
      <c r="C191" s="63"/>
      <c r="D191" s="63" t="str">
        <f>IF(C191&lt;&gt;"", CountIF(OppMonsUsed, C191), "")</f>
        <v/>
      </c>
      <c r="E191" s="63" t="str">
        <f>IFERROR(__xludf.DUMMYFUNCTION("IF(C191&lt;&gt;"""",COUNTIF(FILTER(OppMonsUsed, GameResults=""win""), C191), """")"),"")</f>
        <v/>
      </c>
      <c r="F191" s="231" t="str">
        <f t="shared" si="1"/>
        <v/>
      </c>
    </row>
    <row r="192">
      <c r="C192" s="63"/>
      <c r="D192" s="63" t="str">
        <f>IF(C192&lt;&gt;"", CountIF(OppMonsUsed, C192), "")</f>
        <v/>
      </c>
      <c r="E192" s="63" t="str">
        <f>IFERROR(__xludf.DUMMYFUNCTION("IF(C192&lt;&gt;"""",COUNTIF(FILTER(OppMonsUsed, GameResults=""win""), C192), """")"),"")</f>
        <v/>
      </c>
      <c r="F192" s="231" t="str">
        <f t="shared" si="1"/>
        <v/>
      </c>
    </row>
    <row r="193">
      <c r="C193" s="63"/>
      <c r="D193" s="63" t="str">
        <f>IF(C193&lt;&gt;"", CountIF(OppMonsUsed, C193), "")</f>
        <v/>
      </c>
      <c r="E193" s="63" t="str">
        <f>IFERROR(__xludf.DUMMYFUNCTION("IF(C193&lt;&gt;"""",COUNTIF(FILTER(OppMonsUsed, GameResults=""win""), C193), """")"),"")</f>
        <v/>
      </c>
      <c r="F193" s="231" t="str">
        <f t="shared" si="1"/>
        <v/>
      </c>
    </row>
    <row r="194">
      <c r="C194" s="63"/>
      <c r="D194" s="63" t="str">
        <f>IF(C194&lt;&gt;"", CountIF(OppMonsUsed, C194), "")</f>
        <v/>
      </c>
      <c r="E194" s="63" t="str">
        <f>IFERROR(__xludf.DUMMYFUNCTION("IF(C194&lt;&gt;"""",COUNTIF(FILTER(OppMonsUsed, GameResults=""win""), C194), """")"),"")</f>
        <v/>
      </c>
      <c r="F194" s="231" t="str">
        <f t="shared" si="1"/>
        <v/>
      </c>
    </row>
    <row r="195">
      <c r="C195" s="63"/>
      <c r="D195" s="63" t="str">
        <f>IF(C195&lt;&gt;"", CountIF(OppMonsUsed, C195), "")</f>
        <v/>
      </c>
      <c r="E195" s="63" t="str">
        <f>IFERROR(__xludf.DUMMYFUNCTION("IF(C195&lt;&gt;"""",COUNTIF(FILTER(OppMonsUsed, GameResults=""win""), C195), """")"),"")</f>
        <v/>
      </c>
      <c r="F195" s="231" t="str">
        <f t="shared" si="1"/>
        <v/>
      </c>
    </row>
    <row r="196">
      <c r="C196" s="63"/>
      <c r="D196" s="63" t="str">
        <f>IF(C196&lt;&gt;"", CountIF(OppMonsUsed, C196), "")</f>
        <v/>
      </c>
      <c r="E196" s="63" t="str">
        <f>IFERROR(__xludf.DUMMYFUNCTION("IF(C196&lt;&gt;"""",COUNTIF(FILTER(OppMonsUsed, GameResults=""win""), C196), """")"),"")</f>
        <v/>
      </c>
      <c r="F196" s="231" t="str">
        <f t="shared" si="1"/>
        <v/>
      </c>
    </row>
    <row r="197">
      <c r="C197" s="63"/>
      <c r="D197" s="63" t="str">
        <f>IF(C197&lt;&gt;"", CountIF(OppMonsUsed, C197), "")</f>
        <v/>
      </c>
      <c r="E197" s="63" t="str">
        <f>IFERROR(__xludf.DUMMYFUNCTION("IF(C197&lt;&gt;"""",COUNTIF(FILTER(OppMonsUsed, GameResults=""win""), C197), """")"),"")</f>
        <v/>
      </c>
      <c r="F197" s="231" t="str">
        <f t="shared" si="1"/>
        <v/>
      </c>
    </row>
    <row r="198">
      <c r="C198" s="63"/>
      <c r="D198" s="63" t="str">
        <f>IF(C198&lt;&gt;"", CountIF(OppMonsUsed, C198), "")</f>
        <v/>
      </c>
      <c r="E198" s="63" t="str">
        <f>IFERROR(__xludf.DUMMYFUNCTION("IF(C198&lt;&gt;"""",COUNTIF(FILTER(OppMonsUsed, GameResults=""win""), C198), """")"),"")</f>
        <v/>
      </c>
      <c r="F198" s="231" t="str">
        <f t="shared" si="1"/>
        <v/>
      </c>
    </row>
    <row r="199">
      <c r="C199" s="63"/>
      <c r="D199" s="63" t="str">
        <f>IF(C199&lt;&gt;"", CountIF(OppMonsUsed, C199), "")</f>
        <v/>
      </c>
      <c r="E199" s="63" t="str">
        <f>IFERROR(__xludf.DUMMYFUNCTION("IF(C199&lt;&gt;"""",COUNTIF(FILTER(OppMonsUsed, GameResults=""win""), C199), """")"),"")</f>
        <v/>
      </c>
      <c r="F199" s="231" t="str">
        <f t="shared" si="1"/>
        <v/>
      </c>
    </row>
    <row r="200">
      <c r="C200" s="63"/>
      <c r="D200" s="63" t="str">
        <f>IF(C200&lt;&gt;"", CountIF(OppMonsUsed, C200), "")</f>
        <v/>
      </c>
      <c r="E200" s="63" t="str">
        <f>IFERROR(__xludf.DUMMYFUNCTION("IF(C200&lt;&gt;"""",COUNTIF(FILTER(OppMonsUsed, GameResults=""win""), C200), """")"),"")</f>
        <v/>
      </c>
      <c r="F200" s="231" t="str">
        <f t="shared" si="1"/>
        <v/>
      </c>
    </row>
    <row r="201">
      <c r="C201" s="63"/>
      <c r="D201" s="63" t="str">
        <f>IF(C201&lt;&gt;"", CountIF(OppMonsUsed, C201), "")</f>
        <v/>
      </c>
      <c r="E201" s="63" t="str">
        <f>IFERROR(__xludf.DUMMYFUNCTION("IF(C201&lt;&gt;"""",COUNTIF(FILTER(OppMonsUsed, GameResults=""win""), C201), """")"),"")</f>
        <v/>
      </c>
      <c r="F201" s="231" t="str">
        <f t="shared" si="1"/>
        <v/>
      </c>
    </row>
    <row r="202">
      <c r="C202" s="63"/>
      <c r="D202" s="63" t="str">
        <f>IF(C202&lt;&gt;"", CountIF(OppMonsUsed, C202), "")</f>
        <v/>
      </c>
      <c r="E202" s="63" t="str">
        <f>IFERROR(__xludf.DUMMYFUNCTION("IF(C202&lt;&gt;"""",COUNTIF(FILTER(OppMonsUsed, GameResults=""win""), C202), """")"),"")</f>
        <v/>
      </c>
      <c r="F202" s="231" t="str">
        <f t="shared" si="1"/>
        <v/>
      </c>
    </row>
    <row r="203">
      <c r="B203" s="171"/>
      <c r="C203" s="171"/>
      <c r="D203" s="63" t="str">
        <f>IF(C203&lt;&gt;"", CountIF(OppMonsUsed, C203), "")</f>
        <v/>
      </c>
      <c r="E203" s="63" t="str">
        <f>IFERROR(__xludf.DUMMYFUNCTION("IF(C203&lt;&gt;"""",COUNTIF(FILTER(OppMonsUsed, GameResults=""win""), C203), """")"),"")</f>
        <v/>
      </c>
      <c r="F203" s="231" t="str">
        <f t="shared" si="1"/>
        <v/>
      </c>
    </row>
    <row r="204">
      <c r="C204" s="63"/>
      <c r="D204" s="63" t="str">
        <f>IF(C204&lt;&gt;"", CountIF(OppMonsUsed, C204), "")</f>
        <v/>
      </c>
      <c r="E204" s="63" t="str">
        <f>IFERROR(__xludf.DUMMYFUNCTION("IF(C204&lt;&gt;"""",COUNTIF(FILTER(OppMonsUsed, GameResults=""win""), C204), """")"),"")</f>
        <v/>
      </c>
      <c r="F204" s="231" t="str">
        <f t="shared" si="1"/>
        <v/>
      </c>
    </row>
    <row r="205">
      <c r="C205" s="63"/>
      <c r="D205" s="63" t="str">
        <f>IF(C205&lt;&gt;"", CountIF(OppMonsUsed, C205), "")</f>
        <v/>
      </c>
      <c r="E205" s="63" t="str">
        <f>IFERROR(__xludf.DUMMYFUNCTION("IF(C205&lt;&gt;"""",COUNTIF(FILTER(OppMonsUsed, GameResults=""win""), C205), """")"),"")</f>
        <v/>
      </c>
      <c r="F205" s="231" t="str">
        <f t="shared" si="1"/>
        <v/>
      </c>
    </row>
    <row r="206">
      <c r="C206" s="63"/>
      <c r="D206" s="63" t="str">
        <f>IF(C206&lt;&gt;"", CountIF(OppMonsUsed, C206), "")</f>
        <v/>
      </c>
      <c r="E206" s="63" t="str">
        <f>IFERROR(__xludf.DUMMYFUNCTION("IF(C206&lt;&gt;"""",COUNTIF(FILTER(OppMonsUsed, GameResults=""win""), C206), """")"),"")</f>
        <v/>
      </c>
      <c r="F206" s="231" t="str">
        <f t="shared" si="1"/>
        <v/>
      </c>
    </row>
    <row r="207">
      <c r="C207" s="63"/>
      <c r="D207" s="63" t="str">
        <f>IF(C207&lt;&gt;"", CountIF(OppMonsUsed, C207), "")</f>
        <v/>
      </c>
      <c r="E207" s="63" t="str">
        <f>IFERROR(__xludf.DUMMYFUNCTION("IF(C207&lt;&gt;"""",COUNTIF(FILTER(OppMonsUsed, GameResults=""win""), C207), """")"),"")</f>
        <v/>
      </c>
      <c r="F207" s="231" t="str">
        <f t="shared" si="1"/>
        <v/>
      </c>
    </row>
    <row r="208">
      <c r="C208" s="63"/>
      <c r="D208" s="63" t="str">
        <f>IF(C208&lt;&gt;"", CountIF(OppMonsUsed, C208), "")</f>
        <v/>
      </c>
      <c r="E208" s="63" t="str">
        <f>IFERROR(__xludf.DUMMYFUNCTION("IF(C208&lt;&gt;"""",COUNTIF(FILTER(OppMonsUsed, GameResults=""win""), C208), """")"),"")</f>
        <v/>
      </c>
      <c r="F208" s="231" t="str">
        <f t="shared" si="1"/>
        <v/>
      </c>
    </row>
    <row r="209">
      <c r="C209" s="63"/>
      <c r="D209" s="63" t="str">
        <f>IF(C209&lt;&gt;"", CountIF(OppMonsUsed, C209), "")</f>
        <v/>
      </c>
      <c r="E209" s="63" t="str">
        <f>IFERROR(__xludf.DUMMYFUNCTION("IF(C209&lt;&gt;"""",COUNTIF(FILTER(OppMonsUsed, GameResults=""win""), C209), """")"),"")</f>
        <v/>
      </c>
      <c r="F209" s="231" t="str">
        <f t="shared" si="1"/>
        <v/>
      </c>
    </row>
    <row r="210">
      <c r="C210" s="63"/>
      <c r="D210" s="63" t="str">
        <f>IF(C210&lt;&gt;"", CountIF(OppMonsUsed, C210), "")</f>
        <v/>
      </c>
      <c r="E210" s="63" t="str">
        <f>IFERROR(__xludf.DUMMYFUNCTION("IF(C210&lt;&gt;"""",COUNTIF(FILTER(OppMonsUsed, GameResults=""win""), C210), """")"),"")</f>
        <v/>
      </c>
      <c r="F210" s="231" t="str">
        <f t="shared" si="1"/>
        <v/>
      </c>
    </row>
    <row r="211">
      <c r="C211" s="63"/>
      <c r="D211" s="63" t="str">
        <f>IF(C211&lt;&gt;"", CountIF(OppMonsUsed, C211), "")</f>
        <v/>
      </c>
      <c r="E211" s="63" t="str">
        <f>IFERROR(__xludf.DUMMYFUNCTION("IF(C211&lt;&gt;"""",COUNTIF(FILTER(OppMonsUsed, GameResults=""win""), C211), """")"),"")</f>
        <v/>
      </c>
      <c r="F211" s="231" t="str">
        <f t="shared" si="1"/>
        <v/>
      </c>
    </row>
    <row r="212">
      <c r="C212" s="63"/>
      <c r="D212" s="63" t="str">
        <f>IF(C212&lt;&gt;"", CountIF(OppMonsUsed, C212), "")</f>
        <v/>
      </c>
      <c r="E212" s="63" t="str">
        <f>IFERROR(__xludf.DUMMYFUNCTION("IF(C212&lt;&gt;"""",COUNTIF(FILTER(OppMonsUsed, GameResults=""win""), C212), """")"),"")</f>
        <v/>
      </c>
      <c r="F212" s="231" t="str">
        <f t="shared" si="1"/>
        <v/>
      </c>
    </row>
    <row r="213">
      <c r="C213" s="63"/>
      <c r="D213" s="63" t="str">
        <f>IF(C213&lt;&gt;"", CountIF(OppMonsUsed, C213), "")</f>
        <v/>
      </c>
      <c r="E213" s="63" t="str">
        <f>IFERROR(__xludf.DUMMYFUNCTION("IF(C213&lt;&gt;"""",COUNTIF(FILTER(OppMonsUsed, GameResults=""win""), C213), """")"),"")</f>
        <v/>
      </c>
      <c r="F213" s="231" t="str">
        <f t="shared" si="1"/>
        <v/>
      </c>
    </row>
    <row r="214">
      <c r="C214" s="63"/>
      <c r="D214" s="63" t="str">
        <f>IF(C214&lt;&gt;"", CountIF(OppMonsUsed, C214), "")</f>
        <v/>
      </c>
      <c r="E214" s="63" t="str">
        <f>IFERROR(__xludf.DUMMYFUNCTION("IF(C214&lt;&gt;"""",COUNTIF(FILTER(OppMonsUsed, GameResults=""win""), C214), """")"),"")</f>
        <v/>
      </c>
      <c r="F214" s="231" t="str">
        <f t="shared" si="1"/>
        <v/>
      </c>
    </row>
    <row r="215">
      <c r="C215" s="63"/>
      <c r="D215" s="63" t="str">
        <f>IF(C215&lt;&gt;"", CountIF(OppMonsUsed, C215), "")</f>
        <v/>
      </c>
      <c r="E215" s="63" t="str">
        <f>IFERROR(__xludf.DUMMYFUNCTION("IF(C215&lt;&gt;"""",COUNTIF(FILTER(OppMonsUsed, GameResults=""win""), C215), """")"),"")</f>
        <v/>
      </c>
      <c r="F215" s="231" t="str">
        <f t="shared" si="1"/>
        <v/>
      </c>
    </row>
    <row r="216">
      <c r="C216" s="63"/>
      <c r="D216" s="63" t="str">
        <f>IF(C216&lt;&gt;"", CountIF(OppMonsUsed, C216), "")</f>
        <v/>
      </c>
      <c r="E216" s="63" t="str">
        <f>IFERROR(__xludf.DUMMYFUNCTION("IF(C216&lt;&gt;"""",COUNTIF(FILTER(OppMonsUsed, GameResults=""win""), C216), """")"),"")</f>
        <v/>
      </c>
      <c r="F216" s="231" t="str">
        <f t="shared" si="1"/>
        <v/>
      </c>
    </row>
    <row r="217">
      <c r="C217" s="63"/>
      <c r="D217" s="63" t="str">
        <f>IF(C217&lt;&gt;"", CountIF(OppMonsUsed, C217), "")</f>
        <v/>
      </c>
      <c r="E217" s="63" t="str">
        <f>IFERROR(__xludf.DUMMYFUNCTION("IF(C217&lt;&gt;"""",COUNTIF(FILTER(OppMonsUsed, GameResults=""win""), C217), """")"),"")</f>
        <v/>
      </c>
      <c r="F217" s="231" t="str">
        <f t="shared" si="1"/>
        <v/>
      </c>
    </row>
    <row r="218">
      <c r="C218" s="63"/>
      <c r="D218" s="63" t="str">
        <f>IF(C218&lt;&gt;"", CountIF(OppMonsUsed, C218), "")</f>
        <v/>
      </c>
      <c r="E218" s="63" t="str">
        <f>IFERROR(__xludf.DUMMYFUNCTION("IF(C218&lt;&gt;"""",COUNTIF(FILTER(OppMonsUsed, GameResults=""win""), C218), """")"),"")</f>
        <v/>
      </c>
      <c r="F218" s="231" t="str">
        <f t="shared" si="1"/>
        <v/>
      </c>
    </row>
    <row r="219">
      <c r="C219" s="63"/>
      <c r="D219" s="63" t="str">
        <f>IF(C219&lt;&gt;"", CountIF(OppMonsUsed, C219), "")</f>
        <v/>
      </c>
      <c r="E219" s="63" t="str">
        <f>IFERROR(__xludf.DUMMYFUNCTION("IF(C219&lt;&gt;"""",COUNTIF(FILTER(OppMonsUsed, GameResults=""win""), C219), """")"),"")</f>
        <v/>
      </c>
      <c r="F219" s="231" t="str">
        <f t="shared" si="1"/>
        <v/>
      </c>
    </row>
    <row r="220">
      <c r="C220" s="63"/>
      <c r="D220" s="63" t="str">
        <f>IF(C220&lt;&gt;"", CountIF(OppMonsUsed, C220), "")</f>
        <v/>
      </c>
      <c r="E220" s="63" t="str">
        <f>IFERROR(__xludf.DUMMYFUNCTION("IF(C220&lt;&gt;"""",COUNTIF(FILTER(OppMonsUsed, GameResults=""win""), C220), """")"),"")</f>
        <v/>
      </c>
      <c r="F220" s="231" t="str">
        <f t="shared" si="1"/>
        <v/>
      </c>
    </row>
    <row r="221">
      <c r="C221" s="63"/>
      <c r="D221" s="63" t="str">
        <f>IF(C221&lt;&gt;"", CountIF(OppMonsUsed, C221), "")</f>
        <v/>
      </c>
      <c r="E221" s="63" t="str">
        <f>IFERROR(__xludf.DUMMYFUNCTION("IF(C221&lt;&gt;"""",COUNTIF(FILTER(OppMonsUsed, GameResults=""win""), C221), """")"),"")</f>
        <v/>
      </c>
      <c r="F221" s="231" t="str">
        <f t="shared" si="1"/>
        <v/>
      </c>
    </row>
    <row r="222">
      <c r="C222" s="63"/>
      <c r="D222" s="63" t="str">
        <f>IF(C222&lt;&gt;"", CountIF(OppMonsUsed, C222), "")</f>
        <v/>
      </c>
      <c r="E222" s="63" t="str">
        <f>IFERROR(__xludf.DUMMYFUNCTION("IF(C222&lt;&gt;"""",COUNTIF(FILTER(OppMonsUsed, GameResults=""win""), C222), """")"),"")</f>
        <v/>
      </c>
      <c r="F222" s="231" t="str">
        <f t="shared" si="1"/>
        <v/>
      </c>
    </row>
    <row r="223">
      <c r="C223" s="63"/>
      <c r="D223" s="63" t="str">
        <f>IF(C223&lt;&gt;"", CountIF(OppMonsUsed, C223), "")</f>
        <v/>
      </c>
      <c r="E223" s="63" t="str">
        <f>IFERROR(__xludf.DUMMYFUNCTION("IF(C223&lt;&gt;"""",COUNTIF(FILTER(OppMonsUsed, GameResults=""win""), C223), """")"),"")</f>
        <v/>
      </c>
      <c r="F223" s="231" t="str">
        <f t="shared" si="1"/>
        <v/>
      </c>
    </row>
    <row r="224">
      <c r="C224" s="63"/>
      <c r="D224" s="63" t="str">
        <f>IF(C224&lt;&gt;"", CountIF(OppMonsUsed, C224), "")</f>
        <v/>
      </c>
      <c r="E224" s="63" t="str">
        <f>IFERROR(__xludf.DUMMYFUNCTION("IF(C224&lt;&gt;"""",COUNTIF(FILTER(OppMonsUsed, GameResults=""win""), C224), """")"),"")</f>
        <v/>
      </c>
      <c r="F224" s="231" t="str">
        <f t="shared" si="1"/>
        <v/>
      </c>
    </row>
    <row r="225">
      <c r="C225" s="63"/>
      <c r="D225" s="63" t="str">
        <f>IF(C225&lt;&gt;"", CountIF(OppMonsUsed, C225), "")</f>
        <v/>
      </c>
      <c r="E225" s="63" t="str">
        <f>IFERROR(__xludf.DUMMYFUNCTION("IF(C225&lt;&gt;"""",COUNTIF(FILTER(OppMonsUsed, GameResults=""win""), C225), """")"),"")</f>
        <v/>
      </c>
      <c r="F225" s="231" t="str">
        <f t="shared" si="1"/>
        <v/>
      </c>
    </row>
    <row r="226">
      <c r="C226" s="63"/>
      <c r="D226" s="63" t="str">
        <f>IF(C226&lt;&gt;"", CountIF(OppMonsUsed, C226), "")</f>
        <v/>
      </c>
      <c r="E226" s="63" t="str">
        <f>IFERROR(__xludf.DUMMYFUNCTION("IF(C226&lt;&gt;"""",COUNTIF(FILTER(OppMonsUsed, GameResults=""win""), C226), """")"),"")</f>
        <v/>
      </c>
      <c r="F226" s="231" t="str">
        <f t="shared" si="1"/>
        <v/>
      </c>
    </row>
    <row r="227">
      <c r="C227" s="63"/>
      <c r="D227" s="63" t="str">
        <f>IF(C227&lt;&gt;"", CountIF(OppMonsUsed, C227), "")</f>
        <v/>
      </c>
      <c r="E227" s="63" t="str">
        <f>IFERROR(__xludf.DUMMYFUNCTION("IF(C227&lt;&gt;"""",COUNTIF(FILTER(OppMonsUsed, GameResults=""win""), C227), """")"),"")</f>
        <v/>
      </c>
      <c r="F227" s="231" t="str">
        <f t="shared" si="1"/>
        <v/>
      </c>
    </row>
    <row r="228">
      <c r="C228" s="63"/>
      <c r="D228" s="63" t="str">
        <f>IF(C228&lt;&gt;"", CountIF(OppMonsUsed, C228), "")</f>
        <v/>
      </c>
      <c r="E228" s="63" t="str">
        <f>IFERROR(__xludf.DUMMYFUNCTION("IF(C228&lt;&gt;"""",COUNTIF(FILTER(OppMonsUsed, GameResults=""win""), C228), """")"),"")</f>
        <v/>
      </c>
      <c r="F228" s="231" t="str">
        <f t="shared" si="1"/>
        <v/>
      </c>
    </row>
    <row r="229">
      <c r="C229" s="63"/>
      <c r="D229" s="63" t="str">
        <f>IF(C229&lt;&gt;"", CountIF(OppMonsUsed, C229), "")</f>
        <v/>
      </c>
      <c r="E229" s="63" t="str">
        <f>IFERROR(__xludf.DUMMYFUNCTION("IF(C229&lt;&gt;"""",COUNTIF(FILTER(OppMonsUsed, GameResults=""win""), C229), """")"),"")</f>
        <v/>
      </c>
      <c r="F229" s="231" t="str">
        <f t="shared" si="1"/>
        <v/>
      </c>
    </row>
    <row r="230">
      <c r="C230" s="63"/>
      <c r="D230" s="63" t="str">
        <f>IF(C230&lt;&gt;"", CountIF(OppMonsUsed, C230), "")</f>
        <v/>
      </c>
      <c r="E230" s="63" t="str">
        <f>IFERROR(__xludf.DUMMYFUNCTION("IF(C230&lt;&gt;"""",COUNTIF(FILTER(OppMonsUsed, GameResults=""win""), C230), """")"),"")</f>
        <v/>
      </c>
      <c r="F230" s="231" t="str">
        <f t="shared" si="1"/>
        <v/>
      </c>
    </row>
    <row r="231">
      <c r="C231" s="63"/>
      <c r="D231" s="63" t="str">
        <f>IF(C231&lt;&gt;"", CountIF(OppMonsUsed, C231), "")</f>
        <v/>
      </c>
      <c r="E231" s="63" t="str">
        <f>IFERROR(__xludf.DUMMYFUNCTION("IF(C231&lt;&gt;"""",COUNTIF(FILTER(OppMonsUsed, GameResults=""win""), C231), """")"),"")</f>
        <v/>
      </c>
      <c r="F231" s="231" t="str">
        <f t="shared" si="1"/>
        <v/>
      </c>
    </row>
    <row r="232">
      <c r="C232" s="63"/>
      <c r="D232" s="63" t="str">
        <f>IF(C232&lt;&gt;"", CountIF(OppMonsUsed, C232), "")</f>
        <v/>
      </c>
      <c r="E232" s="63" t="str">
        <f>IFERROR(__xludf.DUMMYFUNCTION("IF(C232&lt;&gt;"""",COUNTIF(FILTER(OppMonsUsed, GameResults=""win""), C232), """")"),"")</f>
        <v/>
      </c>
      <c r="F232" s="231" t="str">
        <f t="shared" si="1"/>
        <v/>
      </c>
    </row>
    <row r="233">
      <c r="C233" s="63"/>
      <c r="D233" s="63" t="str">
        <f>IF(C233&lt;&gt;"", CountIF(OppMonsUsed, C233), "")</f>
        <v/>
      </c>
      <c r="E233" s="63" t="str">
        <f>IFERROR(__xludf.DUMMYFUNCTION("IF(C233&lt;&gt;"""",COUNTIF(FILTER(OppMonsUsed, GameResults=""win""), C233), """")"),"")</f>
        <v/>
      </c>
      <c r="F233" s="231" t="str">
        <f t="shared" si="1"/>
        <v/>
      </c>
    </row>
    <row r="234">
      <c r="C234" s="63"/>
      <c r="D234" s="63" t="str">
        <f>IF(C234&lt;&gt;"", CountIF(OppMonsUsed, C234), "")</f>
        <v/>
      </c>
      <c r="E234" s="63" t="str">
        <f>IFERROR(__xludf.DUMMYFUNCTION("IF(C234&lt;&gt;"""",COUNTIF(FILTER(OppMonsUsed, GameResults=""win""), C234), """")"),"")</f>
        <v/>
      </c>
      <c r="F234" s="231" t="str">
        <f t="shared" si="1"/>
        <v/>
      </c>
    </row>
    <row r="235">
      <c r="C235" s="63"/>
      <c r="D235" s="63" t="str">
        <f>IF(C235&lt;&gt;"", CountIF(OppMonsUsed, C235), "")</f>
        <v/>
      </c>
      <c r="E235" s="63" t="str">
        <f>IFERROR(__xludf.DUMMYFUNCTION("IF(C235&lt;&gt;"""",COUNTIF(FILTER(OppMonsUsed, GameResults=""win""), C235), """")"),"")</f>
        <v/>
      </c>
      <c r="F235" s="231" t="str">
        <f t="shared" si="1"/>
        <v/>
      </c>
    </row>
    <row r="236">
      <c r="C236" s="63"/>
      <c r="D236" s="63" t="str">
        <f>IF(C236&lt;&gt;"", CountIF(OppMonsUsed, C236), "")</f>
        <v/>
      </c>
      <c r="E236" s="63" t="str">
        <f>IFERROR(__xludf.DUMMYFUNCTION("IF(C236&lt;&gt;"""",COUNTIF(FILTER(OppMonsUsed, GameResults=""win""), C236), """")"),"")</f>
        <v/>
      </c>
      <c r="F236" s="231" t="str">
        <f t="shared" si="1"/>
        <v/>
      </c>
    </row>
    <row r="237">
      <c r="C237" s="63"/>
      <c r="D237" s="63" t="str">
        <f>IF(C237&lt;&gt;"", CountIF(OppMonsUsed, C237), "")</f>
        <v/>
      </c>
      <c r="E237" s="63" t="str">
        <f>IFERROR(__xludf.DUMMYFUNCTION("IF(C237&lt;&gt;"""",COUNTIF(FILTER(OppMonsUsed, GameResults=""win""), C237), """")"),"")</f>
        <v/>
      </c>
      <c r="F237" s="231" t="str">
        <f t="shared" si="1"/>
        <v/>
      </c>
    </row>
    <row r="238">
      <c r="C238" s="63"/>
      <c r="D238" s="63" t="str">
        <f>IF(C238&lt;&gt;"", CountIF(OppMonsUsed, C238), "")</f>
        <v/>
      </c>
      <c r="E238" s="63" t="str">
        <f>IFERROR(__xludf.DUMMYFUNCTION("IF(C238&lt;&gt;"""",COUNTIF(FILTER(OppMonsUsed, GameResults=""win""), C238), """")"),"")</f>
        <v/>
      </c>
      <c r="F238" s="231" t="str">
        <f t="shared" si="1"/>
        <v/>
      </c>
    </row>
    <row r="239">
      <c r="C239" s="63"/>
      <c r="D239" s="63" t="str">
        <f>IF(C239&lt;&gt;"", CountIF(OppMonsUsed, C239), "")</f>
        <v/>
      </c>
      <c r="E239" s="63" t="str">
        <f>IFERROR(__xludf.DUMMYFUNCTION("IF(C239&lt;&gt;"""",COUNTIF(FILTER(OppMonsUsed, GameResults=""win""), C239), """")"),"")</f>
        <v/>
      </c>
      <c r="F239" s="231" t="str">
        <f t="shared" si="1"/>
        <v/>
      </c>
    </row>
    <row r="240">
      <c r="C240" s="63"/>
      <c r="D240" s="63" t="str">
        <f>IF(C240&lt;&gt;"", CountIF(OppMonsUsed, C240), "")</f>
        <v/>
      </c>
      <c r="E240" s="63" t="str">
        <f>IFERROR(__xludf.DUMMYFUNCTION("IF(C240&lt;&gt;"""",COUNTIF(FILTER(OppMonsUsed, GameResults=""win""), C240), """")"),"")</f>
        <v/>
      </c>
      <c r="F240" s="231" t="str">
        <f t="shared" si="1"/>
        <v/>
      </c>
    </row>
    <row r="241">
      <c r="C241" s="63"/>
      <c r="D241" s="63" t="str">
        <f>IF(C241&lt;&gt;"", CountIF(OppMonsUsed, C241), "")</f>
        <v/>
      </c>
      <c r="E241" s="63" t="str">
        <f>IFERROR(__xludf.DUMMYFUNCTION("IF(C241&lt;&gt;"""",COUNTIF(FILTER(OppMonsUsed, GameResults=""win""), C241), """")"),"")</f>
        <v/>
      </c>
      <c r="F241" s="231" t="str">
        <f t="shared" si="1"/>
        <v/>
      </c>
    </row>
    <row r="242">
      <c r="C242" s="63"/>
      <c r="D242" s="63" t="str">
        <f>IF(C242&lt;&gt;"", CountIF(OppMonsUsed, C242), "")</f>
        <v/>
      </c>
      <c r="E242" s="63" t="str">
        <f>IFERROR(__xludf.DUMMYFUNCTION("IF(C242&lt;&gt;"""",COUNTIF(FILTER(OppMonsUsed, GameResults=""win""), C242), """")"),"")</f>
        <v/>
      </c>
      <c r="F242" s="231" t="str">
        <f t="shared" si="1"/>
        <v/>
      </c>
    </row>
    <row r="243">
      <c r="C243" s="63"/>
      <c r="D243" s="63" t="str">
        <f>IF(C243&lt;&gt;"", CountIF(OppMonsUsed, C243), "")</f>
        <v/>
      </c>
      <c r="E243" s="63" t="str">
        <f>IFERROR(__xludf.DUMMYFUNCTION("IF(C243&lt;&gt;"""",COUNTIF(FILTER(OppMonsUsed, GameResults=""win""), C243), """")"),"")</f>
        <v/>
      </c>
      <c r="F243" s="231" t="str">
        <f t="shared" si="1"/>
        <v/>
      </c>
    </row>
    <row r="244">
      <c r="C244" s="63"/>
      <c r="D244" s="63" t="str">
        <f>IF(C244&lt;&gt;"", CountIF(OppMonsUsed, C244), "")</f>
        <v/>
      </c>
      <c r="E244" s="63" t="str">
        <f>IFERROR(__xludf.DUMMYFUNCTION("IF(C244&lt;&gt;"""",COUNTIF(FILTER(OppMonsUsed, GameResults=""win""), C244), """")"),"")</f>
        <v/>
      </c>
      <c r="F244" s="231" t="str">
        <f t="shared" si="1"/>
        <v/>
      </c>
    </row>
    <row r="245">
      <c r="C245" s="63"/>
      <c r="D245" s="63" t="str">
        <f>IF(C245&lt;&gt;"", CountIF(OppMonsUsed, C245), "")</f>
        <v/>
      </c>
      <c r="E245" s="63" t="str">
        <f>IFERROR(__xludf.DUMMYFUNCTION("IF(C245&lt;&gt;"""",COUNTIF(FILTER(OppMonsUsed, GameResults=""win""), C245), """")"),"")</f>
        <v/>
      </c>
      <c r="F245" s="231" t="str">
        <f t="shared" si="1"/>
        <v/>
      </c>
    </row>
    <row r="246">
      <c r="C246" s="63"/>
      <c r="D246" s="63" t="str">
        <f>IF(C246&lt;&gt;"", CountIF(OppMonsUsed, C246), "")</f>
        <v/>
      </c>
      <c r="E246" s="63" t="str">
        <f>IFERROR(__xludf.DUMMYFUNCTION("IF(C246&lt;&gt;"""",COUNTIF(FILTER(OppMonsUsed, GameResults=""win""), C246), """")"),"")</f>
        <v/>
      </c>
      <c r="F246" s="231" t="str">
        <f t="shared" si="1"/>
        <v/>
      </c>
    </row>
    <row r="247">
      <c r="C247" s="63"/>
      <c r="D247" s="63" t="str">
        <f>IF(C247&lt;&gt;"", CountIF(OppMonsUsed, C247), "")</f>
        <v/>
      </c>
      <c r="E247" s="63" t="str">
        <f>IFERROR(__xludf.DUMMYFUNCTION("IF(C247&lt;&gt;"""",COUNTIF(FILTER(OppMonsUsed, GameResults=""win""), C247), """")"),"")</f>
        <v/>
      </c>
      <c r="F247" s="231" t="str">
        <f t="shared" si="1"/>
        <v/>
      </c>
    </row>
    <row r="248">
      <c r="C248" s="63"/>
      <c r="D248" s="63" t="str">
        <f>IF(C248&lt;&gt;"", CountIF(OppMonsUsed, C248), "")</f>
        <v/>
      </c>
      <c r="E248" s="63" t="str">
        <f>IFERROR(__xludf.DUMMYFUNCTION("IF(C248&lt;&gt;"""",COUNTIF(FILTER(OppMonsUsed, GameResults=""win""), C248), """")"),"")</f>
        <v/>
      </c>
      <c r="F248" s="231" t="str">
        <f t="shared" si="1"/>
        <v/>
      </c>
    </row>
    <row r="249">
      <c r="C249" s="63"/>
      <c r="D249" s="63" t="str">
        <f>IF(C249&lt;&gt;"", CountIF(OppMonsUsed, C249), "")</f>
        <v/>
      </c>
      <c r="E249" s="63" t="str">
        <f>IFERROR(__xludf.DUMMYFUNCTION("IF(C249&lt;&gt;"""",COUNTIF(FILTER(OppMonsUsed, GameResults=""win""), C249), """")"),"")</f>
        <v/>
      </c>
      <c r="F249" s="231" t="str">
        <f t="shared" si="1"/>
        <v/>
      </c>
    </row>
    <row r="250">
      <c r="C250" s="63"/>
      <c r="D250" s="63" t="str">
        <f>IF(C250&lt;&gt;"", CountIF(OppMonsUsed, C250), "")</f>
        <v/>
      </c>
      <c r="E250" s="63" t="str">
        <f>IFERROR(__xludf.DUMMYFUNCTION("IF(C250&lt;&gt;"""",COUNTIF(FILTER(OppMonsUsed, GameResults=""win""), C250), """")"),"")</f>
        <v/>
      </c>
      <c r="F250" s="231" t="str">
        <f t="shared" si="1"/>
        <v/>
      </c>
    </row>
    <row r="251">
      <c r="C251" s="63"/>
      <c r="D251" s="63" t="str">
        <f>IF(C251&lt;&gt;"", CountIF(OppMonsUsed, C251), "")</f>
        <v/>
      </c>
      <c r="E251" s="63" t="str">
        <f>IFERROR(__xludf.DUMMYFUNCTION("IF(C251&lt;&gt;"""",COUNTIF(FILTER(OppMonsUsed, GameResults=""win""), C251), """")"),"")</f>
        <v/>
      </c>
      <c r="F251" s="231" t="str">
        <f t="shared" si="1"/>
        <v/>
      </c>
    </row>
    <row r="252">
      <c r="C252" s="63"/>
      <c r="D252" s="63" t="str">
        <f>IF(C252&lt;&gt;"", CountIF(OppMonsUsed, C252), "")</f>
        <v/>
      </c>
      <c r="E252" s="63" t="str">
        <f>IFERROR(__xludf.DUMMYFUNCTION("IF(C252&lt;&gt;"""",COUNTIF(FILTER(OppMonsUsed, GameResults=""win""), C252), """")"),"")</f>
        <v/>
      </c>
      <c r="F252" s="231" t="str">
        <f t="shared" si="1"/>
        <v/>
      </c>
    </row>
    <row r="253">
      <c r="C253" s="63"/>
      <c r="D253" s="63" t="str">
        <f>IF(C253&lt;&gt;"", CountIF(OppMonsUsed, C253), "")</f>
        <v/>
      </c>
      <c r="E253" s="63" t="str">
        <f>IFERROR(__xludf.DUMMYFUNCTION("IF(C253&lt;&gt;"""",COUNTIF(FILTER(OppMonsUsed, GameResults=""win""), C253), """")"),"")</f>
        <v/>
      </c>
      <c r="F253" s="231" t="str">
        <f t="shared" si="1"/>
        <v/>
      </c>
    </row>
    <row r="254">
      <c r="C254" s="63"/>
      <c r="D254" s="63" t="str">
        <f>IF(C254&lt;&gt;"", CountIF(OppMonsUsed, C254), "")</f>
        <v/>
      </c>
      <c r="E254" s="63" t="str">
        <f>IFERROR(__xludf.DUMMYFUNCTION("IF(C254&lt;&gt;"""",COUNTIF(FILTER(OppMonsUsed, GameResults=""win""), C254), """")"),"")</f>
        <v/>
      </c>
      <c r="F254" s="231" t="str">
        <f t="shared" si="1"/>
        <v/>
      </c>
    </row>
    <row r="255">
      <c r="C255" s="63"/>
      <c r="D255" s="63" t="str">
        <f>IF(C255&lt;&gt;"", CountIF(OppMonsUsed, C255), "")</f>
        <v/>
      </c>
      <c r="E255" s="63" t="str">
        <f>IFERROR(__xludf.DUMMYFUNCTION("IF(C255&lt;&gt;"""",COUNTIF(FILTER(OppMonsUsed, GameResults=""win""), C255), """")"),"")</f>
        <v/>
      </c>
      <c r="F255" s="231" t="str">
        <f t="shared" si="1"/>
        <v/>
      </c>
    </row>
    <row r="256">
      <c r="C256" s="63"/>
      <c r="D256" s="63" t="str">
        <f>IF(C256&lt;&gt;"", CountIF(OppMonsUsed, C256), "")</f>
        <v/>
      </c>
      <c r="E256" s="63" t="str">
        <f>IFERROR(__xludf.DUMMYFUNCTION("IF(C256&lt;&gt;"""",COUNTIF(FILTER(OppMonsUsed, GameResults=""win""), C256), """")"),"")</f>
        <v/>
      </c>
      <c r="F256" s="231" t="str">
        <f t="shared" si="1"/>
        <v/>
      </c>
    </row>
    <row r="257">
      <c r="C257" s="63"/>
      <c r="D257" s="63" t="str">
        <f>IF(C257&lt;&gt;"", CountIF(OppMonsUsed, C257), "")</f>
        <v/>
      </c>
      <c r="E257" s="63" t="str">
        <f>IFERROR(__xludf.DUMMYFUNCTION("IF(C257&lt;&gt;"""",COUNTIF(FILTER(OppMonsUsed, GameResults=""win""), C257), """")"),"")</f>
        <v/>
      </c>
      <c r="F257" s="231" t="str">
        <f t="shared" si="1"/>
        <v/>
      </c>
    </row>
    <row r="258">
      <c r="C258" s="63"/>
      <c r="D258" s="63" t="str">
        <f>IF(C258&lt;&gt;"", CountIF(OppMonsUsed, C258), "")</f>
        <v/>
      </c>
      <c r="E258" s="63" t="str">
        <f>IFERROR(__xludf.DUMMYFUNCTION("IF(C258&lt;&gt;"""",COUNTIF(FILTER(OppMonsUsed, GameResults=""win""), C258), """")"),"")</f>
        <v/>
      </c>
      <c r="F258" s="231" t="str">
        <f t="shared" si="1"/>
        <v/>
      </c>
    </row>
    <row r="259">
      <c r="C259" s="63"/>
      <c r="D259" s="63" t="str">
        <f>IF(C259&lt;&gt;"", CountIF(OppMonsUsed, C259), "")</f>
        <v/>
      </c>
      <c r="E259" s="63" t="str">
        <f>IFERROR(__xludf.DUMMYFUNCTION("IF(C259&lt;&gt;"""",COUNTIF(FILTER(OppMonsUsed, GameResults=""win""), C259), """")"),"")</f>
        <v/>
      </c>
      <c r="F259" s="231" t="str">
        <f t="shared" si="1"/>
        <v/>
      </c>
    </row>
    <row r="260">
      <c r="C260" s="63"/>
      <c r="D260" s="63" t="str">
        <f>IF(C260&lt;&gt;"", CountIF(OppMonsUsed, C260), "")</f>
        <v/>
      </c>
      <c r="E260" s="63" t="str">
        <f>IFERROR(__xludf.DUMMYFUNCTION("IF(C260&lt;&gt;"""",COUNTIF(FILTER(OppMonsUsed, GameResults=""win""), C260), """")"),"")</f>
        <v/>
      </c>
      <c r="F260" s="231" t="str">
        <f t="shared" si="1"/>
        <v/>
      </c>
    </row>
    <row r="261">
      <c r="C261" s="63"/>
      <c r="D261" s="63" t="str">
        <f>IF(C261&lt;&gt;"", CountIF(OppMonsUsed, C261), "")</f>
        <v/>
      </c>
      <c r="E261" s="63" t="str">
        <f>IFERROR(__xludf.DUMMYFUNCTION("IF(C261&lt;&gt;"""",COUNTIF(FILTER(OppMonsUsed, GameResults=""win""), C261), """")"),"")</f>
        <v/>
      </c>
      <c r="F261" s="231" t="str">
        <f t="shared" si="1"/>
        <v/>
      </c>
    </row>
    <row r="262">
      <c r="C262" s="63"/>
      <c r="D262" s="63" t="str">
        <f>IF(C262&lt;&gt;"", CountIF(OppMonsUsed, C262), "")</f>
        <v/>
      </c>
      <c r="E262" s="63" t="str">
        <f>IFERROR(__xludf.DUMMYFUNCTION("IF(C262&lt;&gt;"""",COUNTIF(FILTER(OppMonsUsed, GameResults=""win""), C262), """")"),"")</f>
        <v/>
      </c>
      <c r="F262" s="231" t="str">
        <f t="shared" si="1"/>
        <v/>
      </c>
    </row>
    <row r="263">
      <c r="C263" s="63"/>
      <c r="D263" s="63" t="str">
        <f>IF(C263&lt;&gt;"", CountIF(OppMonsUsed, C263), "")</f>
        <v/>
      </c>
      <c r="E263" s="63" t="str">
        <f>IFERROR(__xludf.DUMMYFUNCTION("IF(C263&lt;&gt;"""",COUNTIF(FILTER(OppMonsUsed, GameResults=""win""), C263), """")"),"")</f>
        <v/>
      </c>
      <c r="F263" s="231" t="str">
        <f t="shared" si="1"/>
        <v/>
      </c>
    </row>
    <row r="264">
      <c r="C264" s="63"/>
      <c r="D264" s="63" t="str">
        <f>IF(C264&lt;&gt;"", CountIF(OppMonsUsed, C264), "")</f>
        <v/>
      </c>
      <c r="E264" s="63" t="str">
        <f>IFERROR(__xludf.DUMMYFUNCTION("IF(C264&lt;&gt;"""",COUNTIF(FILTER(OppMonsUsed, GameResults=""win""), C264), """")"),"")</f>
        <v/>
      </c>
      <c r="F264" s="231" t="str">
        <f t="shared" si="1"/>
        <v/>
      </c>
    </row>
    <row r="265">
      <c r="C265" s="63"/>
      <c r="D265" s="63" t="str">
        <f>IF(C265&lt;&gt;"", CountIF(OppMonsUsed, C265), "")</f>
        <v/>
      </c>
      <c r="E265" s="63" t="str">
        <f>IFERROR(__xludf.DUMMYFUNCTION("IF(C265&lt;&gt;"""",COUNTIF(FILTER(OppMonsUsed, GameResults=""win""), C265), """")"),"")</f>
        <v/>
      </c>
      <c r="F265" s="231" t="str">
        <f t="shared" si="1"/>
        <v/>
      </c>
    </row>
    <row r="266">
      <c r="C266" s="63"/>
      <c r="D266" s="63" t="str">
        <f>IF(C266&lt;&gt;"", CountIF(OppMonsUsed, C266), "")</f>
        <v/>
      </c>
      <c r="E266" s="63" t="str">
        <f>IFERROR(__xludf.DUMMYFUNCTION("IF(C266&lt;&gt;"""",COUNTIF(FILTER(OppMonsUsed, GameResults=""win""), C266), """")"),"")</f>
        <v/>
      </c>
      <c r="F266" s="231" t="str">
        <f t="shared" si="1"/>
        <v/>
      </c>
    </row>
    <row r="267">
      <c r="C267" s="63"/>
      <c r="D267" s="63" t="str">
        <f>IF(C267&lt;&gt;"", CountIF(OppMonsUsed, C267), "")</f>
        <v/>
      </c>
      <c r="E267" s="63" t="str">
        <f>IFERROR(__xludf.DUMMYFUNCTION("IF(C267&lt;&gt;"""",COUNTIF(FILTER(OppMonsUsed, GameResults=""win""), C267), """")"),"")</f>
        <v/>
      </c>
      <c r="F267" s="231" t="str">
        <f t="shared" si="1"/>
        <v/>
      </c>
    </row>
    <row r="268">
      <c r="C268" s="63"/>
      <c r="D268" s="63" t="str">
        <f>IF(C268&lt;&gt;"", CountIF(OppMonsUsed, C268), "")</f>
        <v/>
      </c>
      <c r="E268" s="63" t="str">
        <f>IFERROR(__xludf.DUMMYFUNCTION("IF(C268&lt;&gt;"""",COUNTIF(FILTER(OppMonsUsed, GameResults=""win""), C268), """")"),"")</f>
        <v/>
      </c>
      <c r="F268" s="231" t="str">
        <f t="shared" si="1"/>
        <v/>
      </c>
    </row>
    <row r="269">
      <c r="C269" s="63"/>
      <c r="D269" s="63" t="str">
        <f>IF(C269&lt;&gt;"", CountIF(OppMonsUsed, C269), "")</f>
        <v/>
      </c>
      <c r="E269" s="63" t="str">
        <f>IFERROR(__xludf.DUMMYFUNCTION("IF(C269&lt;&gt;"""",COUNTIF(FILTER(OppMonsUsed, GameResults=""win""), C269), """")"),"")</f>
        <v/>
      </c>
      <c r="F269" s="231" t="str">
        <f t="shared" si="1"/>
        <v/>
      </c>
    </row>
    <row r="270">
      <c r="C270" s="63"/>
      <c r="D270" s="63" t="str">
        <f>IF(C270&lt;&gt;"", CountIF(OppMonsUsed, C270), "")</f>
        <v/>
      </c>
      <c r="E270" s="63" t="str">
        <f>IFERROR(__xludf.DUMMYFUNCTION("IF(C270&lt;&gt;"""",COUNTIF(FILTER(OppMonsUsed, GameResults=""win""), C270), """")"),"")</f>
        <v/>
      </c>
      <c r="F270" s="231" t="str">
        <f t="shared" si="1"/>
        <v/>
      </c>
    </row>
    <row r="271">
      <c r="C271" s="63"/>
      <c r="D271" s="63" t="str">
        <f>IF(C271&lt;&gt;"", CountIF(OppMonsUsed, C271), "")</f>
        <v/>
      </c>
      <c r="E271" s="63" t="str">
        <f>IFERROR(__xludf.DUMMYFUNCTION("IF(C271&lt;&gt;"""",COUNTIF(FILTER(OppMonsUsed, GameResults=""win""), C271), """")"),"")</f>
        <v/>
      </c>
      <c r="F271" s="231" t="str">
        <f t="shared" si="1"/>
        <v/>
      </c>
    </row>
    <row r="272">
      <c r="C272" s="63"/>
      <c r="D272" s="63" t="str">
        <f>IF(C272&lt;&gt;"", CountIF(OppMonsUsed, C272), "")</f>
        <v/>
      </c>
      <c r="E272" s="63" t="str">
        <f>IFERROR(__xludf.DUMMYFUNCTION("IF(C272&lt;&gt;"""",COUNTIF(FILTER(OppMonsUsed, GameResults=""win""), C272), """")"),"")</f>
        <v/>
      </c>
      <c r="F272" s="231" t="str">
        <f t="shared" si="1"/>
        <v/>
      </c>
    </row>
    <row r="273">
      <c r="C273" s="63"/>
      <c r="D273" s="63" t="str">
        <f>IF(C273&lt;&gt;"", CountIF(OppMonsUsed, C273), "")</f>
        <v/>
      </c>
      <c r="E273" s="63" t="str">
        <f>IFERROR(__xludf.DUMMYFUNCTION("IF(C273&lt;&gt;"""",COUNTIF(FILTER(OppMonsUsed, GameResults=""win""), C273), """")"),"")</f>
        <v/>
      </c>
      <c r="F273" s="231" t="str">
        <f t="shared" si="1"/>
        <v/>
      </c>
    </row>
    <row r="274">
      <c r="C274" s="63"/>
      <c r="D274" s="63" t="str">
        <f>IF(C274&lt;&gt;"", CountIF(OppMonsUsed, C274), "")</f>
        <v/>
      </c>
      <c r="E274" s="63" t="str">
        <f>IFERROR(__xludf.DUMMYFUNCTION("IF(C274&lt;&gt;"""",COUNTIF(FILTER(OppMonsUsed, GameResults=""win""), C274), """")"),"")</f>
        <v/>
      </c>
      <c r="F274" s="231" t="str">
        <f t="shared" si="1"/>
        <v/>
      </c>
    </row>
    <row r="275">
      <c r="C275" s="63"/>
      <c r="D275" s="63" t="str">
        <f>IF(C275&lt;&gt;"", CountIF(OppMonsUsed, C275), "")</f>
        <v/>
      </c>
      <c r="E275" s="63" t="str">
        <f>IFERROR(__xludf.DUMMYFUNCTION("IF(C275&lt;&gt;"""",COUNTIF(FILTER(OppMonsUsed, GameResults=""win""), C275), """")"),"")</f>
        <v/>
      </c>
      <c r="F275" s="231" t="str">
        <f t="shared" si="1"/>
        <v/>
      </c>
    </row>
    <row r="276">
      <c r="C276" s="63"/>
      <c r="D276" s="63" t="str">
        <f>IF(C276&lt;&gt;"", CountIF(OppMonsUsed, C276), "")</f>
        <v/>
      </c>
      <c r="E276" s="63" t="str">
        <f>IFERROR(__xludf.DUMMYFUNCTION("IF(C276&lt;&gt;"""",COUNTIF(FILTER(OppMonsUsed, GameResults=""win""), C276), """")"),"")</f>
        <v/>
      </c>
      <c r="F276" s="231" t="str">
        <f t="shared" si="1"/>
        <v/>
      </c>
    </row>
    <row r="277">
      <c r="C277" s="63"/>
      <c r="D277" s="63" t="str">
        <f>IF(C277&lt;&gt;"", CountIF(OppMonsUsed, C277), "")</f>
        <v/>
      </c>
      <c r="E277" s="63" t="str">
        <f>IFERROR(__xludf.DUMMYFUNCTION("IF(C277&lt;&gt;"""",COUNTIF(FILTER(OppMonsUsed, GameResults=""win""), C277), """")"),"")</f>
        <v/>
      </c>
      <c r="F277" s="231" t="str">
        <f t="shared" si="1"/>
        <v/>
      </c>
    </row>
    <row r="278">
      <c r="C278" s="63"/>
      <c r="D278" s="63" t="str">
        <f>IF(C278&lt;&gt;"", CountIF(OppMonsUsed, C278), "")</f>
        <v/>
      </c>
      <c r="E278" s="63" t="str">
        <f>IFERROR(__xludf.DUMMYFUNCTION("IF(C278&lt;&gt;"""",COUNTIF(FILTER(OppMonsUsed, GameResults=""win""), C278), """")"),"")</f>
        <v/>
      </c>
      <c r="F278" s="231" t="str">
        <f t="shared" si="1"/>
        <v/>
      </c>
    </row>
    <row r="279">
      <c r="C279" s="63"/>
      <c r="D279" s="63" t="str">
        <f>IF(C279&lt;&gt;"", CountIF(OppMonsUsed, C279), "")</f>
        <v/>
      </c>
      <c r="E279" s="63" t="str">
        <f>IFERROR(__xludf.DUMMYFUNCTION("IF(C279&lt;&gt;"""",COUNTIF(FILTER(OppMonsUsed, GameResults=""win""), C279), """")"),"")</f>
        <v/>
      </c>
      <c r="F279" s="231" t="str">
        <f t="shared" si="1"/>
        <v/>
      </c>
    </row>
    <row r="280">
      <c r="C280" s="63"/>
      <c r="D280" s="63" t="str">
        <f>IF(C280&lt;&gt;"", CountIF(OppMonsUsed, C280), "")</f>
        <v/>
      </c>
      <c r="E280" s="63" t="str">
        <f>IFERROR(__xludf.DUMMYFUNCTION("IF(C280&lt;&gt;"""",COUNTIF(FILTER(OppMonsUsed, GameResults=""win""), C280), """")"),"")</f>
        <v/>
      </c>
      <c r="F280" s="231" t="str">
        <f t="shared" si="1"/>
        <v/>
      </c>
    </row>
    <row r="281">
      <c r="C281" s="63"/>
      <c r="D281" s="63" t="str">
        <f>IF(C281&lt;&gt;"", CountIF(OppMonsUsed, C281), "")</f>
        <v/>
      </c>
      <c r="E281" s="63" t="str">
        <f>IFERROR(__xludf.DUMMYFUNCTION("IF(C281&lt;&gt;"""",COUNTIF(FILTER(OppMonsUsed, GameResults=""win""), C281), """")"),"")</f>
        <v/>
      </c>
      <c r="F281" s="231" t="str">
        <f t="shared" si="1"/>
        <v/>
      </c>
    </row>
    <row r="282">
      <c r="C282" s="63"/>
      <c r="D282" s="63" t="str">
        <f>IF(C282&lt;&gt;"", CountIF(OppMonsUsed, C282), "")</f>
        <v/>
      </c>
      <c r="E282" s="63" t="str">
        <f>IFERROR(__xludf.DUMMYFUNCTION("IF(C282&lt;&gt;"""",COUNTIF(FILTER(OppMonsUsed, GameResults=""win""), C282), """")"),"")</f>
        <v/>
      </c>
      <c r="F282" s="231" t="str">
        <f t="shared" si="1"/>
        <v/>
      </c>
    </row>
    <row r="283">
      <c r="C283" s="63"/>
      <c r="D283" s="63" t="str">
        <f>IF(C283&lt;&gt;"", CountIF(OppMonsUsed, C283), "")</f>
        <v/>
      </c>
      <c r="E283" s="63" t="str">
        <f>IFERROR(__xludf.DUMMYFUNCTION("IF(C283&lt;&gt;"""",COUNTIF(FILTER(OppMonsUsed, GameResults=""win""), C283), """")"),"")</f>
        <v/>
      </c>
      <c r="F283" s="231" t="str">
        <f t="shared" si="1"/>
        <v/>
      </c>
    </row>
    <row r="284">
      <c r="C284" s="63"/>
      <c r="D284" s="63" t="str">
        <f>IF(C284&lt;&gt;"", CountIF(OppMonsUsed, C284), "")</f>
        <v/>
      </c>
      <c r="E284" s="63" t="str">
        <f>IFERROR(__xludf.DUMMYFUNCTION("IF(C284&lt;&gt;"""",COUNTIF(FILTER(OppMonsUsed, GameResults=""win""), C284), """")"),"")</f>
        <v/>
      </c>
      <c r="F284" s="231" t="str">
        <f t="shared" si="1"/>
        <v/>
      </c>
    </row>
    <row r="285">
      <c r="C285" s="63"/>
      <c r="D285" s="63" t="str">
        <f>IF(C285&lt;&gt;"", CountIF(OppMonsUsed, C285), "")</f>
        <v/>
      </c>
      <c r="E285" s="63" t="str">
        <f>IFERROR(__xludf.DUMMYFUNCTION("IF(C285&lt;&gt;"""",COUNTIF(FILTER(OppMonsUsed, GameResults=""win""), C285), """")"),"")</f>
        <v/>
      </c>
      <c r="F285" s="231" t="str">
        <f t="shared" si="1"/>
        <v/>
      </c>
    </row>
    <row r="286">
      <c r="C286" s="63"/>
      <c r="D286" s="63" t="str">
        <f>IF(C286&lt;&gt;"", CountIF(OppMonsUsed, C286), "")</f>
        <v/>
      </c>
      <c r="E286" s="63" t="str">
        <f>IFERROR(__xludf.DUMMYFUNCTION("IF(C286&lt;&gt;"""",COUNTIF(FILTER(OppMonsUsed, GameResults=""win""), C286), """")"),"")</f>
        <v/>
      </c>
      <c r="F286" s="231" t="str">
        <f t="shared" si="1"/>
        <v/>
      </c>
    </row>
    <row r="287">
      <c r="C287" s="63"/>
      <c r="D287" s="63" t="str">
        <f>IF(C287&lt;&gt;"", CountIF(OppMonsUsed, C287), "")</f>
        <v/>
      </c>
      <c r="E287" s="63" t="str">
        <f>IFERROR(__xludf.DUMMYFUNCTION("IF(C287&lt;&gt;"""",COUNTIF(FILTER(OppMonsUsed, GameResults=""win""), C287), """")"),"")</f>
        <v/>
      </c>
      <c r="F287" s="231" t="str">
        <f t="shared" si="1"/>
        <v/>
      </c>
    </row>
    <row r="288">
      <c r="C288" s="63"/>
      <c r="D288" s="63" t="str">
        <f>IF(C288&lt;&gt;"", CountIF(OppMonsUsed, C288), "")</f>
        <v/>
      </c>
      <c r="E288" s="63" t="str">
        <f>IFERROR(__xludf.DUMMYFUNCTION("IF(C288&lt;&gt;"""",COUNTIF(FILTER(OppMonsUsed, GameResults=""win""), C288), """")"),"")</f>
        <v/>
      </c>
      <c r="F288" s="231" t="str">
        <f t="shared" si="1"/>
        <v/>
      </c>
    </row>
    <row r="289">
      <c r="C289" s="63"/>
      <c r="D289" s="63" t="str">
        <f>IF(C289&lt;&gt;"", CountIF(OppMonsUsed, C289), "")</f>
        <v/>
      </c>
      <c r="E289" s="63" t="str">
        <f>IFERROR(__xludf.DUMMYFUNCTION("IF(C289&lt;&gt;"""",COUNTIF(FILTER(OppMonsUsed, GameResults=""win""), C289), """")"),"")</f>
        <v/>
      </c>
      <c r="F289" s="231" t="str">
        <f t="shared" si="1"/>
        <v/>
      </c>
    </row>
    <row r="290">
      <c r="C290" s="63"/>
      <c r="D290" s="63" t="str">
        <f>IF(C290&lt;&gt;"", CountIF(OppMonsUsed, C290), "")</f>
        <v/>
      </c>
      <c r="E290" s="63" t="str">
        <f>IFERROR(__xludf.DUMMYFUNCTION("IF(C290&lt;&gt;"""",COUNTIF(FILTER(OppMonsUsed, GameResults=""win""), C290), """")"),"")</f>
        <v/>
      </c>
      <c r="F290" s="231" t="str">
        <f t="shared" si="1"/>
        <v/>
      </c>
    </row>
    <row r="291">
      <c r="C291" s="63"/>
      <c r="D291" s="63" t="str">
        <f>IF(C291&lt;&gt;"", CountIF(OppMonsUsed, C291), "")</f>
        <v/>
      </c>
      <c r="E291" s="63" t="str">
        <f>IFERROR(__xludf.DUMMYFUNCTION("IF(C291&lt;&gt;"""",COUNTIF(FILTER(OppMonsUsed, GameResults=""win""), C291), """")"),"")</f>
        <v/>
      </c>
      <c r="F291" s="231" t="str">
        <f t="shared" si="1"/>
        <v/>
      </c>
    </row>
    <row r="292">
      <c r="C292" s="63"/>
      <c r="D292" s="63" t="str">
        <f>IF(C292&lt;&gt;"", CountIF(OppMonsUsed, C292), "")</f>
        <v/>
      </c>
      <c r="E292" s="63" t="str">
        <f>IFERROR(__xludf.DUMMYFUNCTION("IF(C292&lt;&gt;"""",COUNTIF(FILTER(OppMonsUsed, GameResults=""win""), C292), """")"),"")</f>
        <v/>
      </c>
      <c r="F292" s="231" t="str">
        <f t="shared" si="1"/>
        <v/>
      </c>
    </row>
    <row r="293">
      <c r="C293" s="63"/>
      <c r="D293" s="63" t="str">
        <f>IF(C293&lt;&gt;"", CountIF(OppMonsUsed, C293), "")</f>
        <v/>
      </c>
      <c r="E293" s="63" t="str">
        <f>IFERROR(__xludf.DUMMYFUNCTION("IF(C293&lt;&gt;"""",COUNTIF(FILTER(OppMonsUsed, GameResults=""win""), C293), """")"),"")</f>
        <v/>
      </c>
      <c r="F293" s="231" t="str">
        <f t="shared" si="1"/>
        <v/>
      </c>
    </row>
    <row r="294">
      <c r="C294" s="63"/>
      <c r="D294" s="63" t="str">
        <f>IF(C294&lt;&gt;"", CountIF(OppMonsUsed, C294), "")</f>
        <v/>
      </c>
      <c r="E294" s="63" t="str">
        <f>IFERROR(__xludf.DUMMYFUNCTION("IF(C294&lt;&gt;"""",COUNTIF(FILTER(OppMonsUsed, GameResults=""win""), C294), """")"),"")</f>
        <v/>
      </c>
      <c r="F294" s="231" t="str">
        <f t="shared" si="1"/>
        <v/>
      </c>
    </row>
    <row r="295">
      <c r="C295" s="63"/>
      <c r="D295" s="63" t="str">
        <f>IF(C295&lt;&gt;"", CountIF(OppMonsUsed, C295), "")</f>
        <v/>
      </c>
      <c r="E295" s="63" t="str">
        <f>IFERROR(__xludf.DUMMYFUNCTION("IF(C295&lt;&gt;"""",COUNTIF(FILTER(OppMonsUsed, GameResults=""win""), C295), """")"),"")</f>
        <v/>
      </c>
      <c r="F295" s="231" t="str">
        <f t="shared" si="1"/>
        <v/>
      </c>
    </row>
    <row r="296">
      <c r="C296" s="63"/>
      <c r="D296" s="63" t="str">
        <f>IF(C296&lt;&gt;"", CountIF(OppMonsUsed, C296), "")</f>
        <v/>
      </c>
      <c r="E296" s="63" t="str">
        <f>IFERROR(__xludf.DUMMYFUNCTION("IF(C296&lt;&gt;"""",COUNTIF(FILTER(OppMonsUsed, GameResults=""win""), C296), """")"),"")</f>
        <v/>
      </c>
      <c r="F296" s="231" t="str">
        <f t="shared" si="1"/>
        <v/>
      </c>
    </row>
    <row r="297">
      <c r="C297" s="63"/>
      <c r="D297" s="63" t="str">
        <f>IF(C297&lt;&gt;"", CountIF(OppMonsUsed, C297), "")</f>
        <v/>
      </c>
      <c r="E297" s="63" t="str">
        <f>IFERROR(__xludf.DUMMYFUNCTION("IF(C297&lt;&gt;"""",COUNTIF(FILTER(OppMonsUsed, GameResults=""win""), C297), """")"),"")</f>
        <v/>
      </c>
      <c r="F297" s="231" t="str">
        <f t="shared" si="1"/>
        <v/>
      </c>
    </row>
    <row r="298">
      <c r="C298" s="63"/>
      <c r="D298" s="63" t="str">
        <f>IF(C298&lt;&gt;"", CountIF(OppMonsUsed, C298), "")</f>
        <v/>
      </c>
      <c r="E298" s="63" t="str">
        <f>IFERROR(__xludf.DUMMYFUNCTION("IF(C298&lt;&gt;"""",COUNTIF(FILTER(OppMonsUsed, GameResults=""win""), C298), """")"),"")</f>
        <v/>
      </c>
      <c r="F298" s="231" t="str">
        <f t="shared" si="1"/>
        <v/>
      </c>
    </row>
    <row r="299">
      <c r="C299" s="63"/>
      <c r="D299" s="63" t="str">
        <f>IF(C299&lt;&gt;"", CountIF(OppMonsUsed, C299), "")</f>
        <v/>
      </c>
      <c r="E299" s="63" t="str">
        <f>IFERROR(__xludf.DUMMYFUNCTION("IF(C299&lt;&gt;"""",COUNTIF(FILTER(OppMonsUsed, GameResults=""win""), C299), """")"),"")</f>
        <v/>
      </c>
      <c r="F299" s="231" t="str">
        <f t="shared" si="1"/>
        <v/>
      </c>
    </row>
    <row r="300">
      <c r="C300" s="63"/>
      <c r="D300" s="63" t="str">
        <f>IF(C300&lt;&gt;"", CountIF(OppMonsUsed, C300), "")</f>
        <v/>
      </c>
      <c r="E300" s="63" t="str">
        <f>IFERROR(__xludf.DUMMYFUNCTION("IF(C300&lt;&gt;"""",COUNTIF(FILTER(OppMonsUsed, GameResults=""win""), C300), """")"),"")</f>
        <v/>
      </c>
      <c r="F300" s="231" t="str">
        <f t="shared" si="1"/>
        <v/>
      </c>
    </row>
    <row r="301">
      <c r="C301" s="63"/>
      <c r="D301" s="63" t="str">
        <f>IF(C301&lt;&gt;"", CountIF(OppMonsUsed, C301), "")</f>
        <v/>
      </c>
      <c r="E301" s="63" t="str">
        <f>IFERROR(__xludf.DUMMYFUNCTION("IF(C301&lt;&gt;"""",COUNTIF(FILTER(OppMonsUsed, GameResults=""win""), C301), """")"),"")</f>
        <v/>
      </c>
      <c r="F301" s="231" t="str">
        <f t="shared" si="1"/>
        <v/>
      </c>
    </row>
    <row r="302">
      <c r="C302" s="63"/>
      <c r="D302" s="63" t="str">
        <f>IF(C302&lt;&gt;"", CountIF(OppMonsUsed, C302), "")</f>
        <v/>
      </c>
      <c r="E302" s="63" t="str">
        <f>IFERROR(__xludf.DUMMYFUNCTION("IF(C302&lt;&gt;"""",COUNTIF(FILTER(OppMonsUsed, GameResults=""win""), C302), """")"),"")</f>
        <v/>
      </c>
      <c r="F302" s="231" t="str">
        <f t="shared" si="1"/>
        <v/>
      </c>
    </row>
    <row r="303">
      <c r="C303" s="63"/>
      <c r="D303" s="63" t="str">
        <f>IF(C303&lt;&gt;"", CountIF(OppMonsUsed, C303), "")</f>
        <v/>
      </c>
      <c r="E303" s="63" t="str">
        <f>IFERROR(__xludf.DUMMYFUNCTION("IF(C303&lt;&gt;"""",COUNTIF(FILTER(OppMonsUsed, GameResults=""win""), C303), """")"),"")</f>
        <v/>
      </c>
      <c r="F303" s="231" t="str">
        <f t="shared" si="1"/>
        <v/>
      </c>
    </row>
    <row r="304">
      <c r="C304" s="63"/>
      <c r="D304" s="63" t="str">
        <f>IF(C304&lt;&gt;"", CountIF(OppMonsUsed, C304), "")</f>
        <v/>
      </c>
      <c r="E304" s="63" t="str">
        <f>IFERROR(__xludf.DUMMYFUNCTION("IF(C304&lt;&gt;"""",COUNTIF(FILTER(OppMonsUsed, GameResults=""win""), C304), """")"),"")</f>
        <v/>
      </c>
      <c r="F304" s="231" t="str">
        <f t="shared" si="1"/>
        <v/>
      </c>
    </row>
    <row r="305">
      <c r="C305" s="63"/>
      <c r="D305" s="63" t="str">
        <f>IF(C305&lt;&gt;"", CountIF(OppMonsUsed, C305), "")</f>
        <v/>
      </c>
      <c r="E305" s="63" t="str">
        <f>IFERROR(__xludf.DUMMYFUNCTION("IF(C305&lt;&gt;"""",COUNTIF(FILTER(OppMonsUsed, GameResults=""win""), C305), """")"),"")</f>
        <v/>
      </c>
      <c r="F305" s="231" t="str">
        <f t="shared" si="1"/>
        <v/>
      </c>
    </row>
    <row r="306">
      <c r="C306" s="63"/>
      <c r="D306" s="63" t="str">
        <f>IF(C306&lt;&gt;"", CountIF(OppMonsUsed, C306), "")</f>
        <v/>
      </c>
      <c r="E306" s="63" t="str">
        <f>IFERROR(__xludf.DUMMYFUNCTION("IF(C306&lt;&gt;"""",COUNTIF(FILTER(OppMonsUsed, GameResults=""win""), C306), """")"),"")</f>
        <v/>
      </c>
      <c r="F306" s="231" t="str">
        <f t="shared" si="1"/>
        <v/>
      </c>
    </row>
    <row r="307">
      <c r="C307" s="63"/>
      <c r="D307" s="63" t="str">
        <f>IF(C307&lt;&gt;"", CountIF(OppMonsUsed, C307), "")</f>
        <v/>
      </c>
      <c r="E307" s="63" t="str">
        <f>IFERROR(__xludf.DUMMYFUNCTION("IF(C307&lt;&gt;"""",COUNTIF(FILTER(OppMonsUsed, GameResults=""win""), C307), """")"),"")</f>
        <v/>
      </c>
      <c r="F307" s="231" t="str">
        <f t="shared" si="1"/>
        <v/>
      </c>
    </row>
    <row r="308">
      <c r="C308" s="63"/>
      <c r="D308" s="63" t="str">
        <f>IF(C308&lt;&gt;"", CountIF(OppMonsUsed, C308), "")</f>
        <v/>
      </c>
      <c r="E308" s="63" t="str">
        <f>IFERROR(__xludf.DUMMYFUNCTION("IF(C308&lt;&gt;"""",COUNTIF(FILTER(OppMonsUsed, GameResults=""win""), C308), """")"),"")</f>
        <v/>
      </c>
      <c r="F308" s="231" t="str">
        <f t="shared" si="1"/>
        <v/>
      </c>
    </row>
    <row r="309">
      <c r="C309" s="63"/>
      <c r="D309" s="63" t="str">
        <f>IF(C309&lt;&gt;"", CountIF(OppMonsUsed, C309), "")</f>
        <v/>
      </c>
      <c r="E309" s="63" t="str">
        <f>IFERROR(__xludf.DUMMYFUNCTION("IF(C309&lt;&gt;"""",COUNTIF(FILTER(OppMonsUsed, GameResults=""win""), C309), """")"),"")</f>
        <v/>
      </c>
      <c r="F309" s="231" t="str">
        <f t="shared" si="1"/>
        <v/>
      </c>
    </row>
    <row r="310">
      <c r="C310" s="63"/>
      <c r="D310" s="63" t="str">
        <f>IF(C310&lt;&gt;"", CountIF(OppMonsUsed, C310), "")</f>
        <v/>
      </c>
      <c r="E310" s="63" t="str">
        <f>IFERROR(__xludf.DUMMYFUNCTION("IF(C310&lt;&gt;"""",COUNTIF(FILTER(OppMonsUsed, GameResults=""win""), C310), """")"),"")</f>
        <v/>
      </c>
      <c r="F310" s="231" t="str">
        <f t="shared" si="1"/>
        <v/>
      </c>
    </row>
    <row r="311">
      <c r="C311" s="63"/>
      <c r="D311" s="63" t="str">
        <f>IF(C311&lt;&gt;"", CountIF(OppMonsUsed, C311), "")</f>
        <v/>
      </c>
      <c r="E311" s="63" t="str">
        <f>IFERROR(__xludf.DUMMYFUNCTION("IF(C311&lt;&gt;"""",COUNTIF(FILTER(OppMonsUsed, GameResults=""win""), C311), """")"),"")</f>
        <v/>
      </c>
      <c r="F311" s="231" t="str">
        <f t="shared" si="1"/>
        <v/>
      </c>
    </row>
    <row r="312">
      <c r="C312" s="63"/>
      <c r="D312" s="63" t="str">
        <f>IF(C312&lt;&gt;"", CountIF(OppMonsUsed, C312), "")</f>
        <v/>
      </c>
      <c r="E312" s="63" t="str">
        <f>IFERROR(__xludf.DUMMYFUNCTION("IF(C312&lt;&gt;"""",COUNTIF(FILTER(OppMonsUsed, GameResults=""win""), C312), """")"),"")</f>
        <v/>
      </c>
      <c r="F312" s="231" t="str">
        <f t="shared" si="1"/>
        <v/>
      </c>
    </row>
    <row r="313">
      <c r="C313" s="63"/>
      <c r="D313" s="63" t="str">
        <f>IF(C313&lt;&gt;"", CountIF(OppMonsUsed, C313), "")</f>
        <v/>
      </c>
      <c r="E313" s="63" t="str">
        <f>IFERROR(__xludf.DUMMYFUNCTION("IF(C313&lt;&gt;"""",COUNTIF(FILTER(OppMonsUsed, GameResults=""win""), C313), """")"),"")</f>
        <v/>
      </c>
      <c r="F313" s="231" t="str">
        <f t="shared" si="1"/>
        <v/>
      </c>
    </row>
    <row r="314">
      <c r="C314" s="63"/>
      <c r="D314" s="63" t="str">
        <f>IF(C314&lt;&gt;"", CountIF(OppMonsUsed, C314), "")</f>
        <v/>
      </c>
      <c r="E314" s="63" t="str">
        <f>IFERROR(__xludf.DUMMYFUNCTION("IF(C314&lt;&gt;"""",COUNTIF(FILTER(OppMonsUsed, GameResults=""win""), C314), """")"),"")</f>
        <v/>
      </c>
      <c r="F314" s="231" t="str">
        <f t="shared" si="1"/>
        <v/>
      </c>
    </row>
    <row r="315">
      <c r="C315" s="63"/>
      <c r="D315" s="63" t="str">
        <f>IF(C315&lt;&gt;"", CountIF(OppMonsUsed, C315), "")</f>
        <v/>
      </c>
      <c r="E315" s="63" t="str">
        <f>IFERROR(__xludf.DUMMYFUNCTION("IF(C315&lt;&gt;"""",COUNTIF(FILTER(OppMonsUsed, GameResults=""win""), C315), """")"),"")</f>
        <v/>
      </c>
      <c r="F315" s="231" t="str">
        <f t="shared" si="1"/>
        <v/>
      </c>
    </row>
    <row r="316">
      <c r="C316" s="63"/>
      <c r="D316" s="63" t="str">
        <f>IF(C316&lt;&gt;"", CountIF(OppMonsUsed, C316), "")</f>
        <v/>
      </c>
      <c r="E316" s="63" t="str">
        <f>IFERROR(__xludf.DUMMYFUNCTION("IF(C316&lt;&gt;"""",COUNTIF(FILTER(OppMonsUsed, GameResults=""win""), C316), """")"),"")</f>
        <v/>
      </c>
      <c r="F316" s="231" t="str">
        <f t="shared" si="1"/>
        <v/>
      </c>
    </row>
    <row r="317">
      <c r="C317" s="63"/>
      <c r="D317" s="63" t="str">
        <f>IF(C317&lt;&gt;"", CountIF(OppMonsUsed, C317), "")</f>
        <v/>
      </c>
      <c r="E317" s="63" t="str">
        <f>IFERROR(__xludf.DUMMYFUNCTION("IF(C317&lt;&gt;"""",COUNTIF(FILTER(OppMonsUsed, GameResults=""win""), C317), """")"),"")</f>
        <v/>
      </c>
      <c r="F317" s="231" t="str">
        <f t="shared" si="1"/>
        <v/>
      </c>
    </row>
    <row r="318">
      <c r="C318" s="63"/>
      <c r="D318" s="63" t="str">
        <f>IF(C318&lt;&gt;"", CountIF(OppMonsUsed, C318), "")</f>
        <v/>
      </c>
      <c r="E318" s="63" t="str">
        <f>IFERROR(__xludf.DUMMYFUNCTION("IF(C318&lt;&gt;"""",COUNTIF(FILTER(OppMonsUsed, GameResults=""win""), C318), """")"),"")</f>
        <v/>
      </c>
      <c r="F318" s="231" t="str">
        <f t="shared" si="1"/>
        <v/>
      </c>
    </row>
    <row r="319">
      <c r="C319" s="63"/>
      <c r="D319" s="63" t="str">
        <f>IF(C319&lt;&gt;"", CountIF(OppMonsUsed, C319), "")</f>
        <v/>
      </c>
      <c r="E319" s="63" t="str">
        <f>IFERROR(__xludf.DUMMYFUNCTION("IF(C319&lt;&gt;"""",COUNTIF(FILTER(OppMonsUsed, GameResults=""win""), C319), """")"),"")</f>
        <v/>
      </c>
      <c r="F319" s="231" t="str">
        <f t="shared" si="1"/>
        <v/>
      </c>
    </row>
    <row r="320">
      <c r="C320" s="63"/>
      <c r="D320" s="63" t="str">
        <f>IF(C320&lt;&gt;"", CountIF(OppMonsUsed, C320), "")</f>
        <v/>
      </c>
      <c r="E320" s="63" t="str">
        <f>IFERROR(__xludf.DUMMYFUNCTION("IF(C320&lt;&gt;"""",COUNTIF(FILTER(OppMonsUsed, GameResults=""win""), C320), """")"),"")</f>
        <v/>
      </c>
      <c r="F320" s="231" t="str">
        <f t="shared" si="1"/>
        <v/>
      </c>
    </row>
    <row r="321">
      <c r="C321" s="63"/>
      <c r="D321" s="63" t="str">
        <f>IF(C321&lt;&gt;"", CountIF(OppMonsUsed, C321), "")</f>
        <v/>
      </c>
      <c r="E321" s="63" t="str">
        <f>IFERROR(__xludf.DUMMYFUNCTION("IF(C321&lt;&gt;"""",COUNTIF(FILTER(OppMonsUsed, GameResults=""win""), C321), """")"),"")</f>
        <v/>
      </c>
      <c r="F321" s="231" t="str">
        <f t="shared" si="1"/>
        <v/>
      </c>
    </row>
    <row r="322">
      <c r="C322" s="63"/>
      <c r="D322" s="63" t="str">
        <f>IF(C322&lt;&gt;"", CountIF(OppMonsUsed, C322), "")</f>
        <v/>
      </c>
      <c r="E322" s="63" t="str">
        <f>IFERROR(__xludf.DUMMYFUNCTION("IF(C322&lt;&gt;"""",COUNTIF(FILTER(OppMonsUsed, GameResults=""win""), C322), """")"),"")</f>
        <v/>
      </c>
      <c r="F322" s="231" t="str">
        <f t="shared" si="1"/>
        <v/>
      </c>
    </row>
    <row r="323">
      <c r="C323" s="63"/>
      <c r="D323" s="63" t="str">
        <f>IF(C323&lt;&gt;"", CountIF(OppMonsUsed, C323), "")</f>
        <v/>
      </c>
      <c r="E323" s="63" t="str">
        <f>IFERROR(__xludf.DUMMYFUNCTION("IF(C323&lt;&gt;"""",COUNTIF(FILTER(OppMonsUsed, GameResults=""win""), C323), """")"),"")</f>
        <v/>
      </c>
      <c r="F323" s="231" t="str">
        <f t="shared" si="1"/>
        <v/>
      </c>
    </row>
    <row r="324">
      <c r="C324" s="63"/>
      <c r="D324" s="63" t="str">
        <f>IF(C324&lt;&gt;"", CountIF(OppMonsUsed, C324), "")</f>
        <v/>
      </c>
      <c r="E324" s="63" t="str">
        <f>IFERROR(__xludf.DUMMYFUNCTION("IF(C324&lt;&gt;"""",COUNTIF(FILTER(OppMonsUsed, GameResults=""win""), C324), """")"),"")</f>
        <v/>
      </c>
      <c r="F324" s="231" t="str">
        <f t="shared" si="1"/>
        <v/>
      </c>
    </row>
    <row r="325">
      <c r="C325" s="63"/>
      <c r="D325" s="63" t="str">
        <f>IF(C325&lt;&gt;"", CountIF(OppMonsUsed, C325), "")</f>
        <v/>
      </c>
      <c r="E325" s="63" t="str">
        <f>IFERROR(__xludf.DUMMYFUNCTION("IF(C325&lt;&gt;"""",COUNTIF(FILTER(OppMonsUsed, GameResults=""win""), C325), """")"),"")</f>
        <v/>
      </c>
      <c r="F325" s="231" t="str">
        <f t="shared" si="1"/>
        <v/>
      </c>
    </row>
    <row r="326">
      <c r="C326" s="63"/>
      <c r="D326" s="63" t="str">
        <f>IF(C326&lt;&gt;"", CountIF(OppMonsUsed, C326), "")</f>
        <v/>
      </c>
      <c r="E326" s="63" t="str">
        <f>IFERROR(__xludf.DUMMYFUNCTION("IF(C326&lt;&gt;"""",COUNTIF(FILTER(OppMonsUsed, GameResults=""win""), C326), """")"),"")</f>
        <v/>
      </c>
      <c r="F326" s="231" t="str">
        <f t="shared" si="1"/>
        <v/>
      </c>
    </row>
    <row r="327">
      <c r="C327" s="63"/>
      <c r="D327" s="63" t="str">
        <f>IF(C327&lt;&gt;"", CountIF(OppMonsUsed, C327), "")</f>
        <v/>
      </c>
      <c r="E327" s="63" t="str">
        <f>IFERROR(__xludf.DUMMYFUNCTION("IF(C327&lt;&gt;"""",COUNTIF(FILTER(OppMonsUsed, GameResults=""win""), C327), """")"),"")</f>
        <v/>
      </c>
      <c r="F327" s="231" t="str">
        <f t="shared" si="1"/>
        <v/>
      </c>
    </row>
    <row r="328">
      <c r="C328" s="63"/>
      <c r="D328" s="63" t="str">
        <f>IF(C328&lt;&gt;"", CountIF(OppMonsUsed, C328), "")</f>
        <v/>
      </c>
      <c r="E328" s="63" t="str">
        <f>IFERROR(__xludf.DUMMYFUNCTION("IF(C328&lt;&gt;"""",COUNTIF(FILTER(OppMonsUsed, GameResults=""win""), C328), """")"),"")</f>
        <v/>
      </c>
      <c r="F328" s="231" t="str">
        <f t="shared" si="1"/>
        <v/>
      </c>
    </row>
    <row r="329">
      <c r="C329" s="63"/>
      <c r="D329" s="63" t="str">
        <f>IF(C329&lt;&gt;"", CountIF(OppMonsUsed, C329), "")</f>
        <v/>
      </c>
      <c r="E329" s="63" t="str">
        <f>IFERROR(__xludf.DUMMYFUNCTION("IF(C329&lt;&gt;"""",COUNTIF(FILTER(OppMonsUsed, GameResults=""win""), C329), """")"),"")</f>
        <v/>
      </c>
      <c r="F329" s="231" t="str">
        <f t="shared" si="1"/>
        <v/>
      </c>
    </row>
    <row r="330">
      <c r="C330" s="63"/>
      <c r="D330" s="63" t="str">
        <f>IF(C330&lt;&gt;"", CountIF(OppMonsUsed, C330), "")</f>
        <v/>
      </c>
      <c r="E330" s="63" t="str">
        <f>IFERROR(__xludf.DUMMYFUNCTION("IF(C330&lt;&gt;"""",COUNTIF(FILTER(OppMonsUsed, GameResults=""win""), C330), """")"),"")</f>
        <v/>
      </c>
      <c r="F330" s="231" t="str">
        <f t="shared" si="1"/>
        <v/>
      </c>
    </row>
    <row r="331">
      <c r="C331" s="63"/>
      <c r="D331" s="63" t="str">
        <f>IF(C331&lt;&gt;"", CountIF(OppMonsUsed, C331), "")</f>
        <v/>
      </c>
      <c r="E331" s="63" t="str">
        <f>IFERROR(__xludf.DUMMYFUNCTION("IF(C331&lt;&gt;"""",COUNTIF(FILTER(OppMonsUsed, GameResults=""win""), C331), """")"),"")</f>
        <v/>
      </c>
      <c r="F331" s="231" t="str">
        <f t="shared" si="1"/>
        <v/>
      </c>
    </row>
    <row r="332">
      <c r="C332" s="63"/>
      <c r="D332" s="63" t="str">
        <f>IF(C332&lt;&gt;"", CountIF(OppMonsUsed, C332), "")</f>
        <v/>
      </c>
      <c r="E332" s="63" t="str">
        <f>IFERROR(__xludf.DUMMYFUNCTION("IF(C332&lt;&gt;"""",COUNTIF(FILTER(OppMonsUsed, GameResults=""win""), C332), """")"),"")</f>
        <v/>
      </c>
      <c r="F332" s="231" t="str">
        <f t="shared" si="1"/>
        <v/>
      </c>
    </row>
    <row r="333">
      <c r="C333" s="63"/>
      <c r="D333" s="63" t="str">
        <f>IF(C333&lt;&gt;"", CountIF(OppMonsUsed, C333), "")</f>
        <v/>
      </c>
      <c r="E333" s="63" t="str">
        <f>IFERROR(__xludf.DUMMYFUNCTION("IF(C333&lt;&gt;"""",COUNTIF(FILTER(OppMonsUsed, GameResults=""win""), C333), """")"),"")</f>
        <v/>
      </c>
      <c r="F333" s="231" t="str">
        <f t="shared" si="1"/>
        <v/>
      </c>
    </row>
    <row r="334">
      <c r="C334" s="63"/>
      <c r="D334" s="63" t="str">
        <f>IF(C334&lt;&gt;"", CountIF(OppMonsUsed, C334), "")</f>
        <v/>
      </c>
      <c r="E334" s="63" t="str">
        <f>IFERROR(__xludf.DUMMYFUNCTION("IF(C334&lt;&gt;"""",COUNTIF(FILTER(OppMonsUsed, GameResults=""win""), C334), """")"),"")</f>
        <v/>
      </c>
      <c r="F334" s="231" t="str">
        <f t="shared" si="1"/>
        <v/>
      </c>
    </row>
    <row r="335">
      <c r="C335" s="63"/>
      <c r="D335" s="63" t="str">
        <f>IF(C335&lt;&gt;"", CountIF(OppMonsUsed, C335), "")</f>
        <v/>
      </c>
      <c r="E335" s="63" t="str">
        <f>IFERROR(__xludf.DUMMYFUNCTION("IF(C335&lt;&gt;"""",COUNTIF(FILTER(OppMonsUsed, GameResults=""win""), C335), """")"),"")</f>
        <v/>
      </c>
      <c r="F335" s="231" t="str">
        <f t="shared" si="1"/>
        <v/>
      </c>
    </row>
    <row r="336">
      <c r="C336" s="63"/>
      <c r="D336" s="63" t="str">
        <f>IF(C336&lt;&gt;"", CountIF(OppMonsUsed, C336), "")</f>
        <v/>
      </c>
      <c r="E336" s="63" t="str">
        <f>IFERROR(__xludf.DUMMYFUNCTION("IF(C336&lt;&gt;"""",COUNTIF(FILTER(OppMonsUsed, GameResults=""win""), C336), """")"),"")</f>
        <v/>
      </c>
      <c r="F336" s="231" t="str">
        <f t="shared" si="1"/>
        <v/>
      </c>
    </row>
    <row r="337">
      <c r="C337" s="63"/>
      <c r="D337" s="63" t="str">
        <f>IF(C337&lt;&gt;"", CountIF(OppMonsUsed, C337), "")</f>
        <v/>
      </c>
      <c r="E337" s="63" t="str">
        <f>IFERROR(__xludf.DUMMYFUNCTION("IF(C337&lt;&gt;"""",COUNTIF(FILTER(OppMonsUsed, GameResults=""win""), C337), """")"),"")</f>
        <v/>
      </c>
      <c r="F337" s="231" t="str">
        <f t="shared" si="1"/>
        <v/>
      </c>
    </row>
    <row r="338">
      <c r="C338" s="63"/>
      <c r="D338" s="63" t="str">
        <f>IF(C338&lt;&gt;"", CountIF(OppMonsUsed, C338), "")</f>
        <v/>
      </c>
      <c r="E338" s="63" t="str">
        <f>IFERROR(__xludf.DUMMYFUNCTION("IF(C338&lt;&gt;"""",COUNTIF(FILTER(OppMonsUsed, GameResults=""win""), C338), """")"),"")</f>
        <v/>
      </c>
      <c r="F338" s="231" t="str">
        <f t="shared" si="1"/>
        <v/>
      </c>
    </row>
    <row r="339">
      <c r="C339" s="63"/>
      <c r="D339" s="63" t="str">
        <f>IF(C339&lt;&gt;"", CountIF(OppMonsUsed, C339), "")</f>
        <v/>
      </c>
      <c r="E339" s="63" t="str">
        <f>IFERROR(__xludf.DUMMYFUNCTION("IF(C339&lt;&gt;"""",COUNTIF(FILTER(OppMonsUsed, GameResults=""win""), C339), """")"),"")</f>
        <v/>
      </c>
      <c r="F339" s="231" t="str">
        <f t="shared" si="1"/>
        <v/>
      </c>
    </row>
    <row r="340">
      <c r="C340" s="63"/>
      <c r="D340" s="63" t="str">
        <f>IF(C340&lt;&gt;"", CountIF(OppMonsUsed, C340), "")</f>
        <v/>
      </c>
      <c r="E340" s="63" t="str">
        <f>IFERROR(__xludf.DUMMYFUNCTION("IF(C340&lt;&gt;"""",COUNTIF(FILTER(OppMonsUsed, GameResults=""win""), C340), """")"),"")</f>
        <v/>
      </c>
      <c r="F340" s="231" t="str">
        <f t="shared" si="1"/>
        <v/>
      </c>
    </row>
    <row r="341">
      <c r="C341" s="63"/>
      <c r="D341" s="63" t="str">
        <f>IF(C341&lt;&gt;"", CountIF(OppMonsUsed, C341), "")</f>
        <v/>
      </c>
      <c r="E341" s="63" t="str">
        <f>IFERROR(__xludf.DUMMYFUNCTION("IF(C341&lt;&gt;"""",COUNTIF(FILTER(OppMonsUsed, GameResults=""win""), C341), """")"),"")</f>
        <v/>
      </c>
      <c r="F341" s="231" t="str">
        <f t="shared" si="1"/>
        <v/>
      </c>
    </row>
    <row r="342">
      <c r="C342" s="63"/>
      <c r="D342" s="63" t="str">
        <f>IF(C342&lt;&gt;"", CountIF(OppMonsUsed, C342), "")</f>
        <v/>
      </c>
      <c r="E342" s="63" t="str">
        <f>IFERROR(__xludf.DUMMYFUNCTION("IF(C342&lt;&gt;"""",COUNTIF(FILTER(OppMonsUsed, GameResults=""win""), C342), """")"),"")</f>
        <v/>
      </c>
      <c r="F342" s="231" t="str">
        <f t="shared" si="1"/>
        <v/>
      </c>
    </row>
    <row r="343">
      <c r="C343" s="63"/>
      <c r="D343" s="63" t="str">
        <f>IF(C343&lt;&gt;"", CountIF(OppMonsUsed, C343), "")</f>
        <v/>
      </c>
      <c r="E343" s="63" t="str">
        <f>IFERROR(__xludf.DUMMYFUNCTION("IF(C343&lt;&gt;"""",COUNTIF(FILTER(OppMonsUsed, GameResults=""win""), C343), """")"),"")</f>
        <v/>
      </c>
      <c r="F343" s="231" t="str">
        <f t="shared" si="1"/>
        <v/>
      </c>
    </row>
    <row r="344">
      <c r="C344" s="63"/>
      <c r="D344" s="63" t="str">
        <f>IF(C344&lt;&gt;"", CountIF(OppMonsUsed, C344), "")</f>
        <v/>
      </c>
      <c r="E344" s="63" t="str">
        <f>IFERROR(__xludf.DUMMYFUNCTION("IF(C344&lt;&gt;"""",COUNTIF(FILTER(OppMonsUsed, GameResults=""win""), C344), """")"),"")</f>
        <v/>
      </c>
      <c r="F344" s="231" t="str">
        <f t="shared" si="1"/>
        <v/>
      </c>
    </row>
    <row r="345">
      <c r="C345" s="63"/>
      <c r="D345" s="63" t="str">
        <f>IF(C345&lt;&gt;"", CountIF(OppMonsUsed, C345), "")</f>
        <v/>
      </c>
      <c r="E345" s="63" t="str">
        <f>IFERROR(__xludf.DUMMYFUNCTION("IF(C345&lt;&gt;"""",COUNTIF(FILTER(OppMonsUsed, GameResults=""win""), C345), """")"),"")</f>
        <v/>
      </c>
      <c r="F345" s="231" t="str">
        <f t="shared" si="1"/>
        <v/>
      </c>
    </row>
    <row r="346">
      <c r="C346" s="63"/>
      <c r="D346" s="63" t="str">
        <f>IF(C346&lt;&gt;"", CountIF(OppMonsUsed, C346), "")</f>
        <v/>
      </c>
      <c r="E346" s="63" t="str">
        <f>IFERROR(__xludf.DUMMYFUNCTION("IF(C346&lt;&gt;"""",COUNTIF(FILTER(OppMonsUsed, GameResults=""win""), C346), """")"),"")</f>
        <v/>
      </c>
      <c r="F346" s="231" t="str">
        <f t="shared" si="1"/>
        <v/>
      </c>
    </row>
    <row r="347">
      <c r="C347" s="63"/>
      <c r="D347" s="63" t="str">
        <f>IF(C347&lt;&gt;"", CountIF(OppMonsUsed, C347), "")</f>
        <v/>
      </c>
      <c r="E347" s="63" t="str">
        <f>IFERROR(__xludf.DUMMYFUNCTION("IF(C347&lt;&gt;"""",COUNTIF(FILTER(OppMonsUsed, GameResults=""win""), C347), """")"),"")</f>
        <v/>
      </c>
      <c r="F347" s="231" t="str">
        <f t="shared" si="1"/>
        <v/>
      </c>
    </row>
    <row r="348">
      <c r="C348" s="63"/>
      <c r="D348" s="63" t="str">
        <f>IF(C348&lt;&gt;"", CountIF(OppMonsUsed, C348), "")</f>
        <v/>
      </c>
      <c r="E348" s="63" t="str">
        <f>IFERROR(__xludf.DUMMYFUNCTION("IF(C348&lt;&gt;"""",COUNTIF(FILTER(OppMonsUsed, GameResults=""win""), C348), """")"),"")</f>
        <v/>
      </c>
      <c r="F348" s="231" t="str">
        <f t="shared" si="1"/>
        <v/>
      </c>
    </row>
    <row r="349">
      <c r="C349" s="63"/>
      <c r="D349" s="63" t="str">
        <f>IF(C349&lt;&gt;"", CountIF(OppMonsUsed, C349), "")</f>
        <v/>
      </c>
      <c r="E349" s="63" t="str">
        <f>IFERROR(__xludf.DUMMYFUNCTION("IF(C349&lt;&gt;"""",COUNTIF(FILTER(OppMonsUsed, GameResults=""win""), C349), """")"),"")</f>
        <v/>
      </c>
      <c r="F349" s="231" t="str">
        <f t="shared" si="1"/>
        <v/>
      </c>
    </row>
    <row r="350">
      <c r="C350" s="63"/>
      <c r="D350" s="63" t="str">
        <f>IF(C350&lt;&gt;"", CountIF(OppMonsUsed, C350), "")</f>
        <v/>
      </c>
      <c r="E350" s="63" t="str">
        <f>IFERROR(__xludf.DUMMYFUNCTION("IF(C350&lt;&gt;"""",COUNTIF(FILTER(OppMonsUsed, GameResults=""win""), C350), """")"),"")</f>
        <v/>
      </c>
      <c r="F350" s="231" t="str">
        <f t="shared" si="1"/>
        <v/>
      </c>
    </row>
    <row r="351">
      <c r="C351" s="63"/>
      <c r="D351" s="63" t="str">
        <f>IF(C351&lt;&gt;"", CountIF(OppMonsUsed, C351), "")</f>
        <v/>
      </c>
      <c r="E351" s="63" t="str">
        <f>IFERROR(__xludf.DUMMYFUNCTION("IF(C351&lt;&gt;"""",COUNTIF(FILTER(OppMonsUsed, GameResults=""win""), C351), """")"),"")</f>
        <v/>
      </c>
      <c r="F351" s="231" t="str">
        <f t="shared" si="1"/>
        <v/>
      </c>
    </row>
    <row r="352">
      <c r="C352" s="63"/>
      <c r="D352" s="63" t="str">
        <f>IF(C352&lt;&gt;"", CountIF(OppMonsUsed, C352), "")</f>
        <v/>
      </c>
      <c r="E352" s="63" t="str">
        <f>IFERROR(__xludf.DUMMYFUNCTION("IF(C352&lt;&gt;"""",COUNTIF(FILTER(OppMonsUsed, GameResults=""win""), C352), """")"),"")</f>
        <v/>
      </c>
      <c r="F352" s="231" t="str">
        <f t="shared" si="1"/>
        <v/>
      </c>
    </row>
    <row r="353">
      <c r="C353" s="63"/>
      <c r="D353" s="63" t="str">
        <f>IF(C353&lt;&gt;"", CountIF(OppMonsUsed, C353), "")</f>
        <v/>
      </c>
      <c r="E353" s="63" t="str">
        <f>IFERROR(__xludf.DUMMYFUNCTION("IF(C353&lt;&gt;"""",COUNTIF(FILTER(OppMonsUsed, GameResults=""win""), C353), """")"),"")</f>
        <v/>
      </c>
      <c r="F353" s="231" t="str">
        <f t="shared" si="1"/>
        <v/>
      </c>
    </row>
    <row r="354">
      <c r="C354" s="63"/>
      <c r="D354" s="63" t="str">
        <f>IF(C354&lt;&gt;"", CountIF(OppMonsUsed, C354), "")</f>
        <v/>
      </c>
      <c r="E354" s="63" t="str">
        <f>IFERROR(__xludf.DUMMYFUNCTION("IF(C354&lt;&gt;"""",COUNTIF(FILTER(OppMonsUsed, GameResults=""win""), C354), """")"),"")</f>
        <v/>
      </c>
      <c r="F354" s="231" t="str">
        <f t="shared" si="1"/>
        <v/>
      </c>
    </row>
    <row r="355">
      <c r="C355" s="63"/>
      <c r="D355" s="63" t="str">
        <f>IF(C355&lt;&gt;"", CountIF(OppMonsUsed, C355), "")</f>
        <v/>
      </c>
      <c r="E355" s="63" t="str">
        <f>IFERROR(__xludf.DUMMYFUNCTION("IF(C355&lt;&gt;"""",COUNTIF(FILTER(OppMonsUsed, GameResults=""win""), C355), """")"),"")</f>
        <v/>
      </c>
      <c r="F355" s="231" t="str">
        <f t="shared" si="1"/>
        <v/>
      </c>
    </row>
    <row r="356">
      <c r="C356" s="63"/>
      <c r="D356" s="63" t="str">
        <f>IF(C356&lt;&gt;"", CountIF(OppMonsUsed, C356), "")</f>
        <v/>
      </c>
      <c r="E356" s="63" t="str">
        <f>IFERROR(__xludf.DUMMYFUNCTION("IF(C356&lt;&gt;"""",COUNTIF(FILTER(OppMonsUsed, GameResults=""win""), C356), """")"),"")</f>
        <v/>
      </c>
      <c r="F356" s="231" t="str">
        <f t="shared" si="1"/>
        <v/>
      </c>
    </row>
    <row r="357">
      <c r="C357" s="63"/>
      <c r="D357" s="63" t="str">
        <f>IF(C357&lt;&gt;"", CountIF(OppMonsUsed, C357), "")</f>
        <v/>
      </c>
      <c r="E357" s="63" t="str">
        <f>IFERROR(__xludf.DUMMYFUNCTION("IF(C357&lt;&gt;"""",COUNTIF(FILTER(OppMonsUsed, GameResults=""win""), C357), """")"),"")</f>
        <v/>
      </c>
      <c r="F357" s="231" t="str">
        <f t="shared" si="1"/>
        <v/>
      </c>
    </row>
    <row r="358">
      <c r="C358" s="63"/>
      <c r="D358" s="63" t="str">
        <f>IF(C358&lt;&gt;"", CountIF(OppMonsUsed, C358), "")</f>
        <v/>
      </c>
      <c r="E358" s="63" t="str">
        <f>IFERROR(__xludf.DUMMYFUNCTION("IF(C358&lt;&gt;"""",COUNTIF(FILTER(OppMonsUsed, GameResults=""win""), C358), """")"),"")</f>
        <v/>
      </c>
      <c r="F358" s="231" t="str">
        <f t="shared" si="1"/>
        <v/>
      </c>
    </row>
    <row r="359">
      <c r="C359" s="63"/>
      <c r="D359" s="63" t="str">
        <f>IF(C359&lt;&gt;"", CountIF(OppMonsUsed, C359), "")</f>
        <v/>
      </c>
      <c r="E359" s="63" t="str">
        <f>IFERROR(__xludf.DUMMYFUNCTION("IF(C359&lt;&gt;"""",COUNTIF(FILTER(OppMonsUsed, GameResults=""win""), C359), """")"),"")</f>
        <v/>
      </c>
      <c r="F359" s="231" t="str">
        <f t="shared" si="1"/>
        <v/>
      </c>
    </row>
    <row r="360">
      <c r="C360" s="63"/>
      <c r="D360" s="63" t="str">
        <f>IF(C360&lt;&gt;"", CountIF(OppMonsUsed, C360), "")</f>
        <v/>
      </c>
      <c r="E360" s="63" t="str">
        <f>IFERROR(__xludf.DUMMYFUNCTION("IF(C360&lt;&gt;"""",COUNTIF(FILTER(OppMonsUsed, GameResults=""win""), C360), """")"),"")</f>
        <v/>
      </c>
      <c r="F360" s="231" t="str">
        <f t="shared" si="1"/>
        <v/>
      </c>
    </row>
    <row r="361">
      <c r="C361" s="63"/>
      <c r="D361" s="63" t="str">
        <f>IF(C361&lt;&gt;"", CountIF(OppMonsUsed, C361), "")</f>
        <v/>
      </c>
      <c r="E361" s="63" t="str">
        <f>IFERROR(__xludf.DUMMYFUNCTION("IF(C361&lt;&gt;"""",COUNTIF(FILTER(OppMonsUsed, GameResults=""win""), C361), """")"),"")</f>
        <v/>
      </c>
      <c r="F361" s="231" t="str">
        <f t="shared" si="1"/>
        <v/>
      </c>
    </row>
    <row r="362">
      <c r="C362" s="63"/>
      <c r="D362" s="63" t="str">
        <f>IF(C362&lt;&gt;"", CountIF(OppMonsUsed, C362), "")</f>
        <v/>
      </c>
      <c r="E362" s="63" t="str">
        <f>IFERROR(__xludf.DUMMYFUNCTION("IF(C362&lt;&gt;"""",COUNTIF(FILTER(OppMonsUsed, GameResults=""win""), C362), """")"),"")</f>
        <v/>
      </c>
      <c r="F362" s="231" t="str">
        <f t="shared" si="1"/>
        <v/>
      </c>
    </row>
    <row r="363">
      <c r="C363" s="63"/>
      <c r="D363" s="63" t="str">
        <f>IF(C363&lt;&gt;"", CountIF(OppMonsUsed, C363), "")</f>
        <v/>
      </c>
      <c r="E363" s="63" t="str">
        <f>IFERROR(__xludf.DUMMYFUNCTION("IF(C363&lt;&gt;"""",COUNTIF(FILTER(OppMonsUsed, GameResults=""win""), C363), """")"),"")</f>
        <v/>
      </c>
      <c r="F363" s="231" t="str">
        <f t="shared" si="1"/>
        <v/>
      </c>
    </row>
    <row r="364">
      <c r="C364" s="63"/>
      <c r="D364" s="63" t="str">
        <f>IF(C364&lt;&gt;"", CountIF(OppMonsUsed, C364), "")</f>
        <v/>
      </c>
      <c r="E364" s="63" t="str">
        <f>IFERROR(__xludf.DUMMYFUNCTION("IF(C364&lt;&gt;"""",COUNTIF(FILTER(OppMonsUsed, GameResults=""win""), C364), """")"),"")</f>
        <v/>
      </c>
      <c r="F364" s="231" t="str">
        <f t="shared" si="1"/>
        <v/>
      </c>
    </row>
    <row r="365">
      <c r="C365" s="63"/>
      <c r="D365" s="63" t="str">
        <f>IF(C365&lt;&gt;"", CountIF(OppMonsUsed, C365), "")</f>
        <v/>
      </c>
      <c r="E365" s="63" t="str">
        <f>IFERROR(__xludf.DUMMYFUNCTION("IF(C365&lt;&gt;"""",COUNTIF(FILTER(OppMonsUsed, GameResults=""win""), C365), """")"),"")</f>
        <v/>
      </c>
      <c r="F365" s="231" t="str">
        <f t="shared" si="1"/>
        <v/>
      </c>
    </row>
    <row r="366">
      <c r="C366" s="63"/>
      <c r="D366" s="63" t="str">
        <f>IF(C366&lt;&gt;"", CountIF(OppMonsUsed, C366), "")</f>
        <v/>
      </c>
      <c r="E366" s="63" t="str">
        <f>IFERROR(__xludf.DUMMYFUNCTION("IF(C366&lt;&gt;"""",COUNTIF(FILTER(OppMonsUsed, GameResults=""win""), C366), """")"),"")</f>
        <v/>
      </c>
      <c r="F366" s="231" t="str">
        <f t="shared" si="1"/>
        <v/>
      </c>
    </row>
    <row r="367">
      <c r="C367" s="63"/>
      <c r="D367" s="63" t="str">
        <f>IF(C367&lt;&gt;"", CountIF(OppMonsUsed, C367), "")</f>
        <v/>
      </c>
      <c r="E367" s="63" t="str">
        <f>IFERROR(__xludf.DUMMYFUNCTION("IF(C367&lt;&gt;"""",COUNTIF(FILTER(OppMonsUsed, GameResults=""win""), C367), """")"),"")</f>
        <v/>
      </c>
      <c r="F367" s="231" t="str">
        <f t="shared" si="1"/>
        <v/>
      </c>
    </row>
    <row r="368">
      <c r="C368" s="63"/>
      <c r="D368" s="63" t="str">
        <f>IF(C368&lt;&gt;"", CountIF(OppMonsUsed, C368), "")</f>
        <v/>
      </c>
      <c r="E368" s="63" t="str">
        <f>IFERROR(__xludf.DUMMYFUNCTION("IF(C368&lt;&gt;"""",COUNTIF(FILTER(OppMonsUsed, GameResults=""win""), C368), """")"),"")</f>
        <v/>
      </c>
      <c r="F368" s="231" t="str">
        <f t="shared" si="1"/>
        <v/>
      </c>
    </row>
    <row r="369">
      <c r="C369" s="63"/>
      <c r="D369" s="63" t="str">
        <f>IF(C369&lt;&gt;"", CountIF(OppMonsUsed, C369), "")</f>
        <v/>
      </c>
      <c r="E369" s="63" t="str">
        <f>IFERROR(__xludf.DUMMYFUNCTION("IF(C369&lt;&gt;"""",COUNTIF(FILTER(OppMonsUsed, GameResults=""win""), C369), """")"),"")</f>
        <v/>
      </c>
      <c r="F369" s="231" t="str">
        <f t="shared" si="1"/>
        <v/>
      </c>
    </row>
    <row r="370">
      <c r="C370" s="63"/>
      <c r="D370" s="63" t="str">
        <f>IF(C370&lt;&gt;"", CountIF(OppMonsUsed, C370), "")</f>
        <v/>
      </c>
      <c r="E370" s="63" t="str">
        <f>IFERROR(__xludf.DUMMYFUNCTION("IF(C370&lt;&gt;"""",COUNTIF(FILTER(OppMonsUsed, GameResults=""win""), C370), """")"),"")</f>
        <v/>
      </c>
      <c r="F370" s="231" t="str">
        <f t="shared" si="1"/>
        <v/>
      </c>
    </row>
    <row r="371">
      <c r="C371" s="63"/>
      <c r="D371" s="63" t="str">
        <f>IF(C371&lt;&gt;"", CountIF(OppMonsUsed, C371), "")</f>
        <v/>
      </c>
      <c r="E371" s="63" t="str">
        <f>IFERROR(__xludf.DUMMYFUNCTION("IF(C371&lt;&gt;"""",COUNTIF(FILTER(OppMonsUsed, GameResults=""win""), C371), """")"),"")</f>
        <v/>
      </c>
      <c r="F371" s="231" t="str">
        <f t="shared" si="1"/>
        <v/>
      </c>
    </row>
    <row r="372">
      <c r="C372" s="63"/>
      <c r="D372" s="63" t="str">
        <f>IF(C372&lt;&gt;"", CountIF(OppMonsUsed, C372), "")</f>
        <v/>
      </c>
      <c r="E372" s="63" t="str">
        <f>IFERROR(__xludf.DUMMYFUNCTION("IF(C372&lt;&gt;"""",COUNTIF(FILTER(OppMonsUsed, GameResults=""win""), C372), """")"),"")</f>
        <v/>
      </c>
      <c r="F372" s="231" t="str">
        <f t="shared" si="1"/>
        <v/>
      </c>
    </row>
    <row r="373">
      <c r="C373" s="63"/>
      <c r="D373" s="63" t="str">
        <f>IF(C373&lt;&gt;"", CountIF(OppMonsUsed, C373), "")</f>
        <v/>
      </c>
      <c r="E373" s="63" t="str">
        <f>IFERROR(__xludf.DUMMYFUNCTION("IF(C373&lt;&gt;"""",COUNTIF(FILTER(OppMonsUsed, GameResults=""win""), C373), """")"),"")</f>
        <v/>
      </c>
      <c r="F373" s="231" t="str">
        <f t="shared" si="1"/>
        <v/>
      </c>
    </row>
    <row r="374">
      <c r="C374" s="63"/>
      <c r="D374" s="63" t="str">
        <f>IF(C374&lt;&gt;"", CountIF(OppMonsUsed, C374), "")</f>
        <v/>
      </c>
      <c r="E374" s="63" t="str">
        <f>IFERROR(__xludf.DUMMYFUNCTION("IF(C374&lt;&gt;"""",COUNTIF(FILTER(OppMonsUsed, GameResults=""win""), C374), """")"),"")</f>
        <v/>
      </c>
      <c r="F374" s="231" t="str">
        <f t="shared" si="1"/>
        <v/>
      </c>
    </row>
    <row r="375">
      <c r="C375" s="63"/>
      <c r="D375" s="63" t="str">
        <f>IF(C375&lt;&gt;"", CountIF(OppMonsUsed, C375), "")</f>
        <v/>
      </c>
      <c r="E375" s="63" t="str">
        <f>IFERROR(__xludf.DUMMYFUNCTION("IF(C375&lt;&gt;"""",COUNTIF(FILTER(OppMonsUsed, GameResults=""win""), C375), """")"),"")</f>
        <v/>
      </c>
      <c r="F375" s="231" t="str">
        <f t="shared" si="1"/>
        <v/>
      </c>
    </row>
    <row r="376">
      <c r="C376" s="63"/>
      <c r="D376" s="63" t="str">
        <f>IF(C376&lt;&gt;"", CountIF(OppMonsUsed, C376), "")</f>
        <v/>
      </c>
      <c r="E376" s="63" t="str">
        <f>IFERROR(__xludf.DUMMYFUNCTION("IF(C376&lt;&gt;"""",COUNTIF(FILTER(OppMonsUsed, GameResults=""win""), C376), """")"),"")</f>
        <v/>
      </c>
      <c r="F376" s="231" t="str">
        <f t="shared" si="1"/>
        <v/>
      </c>
    </row>
    <row r="377">
      <c r="C377" s="63"/>
      <c r="D377" s="63" t="str">
        <f>IF(C377&lt;&gt;"", CountIF(OppMonsUsed, C377), "")</f>
        <v/>
      </c>
      <c r="E377" s="63" t="str">
        <f>IFERROR(__xludf.DUMMYFUNCTION("IF(C377&lt;&gt;"""",COUNTIF(FILTER(OppMonsUsed, GameResults=""win""), C377), """")"),"")</f>
        <v/>
      </c>
      <c r="F377" s="231" t="str">
        <f t="shared" si="1"/>
        <v/>
      </c>
    </row>
    <row r="378">
      <c r="C378" s="63"/>
      <c r="D378" s="63" t="str">
        <f>IF(C378&lt;&gt;"", CountIF(OppMonsUsed, C378), "")</f>
        <v/>
      </c>
      <c r="E378" s="63" t="str">
        <f>IFERROR(__xludf.DUMMYFUNCTION("IF(C378&lt;&gt;"""",COUNTIF(FILTER(OppMonsUsed, GameResults=""win""), C378), """")"),"")</f>
        <v/>
      </c>
      <c r="F378" s="231" t="str">
        <f t="shared" si="1"/>
        <v/>
      </c>
    </row>
    <row r="379">
      <c r="C379" s="63"/>
      <c r="D379" s="63" t="str">
        <f>IF(C379&lt;&gt;"", CountIF(OppMonsUsed, C379), "")</f>
        <v/>
      </c>
      <c r="E379" s="63" t="str">
        <f>IFERROR(__xludf.DUMMYFUNCTION("IF(C379&lt;&gt;"""",COUNTIF(FILTER(OppMonsUsed, GameResults=""win""), C379), """")"),"")</f>
        <v/>
      </c>
      <c r="F379" s="231" t="str">
        <f t="shared" si="1"/>
        <v/>
      </c>
    </row>
    <row r="380">
      <c r="C380" s="63"/>
      <c r="D380" s="63" t="str">
        <f>IF(C380&lt;&gt;"", CountIF(OppMonsUsed, C380), "")</f>
        <v/>
      </c>
      <c r="E380" s="63" t="str">
        <f>IFERROR(__xludf.DUMMYFUNCTION("IF(C380&lt;&gt;"""",COUNTIF(FILTER(OppMonsUsed, GameResults=""win""), C380), """")"),"")</f>
        <v/>
      </c>
      <c r="F380" s="231" t="str">
        <f t="shared" si="1"/>
        <v/>
      </c>
    </row>
    <row r="381">
      <c r="C381" s="63"/>
      <c r="D381" s="63" t="str">
        <f>IF(C381&lt;&gt;"", CountIF(OppMonsUsed, C381), "")</f>
        <v/>
      </c>
      <c r="E381" s="63" t="str">
        <f>IFERROR(__xludf.DUMMYFUNCTION("IF(C381&lt;&gt;"""",COUNTIF(FILTER(OppMonsUsed, GameResults=""win""), C381), """")"),"")</f>
        <v/>
      </c>
      <c r="F381" s="231" t="str">
        <f t="shared" si="1"/>
        <v/>
      </c>
    </row>
    <row r="382">
      <c r="C382" s="63"/>
      <c r="D382" s="63" t="str">
        <f>IF(C382&lt;&gt;"", CountIF(OppMonsUsed, C382), "")</f>
        <v/>
      </c>
      <c r="E382" s="63" t="str">
        <f>IFERROR(__xludf.DUMMYFUNCTION("IF(C382&lt;&gt;"""",COUNTIF(FILTER(OppMonsUsed, GameResults=""win""), C382), """")"),"")</f>
        <v/>
      </c>
      <c r="F382" s="231" t="str">
        <f t="shared" si="1"/>
        <v/>
      </c>
    </row>
    <row r="383">
      <c r="C383" s="63"/>
      <c r="D383" s="63" t="str">
        <f>IF(C383&lt;&gt;"", CountIF(OppMonsUsed, C383), "")</f>
        <v/>
      </c>
      <c r="E383" s="63" t="str">
        <f>IFERROR(__xludf.DUMMYFUNCTION("IF(C383&lt;&gt;"""",COUNTIF(FILTER(OppMonsUsed, GameResults=""win""), C383), """")"),"")</f>
        <v/>
      </c>
      <c r="F383" s="231" t="str">
        <f t="shared" si="1"/>
        <v/>
      </c>
    </row>
    <row r="384">
      <c r="C384" s="63"/>
      <c r="D384" s="63" t="str">
        <f>IF(C384&lt;&gt;"", CountIF(OppMonsUsed, C384), "")</f>
        <v/>
      </c>
      <c r="E384" s="63" t="str">
        <f>IFERROR(__xludf.DUMMYFUNCTION("IF(C384&lt;&gt;"""",COUNTIF(FILTER(OppMonsUsed, GameResults=""win""), C384), """")"),"")</f>
        <v/>
      </c>
      <c r="F384" s="231" t="str">
        <f t="shared" si="1"/>
        <v/>
      </c>
    </row>
    <row r="385">
      <c r="C385" s="63"/>
      <c r="D385" s="63" t="str">
        <f>IF(C385&lt;&gt;"", CountIF(OppMonsUsed, C385), "")</f>
        <v/>
      </c>
      <c r="E385" s="63" t="str">
        <f>IFERROR(__xludf.DUMMYFUNCTION("IF(C385&lt;&gt;"""",COUNTIF(FILTER(OppMonsUsed, GameResults=""win""), C385), """")"),"")</f>
        <v/>
      </c>
      <c r="F385" s="231" t="str">
        <f t="shared" si="1"/>
        <v/>
      </c>
    </row>
    <row r="386">
      <c r="C386" s="63"/>
      <c r="D386" s="63" t="str">
        <f>IF(C386&lt;&gt;"", CountIF(OppMonsUsed, C386), "")</f>
        <v/>
      </c>
      <c r="E386" s="63" t="str">
        <f>IFERROR(__xludf.DUMMYFUNCTION("IF(C386&lt;&gt;"""",COUNTIF(FILTER(OppMonsUsed, GameResults=""win""), C386), """")"),"")</f>
        <v/>
      </c>
      <c r="F386" s="231" t="str">
        <f t="shared" si="1"/>
        <v/>
      </c>
    </row>
    <row r="387">
      <c r="C387" s="63"/>
      <c r="D387" s="63" t="str">
        <f>IF(C387&lt;&gt;"", CountIF(OppMonsUsed, C387), "")</f>
        <v/>
      </c>
      <c r="E387" s="63" t="str">
        <f>IFERROR(__xludf.DUMMYFUNCTION("IF(C387&lt;&gt;"""",COUNTIF(FILTER(OppMonsUsed, GameResults=""win""), C387), """")"),"")</f>
        <v/>
      </c>
      <c r="F387" s="231" t="str">
        <f t="shared" si="1"/>
        <v/>
      </c>
    </row>
    <row r="388">
      <c r="C388" s="63"/>
      <c r="D388" s="63" t="str">
        <f>IF(C388&lt;&gt;"", CountIF(OppMonsUsed, C388), "")</f>
        <v/>
      </c>
      <c r="E388" s="63" t="str">
        <f>IFERROR(__xludf.DUMMYFUNCTION("IF(C388&lt;&gt;"""",COUNTIF(FILTER(OppMonsUsed, GameResults=""win""), C388), """")"),"")</f>
        <v/>
      </c>
      <c r="F388" s="231" t="str">
        <f t="shared" si="1"/>
        <v/>
      </c>
    </row>
    <row r="389">
      <c r="C389" s="63"/>
      <c r="D389" s="63" t="str">
        <f>IF(C389&lt;&gt;"", CountIF(OppMonsUsed, C389), "")</f>
        <v/>
      </c>
      <c r="E389" s="63" t="str">
        <f>IFERROR(__xludf.DUMMYFUNCTION("IF(C389&lt;&gt;"""",COUNTIF(FILTER(OppMonsUsed, GameResults=""win""), C389), """")"),"")</f>
        <v/>
      </c>
      <c r="F389" s="231" t="str">
        <f t="shared" si="1"/>
        <v/>
      </c>
    </row>
    <row r="390">
      <c r="C390" s="63"/>
      <c r="D390" s="63" t="str">
        <f>IF(C390&lt;&gt;"", CountIF(OppMonsUsed, C390), "")</f>
        <v/>
      </c>
      <c r="E390" s="63" t="str">
        <f>IFERROR(__xludf.DUMMYFUNCTION("IF(C390&lt;&gt;"""",COUNTIF(FILTER(OppMonsUsed, GameResults=""win""), C390), """")"),"")</f>
        <v/>
      </c>
      <c r="F390" s="231" t="str">
        <f t="shared" si="1"/>
        <v/>
      </c>
    </row>
    <row r="391">
      <c r="C391" s="63"/>
      <c r="D391" s="63" t="str">
        <f>IF(C391&lt;&gt;"", CountIF(OppMonsUsed, C391), "")</f>
        <v/>
      </c>
      <c r="E391" s="63" t="str">
        <f>IFERROR(__xludf.DUMMYFUNCTION("IF(C391&lt;&gt;"""",COUNTIF(FILTER(OppMonsUsed, GameResults=""win""), C391), """")"),"")</f>
        <v/>
      </c>
      <c r="F391" s="231" t="str">
        <f t="shared" si="1"/>
        <v/>
      </c>
    </row>
    <row r="392">
      <c r="C392" s="63"/>
      <c r="D392" s="63" t="str">
        <f>IF(C392&lt;&gt;"", CountIF(OppMonsUsed, C392), "")</f>
        <v/>
      </c>
      <c r="E392" s="63" t="str">
        <f>IFERROR(__xludf.DUMMYFUNCTION("IF(C392&lt;&gt;"""",COUNTIF(FILTER(OppMonsUsed, GameResults=""win""), C392), """")"),"")</f>
        <v/>
      </c>
      <c r="F392" s="231" t="str">
        <f t="shared" si="1"/>
        <v/>
      </c>
    </row>
    <row r="393">
      <c r="C393" s="63"/>
      <c r="D393" s="63" t="str">
        <f>IF(C393&lt;&gt;"", CountIF(OppMonsUsed, C393), "")</f>
        <v/>
      </c>
      <c r="E393" s="63" t="str">
        <f>IFERROR(__xludf.DUMMYFUNCTION("IF(C393&lt;&gt;"""",COUNTIF(FILTER(OppMonsUsed, GameResults=""win""), C393), """")"),"")</f>
        <v/>
      </c>
      <c r="F393" s="231" t="str">
        <f t="shared" si="1"/>
        <v/>
      </c>
    </row>
    <row r="394">
      <c r="C394" s="63"/>
      <c r="D394" s="63" t="str">
        <f>IF(C394&lt;&gt;"", CountIF(OppMonsUsed, C394), "")</f>
        <v/>
      </c>
      <c r="E394" s="63" t="str">
        <f>IFERROR(__xludf.DUMMYFUNCTION("IF(C394&lt;&gt;"""",COUNTIF(FILTER(OppMonsUsed, GameResults=""win""), C394), """")"),"")</f>
        <v/>
      </c>
      <c r="F394" s="231" t="str">
        <f t="shared" si="1"/>
        <v/>
      </c>
    </row>
    <row r="395">
      <c r="C395" s="63"/>
      <c r="D395" s="63" t="str">
        <f>IF(C395&lt;&gt;"", CountIF(OppMonsUsed, C395), "")</f>
        <v/>
      </c>
      <c r="E395" s="63" t="str">
        <f>IFERROR(__xludf.DUMMYFUNCTION("IF(C395&lt;&gt;"""",COUNTIF(FILTER(OppMonsUsed, GameResults=""win""), C395), """")"),"")</f>
        <v/>
      </c>
      <c r="F395" s="231" t="str">
        <f t="shared" si="1"/>
        <v/>
      </c>
    </row>
    <row r="396">
      <c r="C396" s="63"/>
      <c r="D396" s="63" t="str">
        <f>IF(C396&lt;&gt;"", CountIF(OppMonsUsed, C396), "")</f>
        <v/>
      </c>
      <c r="E396" s="63" t="str">
        <f>IFERROR(__xludf.DUMMYFUNCTION("IF(C396&lt;&gt;"""",COUNTIF(FILTER(OppMonsUsed, GameResults=""win""), C396), """")"),"")</f>
        <v/>
      </c>
      <c r="F396" s="231" t="str">
        <f t="shared" si="1"/>
        <v/>
      </c>
    </row>
    <row r="397">
      <c r="C397" s="63"/>
      <c r="D397" s="63" t="str">
        <f>IF(C397&lt;&gt;"", CountIF(OppMonsUsed, C397), "")</f>
        <v/>
      </c>
      <c r="E397" s="63" t="str">
        <f>IFERROR(__xludf.DUMMYFUNCTION("IF(C397&lt;&gt;"""",COUNTIF(FILTER(OppMonsUsed, GameResults=""win""), C397), """")"),"")</f>
        <v/>
      </c>
      <c r="F397" s="231" t="str">
        <f t="shared" si="1"/>
        <v/>
      </c>
    </row>
    <row r="398">
      <c r="C398" s="63"/>
      <c r="D398" s="63" t="str">
        <f>IF(C398&lt;&gt;"", CountIF(OppMonsUsed, C398), "")</f>
        <v/>
      </c>
      <c r="E398" s="63" t="str">
        <f>IFERROR(__xludf.DUMMYFUNCTION("IF(C398&lt;&gt;"""",COUNTIF(FILTER(OppMonsUsed, GameResults=""win""), C398), """")"),"")</f>
        <v/>
      </c>
      <c r="F398" s="231" t="str">
        <f t="shared" si="1"/>
        <v/>
      </c>
    </row>
    <row r="399">
      <c r="C399" s="63"/>
      <c r="D399" s="63" t="str">
        <f>IF(C399&lt;&gt;"", CountIF(OppMonsUsed, C399), "")</f>
        <v/>
      </c>
      <c r="E399" s="63" t="str">
        <f>IFERROR(__xludf.DUMMYFUNCTION("IF(C399&lt;&gt;"""",COUNTIF(FILTER(OppMonsUsed, GameResults=""win""), C399), """")"),"")</f>
        <v/>
      </c>
      <c r="F399" s="231" t="str">
        <f t="shared" si="1"/>
        <v/>
      </c>
    </row>
    <row r="400">
      <c r="C400" s="63"/>
      <c r="D400" s="63" t="str">
        <f>IF(C400&lt;&gt;"", CountIF(OppMonsUsed, C400), "")</f>
        <v/>
      </c>
      <c r="E400" s="63" t="str">
        <f>IFERROR(__xludf.DUMMYFUNCTION("IF(C400&lt;&gt;"""",COUNTIF(FILTER(OppMonsUsed, GameResults=""win""), C400), """")"),"")</f>
        <v/>
      </c>
      <c r="F400" s="231" t="str">
        <f t="shared" si="1"/>
        <v/>
      </c>
    </row>
    <row r="401">
      <c r="C401" s="63"/>
      <c r="D401" s="63" t="str">
        <f>IF(C401&lt;&gt;"", CountIF(OppMonsUsed, C401), "")</f>
        <v/>
      </c>
      <c r="E401" s="63" t="str">
        <f>IFERROR(__xludf.DUMMYFUNCTION("IF(C401&lt;&gt;"""",COUNTIF(FILTER(OppMonsUsed, GameResults=""win""), C401), """")"),"")</f>
        <v/>
      </c>
      <c r="F401" s="231" t="str">
        <f t="shared" si="1"/>
        <v/>
      </c>
    </row>
    <row r="402">
      <c r="C402" s="63"/>
      <c r="D402" s="63" t="str">
        <f>IF(C402&lt;&gt;"", CountIF(OppMonsUsed, C402), "")</f>
        <v/>
      </c>
      <c r="E402" s="63" t="str">
        <f>IFERROR(__xludf.DUMMYFUNCTION("IF(C402&lt;&gt;"""",COUNTIF(FILTER(OppMonsUsed, GameResults=""win""), C402), """")"),"")</f>
        <v/>
      </c>
      <c r="F402" s="231" t="str">
        <f t="shared" si="1"/>
        <v/>
      </c>
    </row>
    <row r="403" ht="9.0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.0"/>
    <col customWidth="1" min="3" max="3" width="1.88"/>
    <col customWidth="1" min="4" max="4" width="17.0"/>
    <col customWidth="1" min="5" max="5" width="11.38"/>
    <col customWidth="1" min="6" max="6" width="13.75"/>
    <col customWidth="1" min="9" max="9" width="5.88"/>
  </cols>
  <sheetData>
    <row r="1">
      <c r="H1" s="17" t="s">
        <v>2568</v>
      </c>
      <c r="I1" s="17" t="s">
        <v>2569</v>
      </c>
      <c r="J1" s="17" t="s">
        <v>2570</v>
      </c>
      <c r="L1" s="17" t="s">
        <v>2571</v>
      </c>
      <c r="M1" s="17" t="s">
        <v>2572</v>
      </c>
    </row>
    <row r="2">
      <c r="A2" s="17" t="s">
        <v>2573</v>
      </c>
    </row>
    <row r="3">
      <c r="A3" s="17" t="s">
        <v>2574</v>
      </c>
      <c r="B3" s="63">
        <f>(B4+B5)</f>
        <v>4</v>
      </c>
      <c r="J3" s="17" t="s">
        <v>2575</v>
      </c>
    </row>
    <row r="4">
      <c r="A4" s="17" t="s">
        <v>2576</v>
      </c>
      <c r="B4" s="17">
        <f>COUNTIF('Base Data'!DW3:DW102, "Win")</f>
        <v>0</v>
      </c>
      <c r="C4" s="17"/>
      <c r="D4" s="17" t="s">
        <v>2577</v>
      </c>
      <c r="E4" s="17" t="s">
        <v>2578</v>
      </c>
      <c r="F4" s="17" t="s">
        <v>2579</v>
      </c>
      <c r="G4" s="17" t="s">
        <v>119</v>
      </c>
      <c r="H4" s="17" t="s">
        <v>2580</v>
      </c>
      <c r="J4" s="17" t="s">
        <v>2581</v>
      </c>
      <c r="K4" s="17" t="s">
        <v>2582</v>
      </c>
      <c r="L4" s="17" t="s">
        <v>2583</v>
      </c>
    </row>
    <row r="5">
      <c r="A5" s="17" t="s">
        <v>2584</v>
      </c>
      <c r="B5" s="63">
        <f>COUNTIF('Base Data'!DW3:DW102, "Loss")</f>
        <v>4</v>
      </c>
      <c r="D5" s="17" t="str">
        <f>'Team Info From Paste'!C2</f>
        <v>Alcremie-Matcha-Cream</v>
      </c>
      <c r="E5" s="63">
        <f>COUNTIF('Base Data'!CT3:CW102, D5)</f>
        <v>4</v>
      </c>
      <c r="F5" s="63">
        <f>IFERROR(__xludf.DUMMYFUNCTION("COUNTIF(FILTER('Base Data'!CT3:CW102, GameResults=""win""), D5)"),0.0)</f>
        <v>0</v>
      </c>
      <c r="G5" s="232">
        <f t="shared" ref="G5:G10" si="1">IFERROR(100*F5/E5, "N/A")</f>
        <v>0</v>
      </c>
      <c r="H5" s="232">
        <f>100*E5/B3</f>
        <v>100</v>
      </c>
      <c r="J5" s="63">
        <f>COUNTIF('Base Data'!DE3:DE102, D5)</f>
        <v>0</v>
      </c>
      <c r="K5" s="63">
        <f>IFERROR(__xludf.DUMMYFUNCTION("COUNTIF(FILTER('Base Data'!DE3:DE102, GameResults=""win""), D5)"),0.0)</f>
        <v>0</v>
      </c>
      <c r="L5" s="233" t="str">
        <f t="shared" ref="L5:L10" si="2">IFERROR(100*K5/J5, "N/A")</f>
        <v>N/A</v>
      </c>
    </row>
    <row r="6">
      <c r="A6" s="17" t="s">
        <v>2585</v>
      </c>
      <c r="B6" s="234">
        <f>(B4/B3)</f>
        <v>0</v>
      </c>
      <c r="D6" s="17" t="str">
        <f>'Team Info From Paste'!C3</f>
        <v>Weavile</v>
      </c>
      <c r="E6" s="63">
        <f>COUNTIF('Base Data'!CT3:CW102, D6)</f>
        <v>4</v>
      </c>
      <c r="F6" s="63">
        <f>IFERROR(__xludf.DUMMYFUNCTION("COUNTIF(FILTER('Base Data'!CT3:CW102, GameResults=""win""), D6)"),0.0)</f>
        <v>0</v>
      </c>
      <c r="G6" s="232">
        <f t="shared" si="1"/>
        <v>0</v>
      </c>
      <c r="H6" s="232">
        <f>100*E6/B3</f>
        <v>100</v>
      </c>
      <c r="J6" s="63">
        <f>COUNTIF('Base Data'!DE3:DE102, D6)</f>
        <v>0</v>
      </c>
      <c r="K6" s="63">
        <f>IFERROR(__xludf.DUMMYFUNCTION("COUNTIF(FILTER('Base Data'!DE3:DE102, GameResults=""win""), D6)"),0.0)</f>
        <v>0</v>
      </c>
      <c r="L6" s="233" t="str">
        <f t="shared" si="2"/>
        <v>N/A</v>
      </c>
    </row>
    <row r="7">
      <c r="D7" s="17" t="str">
        <f>'Team Info From Paste'!C4</f>
        <v>Skeledirge</v>
      </c>
      <c r="E7" s="63">
        <f>COUNTIF('Base Data'!CT3:CW102, D7)</f>
        <v>3</v>
      </c>
      <c r="F7" s="63">
        <f>IFERROR(__xludf.DUMMYFUNCTION("COUNTIF(FILTER('Base Data'!CT3:CW102, GameResults=""win""), D7)"),0.0)</f>
        <v>0</v>
      </c>
      <c r="G7" s="232">
        <f t="shared" si="1"/>
        <v>0</v>
      </c>
      <c r="H7" s="232">
        <f>100*E7/B3</f>
        <v>75</v>
      </c>
      <c r="J7" s="65">
        <f>COUNTIF('Base Data'!DE3:DE102, D7)</f>
        <v>2</v>
      </c>
      <c r="K7" s="65">
        <f>IFERROR(__xludf.DUMMYFUNCTION("COUNTIF(FILTER('Base Data'!DE3:DE102, GameResults=""win""), D7)"),0.0)</f>
        <v>0</v>
      </c>
      <c r="L7" s="233">
        <f t="shared" si="2"/>
        <v>0</v>
      </c>
    </row>
    <row r="8">
      <c r="D8" s="17" t="str">
        <f>'Team Info From Paste'!C5</f>
        <v>Gholdengo</v>
      </c>
      <c r="E8" s="63">
        <f>COUNTIF('Base Data'!CT3:CW102, D8)</f>
        <v>1</v>
      </c>
      <c r="F8" s="65">
        <f>IFERROR(__xludf.DUMMYFUNCTION("COUNTIF(FILTER('Base Data'!CT3:CW102, GameResults=""win""), D8)"),0.0)</f>
        <v>0</v>
      </c>
      <c r="G8" s="232">
        <f t="shared" si="1"/>
        <v>0</v>
      </c>
      <c r="H8" s="232">
        <f>100*E8/B3</f>
        <v>25</v>
      </c>
      <c r="J8" s="63">
        <f>COUNTIF('Base Data'!DE3:DE102, D8)</f>
        <v>1</v>
      </c>
      <c r="K8" s="63">
        <f>IFERROR(__xludf.DUMMYFUNCTION("COUNTIF(FILTER('Base Data'!DE3:DE102, GameResults=""win""), D8)"),0.0)</f>
        <v>0</v>
      </c>
      <c r="L8" s="233">
        <f t="shared" si="2"/>
        <v>0</v>
      </c>
    </row>
    <row r="9">
      <c r="D9" s="17" t="str">
        <f>'Team Info From Paste'!C6</f>
        <v>Exeggutor-Alola</v>
      </c>
      <c r="E9" s="63">
        <f>COUNTIF('Base Data'!CT3:CW102, D9)</f>
        <v>1</v>
      </c>
      <c r="F9" s="63">
        <f>IFERROR(__xludf.DUMMYFUNCTION("COUNTIF(FILTER('Base Data'!CT3:CW102, GameResults=""win""), D9)"),0.0)</f>
        <v>0</v>
      </c>
      <c r="G9" s="232">
        <f t="shared" si="1"/>
        <v>0</v>
      </c>
      <c r="H9" s="232">
        <f>100*E9/B3</f>
        <v>25</v>
      </c>
      <c r="J9" s="63">
        <f>COUNTIF('Base Data'!DE3:DE102, D9)</f>
        <v>0</v>
      </c>
      <c r="K9" s="63">
        <f>IFERROR(__xludf.DUMMYFUNCTION("COUNTIF(FILTER('Base Data'!DE3:DE102, GameResults=""win""), D9)"),0.0)</f>
        <v>0</v>
      </c>
      <c r="L9" s="233" t="str">
        <f t="shared" si="2"/>
        <v>N/A</v>
      </c>
    </row>
    <row r="10">
      <c r="D10" s="17" t="str">
        <f>'Team Info From Paste'!C7</f>
        <v>Salamence</v>
      </c>
      <c r="E10" s="63">
        <f>COUNTIF('Base Data'!CT3:CW102, D10)</f>
        <v>3</v>
      </c>
      <c r="F10" s="63">
        <f>IFERROR(__xludf.DUMMYFUNCTION("COUNTIF(FILTER('Base Data'!CT3:CW102, GameResults=""win""), D10)"),0.0)</f>
        <v>0</v>
      </c>
      <c r="G10" s="232">
        <f t="shared" si="1"/>
        <v>0</v>
      </c>
      <c r="H10" s="232">
        <f>100*E10/B3</f>
        <v>75</v>
      </c>
      <c r="J10" s="63">
        <f>COUNTIF('Base Data'!DE3:DE102, D10)</f>
        <v>1</v>
      </c>
      <c r="K10" s="63">
        <f>IFERROR(__xludf.DUMMYFUNCTION("COUNTIF(FILTER('Base Data'!DE3:DE102, GameResults=""win""), D10)"),0.0)</f>
        <v>0</v>
      </c>
      <c r="L10" s="233">
        <f t="shared" si="2"/>
        <v>0</v>
      </c>
    </row>
    <row r="11">
      <c r="B11" s="112"/>
    </row>
    <row r="12">
      <c r="B12" s="112"/>
    </row>
    <row r="13">
      <c r="D13" s="17" t="s">
        <v>2586</v>
      </c>
      <c r="E13" s="17" t="s">
        <v>2587</v>
      </c>
      <c r="F13" s="17" t="s">
        <v>2588</v>
      </c>
      <c r="G13" s="17" t="s">
        <v>2589</v>
      </c>
      <c r="H13" s="17" t="s">
        <v>2590</v>
      </c>
    </row>
    <row r="14">
      <c r="D14" s="17" t="str">
        <f>'Team Info From Paste'!C2</f>
        <v>Alcremie-Matcha-Cream</v>
      </c>
      <c r="E14" s="63">
        <f>COUNTIF('Base Data'!CX3:CY102, D14)</f>
        <v>4</v>
      </c>
      <c r="F14" s="63">
        <f>IFERROR(__xludf.DUMMYFUNCTION("COUNTIF(FILTER('Base Data'!CX3:CY102, GameResults=""win""), D14)"),0.0)</f>
        <v>0</v>
      </c>
      <c r="G14" s="232">
        <f t="shared" ref="G14:G19" si="3">IFERROR(100*F14/E14, "N/A")</f>
        <v>0</v>
      </c>
      <c r="H14" s="233">
        <f>100*E14/B3</f>
        <v>100</v>
      </c>
    </row>
    <row r="15">
      <c r="A15" s="235"/>
      <c r="D15" s="17" t="str">
        <f>'Team Info From Paste'!C3</f>
        <v>Weavile</v>
      </c>
      <c r="E15" s="63">
        <f>COUNTIF('Base Data'!CX3:CY102, D15)</f>
        <v>0</v>
      </c>
      <c r="F15" s="63">
        <f>IFERROR(__xludf.DUMMYFUNCTION("COUNTIF(FILTER('Base Data'!CX3:CY102, GameResults=""win""), D15)"),0.0)</f>
        <v>0</v>
      </c>
      <c r="G15" s="232" t="str">
        <f t="shared" si="3"/>
        <v>N/A</v>
      </c>
      <c r="H15" s="233">
        <f>100*E14/B3</f>
        <v>100</v>
      </c>
    </row>
    <row r="16">
      <c r="D16" s="17" t="str">
        <f>'Team Info From Paste'!C4</f>
        <v>Skeledirge</v>
      </c>
      <c r="E16" s="63">
        <f>COUNTIF('Base Data'!CX3:CY102, D16)</f>
        <v>2</v>
      </c>
      <c r="F16" s="63">
        <f>IFERROR(__xludf.DUMMYFUNCTION("COUNTIF(FILTER('Base Data'!CX3:CY102, GameResults=""win""), D16)"),0.0)</f>
        <v>0</v>
      </c>
      <c r="G16" s="232">
        <f t="shared" si="3"/>
        <v>0</v>
      </c>
      <c r="H16" s="233">
        <f>100*E16/B3</f>
        <v>50</v>
      </c>
    </row>
    <row r="17">
      <c r="D17" s="17" t="str">
        <f>'Team Info From Paste'!C5</f>
        <v>Gholdengo</v>
      </c>
      <c r="E17" s="63">
        <f>COUNTIF('Base Data'!CX3:CY102, D17)</f>
        <v>0</v>
      </c>
      <c r="F17" s="236">
        <f>IFERROR(__xludf.DUMMYFUNCTION("COUNTIF(FILTER('Base Data'!CX3:CY102, GameResults=""win""), D17)"),0.0)</f>
        <v>0</v>
      </c>
      <c r="G17" s="232" t="str">
        <f t="shared" si="3"/>
        <v>N/A</v>
      </c>
      <c r="H17" s="237">
        <f>100*E17/B3</f>
        <v>0</v>
      </c>
      <c r="I17" s="236"/>
    </row>
    <row r="18">
      <c r="D18" s="17" t="str">
        <f>'Team Info From Paste'!C6</f>
        <v>Exeggutor-Alola</v>
      </c>
      <c r="E18" s="63">
        <f>COUNTIF('Base Data'!CX3:CY102, D18)</f>
        <v>0</v>
      </c>
      <c r="F18" s="63">
        <f>IFERROR(__xludf.DUMMYFUNCTION("COUNTIF(FILTER('Base Data'!CX3:CY102, GameResults=""win""), D18)"),0.0)</f>
        <v>0</v>
      </c>
      <c r="G18" s="232" t="str">
        <f t="shared" si="3"/>
        <v>N/A</v>
      </c>
      <c r="H18" s="233">
        <f>100*E18/B3</f>
        <v>0</v>
      </c>
    </row>
    <row r="19">
      <c r="D19" s="17" t="str">
        <f>'Team Info From Paste'!C7</f>
        <v>Salamence</v>
      </c>
      <c r="E19" s="63">
        <f>COUNTIF('Base Data'!CX3:CY102, D19)</f>
        <v>2</v>
      </c>
      <c r="F19" s="63">
        <f>IFERROR(__xludf.DUMMYFUNCTION("COUNTIF(FILTER('Base Data'!CX3:CY102, GameResults=""win""), D19)"),0.0)</f>
        <v>0</v>
      </c>
      <c r="G19" s="232">
        <f t="shared" si="3"/>
        <v>0</v>
      </c>
      <c r="H19" s="233">
        <f>100*E19/B3</f>
        <v>50</v>
      </c>
    </row>
    <row r="21">
      <c r="D21" s="17" t="s">
        <v>2591</v>
      </c>
    </row>
    <row r="22">
      <c r="G22" s="17" t="s">
        <v>2592</v>
      </c>
      <c r="H22" s="17" t="s">
        <v>2593</v>
      </c>
    </row>
    <row r="23">
      <c r="D23" s="17" t="s">
        <v>2594</v>
      </c>
      <c r="E23" s="63">
        <f>COUNTIF('Base Data'!Y3:Y102, "ots")</f>
        <v>0</v>
      </c>
      <c r="G23" s="233" t="str">
        <f>IFERROR(100*E26/E23, "N/A")</f>
        <v>N/A</v>
      </c>
      <c r="H23" s="233">
        <f>IFERROR(100*E29/E24, "N/A")</f>
        <v>0</v>
      </c>
    </row>
    <row r="24">
      <c r="D24" s="17" t="s">
        <v>2595</v>
      </c>
      <c r="E24" s="63">
        <f>COUNTIF('Base Data'!Y3:Y102, "cts")</f>
        <v>4</v>
      </c>
    </row>
    <row r="26">
      <c r="D26" s="17" t="s">
        <v>2596</v>
      </c>
      <c r="E26" s="63">
        <f>IFERROR(__xludf.DUMMYFUNCTION("COUNTIF(FILTER('Base Data'!Y3:Y102, GameResults=""win""), ""ots"")"),0.0)</f>
        <v>0</v>
      </c>
    </row>
    <row r="27">
      <c r="D27" s="17" t="s">
        <v>2597</v>
      </c>
      <c r="E27" s="63">
        <f>IFERROR(__xludf.DUMMYFUNCTION("COUNTIF(FILTER('Base Data'!Y3:Y102, GameResults=""loss""), ""ots"")"),0.0)</f>
        <v>0</v>
      </c>
    </row>
    <row r="29">
      <c r="D29" s="17" t="s">
        <v>2598</v>
      </c>
      <c r="E29" s="63">
        <f>IFERROR(__xludf.DUMMYFUNCTION("COUNTIF(FILTER('Base Data'!Y3:Y102, GameResults=""win""), ""cts"")"),0.0)</f>
        <v>0</v>
      </c>
    </row>
    <row r="30">
      <c r="D30" s="17" t="s">
        <v>2599</v>
      </c>
      <c r="E30" s="63">
        <f>IFERROR(__xludf.DUMMYFUNCTION("COUNTIF(FILTER('Base Data'!Y3:Y102, GameResults=""loss""), ""cts"")"),4.0)</f>
        <v>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</cols>
  <sheetData>
    <row r="1" ht="65.25" customHeight="1">
      <c r="A1" s="63" t="str">
        <f>IMAGE("https://cdn-icons-png.flaticon.com/512/38/38488.png")</f>
        <v>#REF!</v>
      </c>
    </row>
    <row r="2" ht="63.0" customHeight="1">
      <c r="A2" s="63" t="str">
        <f>Image("https://cdn-icons-png.flaticon.com/512/58/58976.png")</f>
        <v>#REF!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25"/>
    <col customWidth="1" min="3" max="3" width="24.25"/>
    <col customWidth="1" min="4" max="4" width="21.38"/>
    <col customWidth="1" min="5" max="5" width="16.13"/>
    <col customWidth="1" min="6" max="6" width="21.0"/>
    <col customWidth="1" min="7" max="7" width="14.5"/>
    <col customWidth="1" min="8" max="8" width="12.75"/>
    <col customWidth="1" min="9" max="9" width="14.38"/>
    <col customWidth="1" min="10" max="10" width="17.88"/>
    <col customWidth="1" min="11" max="11" width="12.5"/>
    <col customWidth="1" min="12" max="12" width="15.88"/>
    <col customWidth="1" min="13" max="15" width="3.38"/>
    <col customWidth="1" min="16" max="16" width="5.25"/>
    <col customWidth="1" min="17" max="20" width="4.63"/>
    <col customWidth="1" min="21" max="24" width="6.63"/>
    <col customWidth="1" min="25" max="25" width="19.25"/>
    <col customWidth="1" min="26" max="28" width="5.75"/>
    <col customWidth="1" min="29" max="29" width="5.0"/>
    <col customWidth="1" min="30" max="30" width="9.75"/>
    <col customWidth="1" min="31" max="37" width="5.75"/>
    <col customWidth="1" min="38" max="38" width="7.88"/>
    <col customWidth="1" min="39" max="39" width="2.25"/>
    <col customWidth="1" min="40" max="40" width="12.25"/>
    <col customWidth="1" min="41" max="41" width="10.75"/>
    <col customWidth="1" min="42" max="42" width="3.88"/>
    <col customWidth="1" min="43" max="43" width="13.75"/>
    <col customWidth="1" min="44" max="44" width="8.75"/>
    <col customWidth="1" min="45" max="45" width="11.0"/>
    <col customWidth="1" min="46" max="46" width="13.38"/>
    <col customWidth="1" min="47" max="47" width="13.13"/>
    <col customWidth="1" min="48" max="48" width="9.75"/>
    <col customWidth="1" min="49" max="49" width="11.13"/>
    <col customWidth="1" min="50" max="50" width="10.25"/>
    <col customWidth="1" min="51" max="51" width="11.0"/>
    <col customWidth="1" min="52" max="52" width="12.0"/>
    <col customWidth="1" min="53" max="96" width="8.5"/>
    <col customWidth="1" min="97" max="97" width="9.88"/>
    <col customWidth="1" min="98" max="98" width="15.5"/>
    <col customWidth="1" min="99" max="99" width="15.38"/>
    <col customWidth="1" min="100" max="100" width="10.88"/>
    <col customWidth="1" min="101" max="101" width="12.0"/>
    <col customWidth="1" min="102" max="103" width="18.13"/>
    <col customWidth="1" min="104" max="105" width="14.25"/>
    <col customWidth="1" min="106" max="106" width="15.25"/>
    <col customWidth="1" min="107" max="107" width="13.5"/>
    <col customWidth="1" min="108" max="108" width="18.13"/>
    <col customWidth="1" min="110" max="110" width="14.63"/>
    <col customWidth="1" min="128" max="128" width="1.88"/>
    <col customWidth="1" min="133" max="133" width="16.88"/>
    <col customWidth="1" min="135" max="135" width="13.25"/>
    <col customWidth="1" min="139" max="139" width="1.63"/>
  </cols>
  <sheetData>
    <row r="1">
      <c r="A1" s="238"/>
      <c r="B1" s="239" t="s">
        <v>2600</v>
      </c>
      <c r="I1" s="240" t="s">
        <v>2601</v>
      </c>
      <c r="P1" s="240"/>
      <c r="Q1" s="241" t="s">
        <v>62</v>
      </c>
      <c r="U1" s="241" t="s">
        <v>2602</v>
      </c>
      <c r="Y1" s="241" t="s">
        <v>63</v>
      </c>
      <c r="Z1" s="242" t="s">
        <v>2603</v>
      </c>
      <c r="AB1" s="242" t="s">
        <v>2604</v>
      </c>
      <c r="AD1" s="242"/>
      <c r="AE1" s="241" t="s">
        <v>2605</v>
      </c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/>
      <c r="AX1" s="243"/>
      <c r="AY1" s="243"/>
      <c r="AZ1" s="243"/>
      <c r="BA1" s="243"/>
      <c r="BB1" s="243"/>
      <c r="BC1" s="243"/>
      <c r="BD1" s="243"/>
      <c r="BE1" s="243"/>
      <c r="BF1" s="243"/>
      <c r="BG1" s="243"/>
      <c r="BH1" s="243"/>
      <c r="BI1" s="243"/>
      <c r="BJ1" s="243"/>
      <c r="BK1" s="243"/>
      <c r="BL1" s="243"/>
      <c r="BM1" s="243"/>
      <c r="BN1" s="243"/>
      <c r="BO1" s="243"/>
      <c r="BP1" s="243"/>
      <c r="BQ1" s="243"/>
      <c r="BR1" s="243"/>
      <c r="BS1" s="243"/>
      <c r="BT1" s="243"/>
      <c r="BU1" s="243"/>
      <c r="BV1" s="243"/>
      <c r="BW1" s="243"/>
      <c r="BX1" s="243"/>
      <c r="BY1" s="243"/>
      <c r="BZ1" s="243"/>
      <c r="CA1" s="243"/>
      <c r="CB1" s="243"/>
      <c r="CC1" s="243"/>
      <c r="CD1" s="243"/>
      <c r="CE1" s="243"/>
      <c r="CF1" s="243"/>
      <c r="CG1" s="243"/>
      <c r="CH1" s="243"/>
      <c r="CI1" s="243"/>
      <c r="CJ1" s="243"/>
      <c r="CK1" s="243"/>
      <c r="CL1" s="243"/>
      <c r="CM1" s="243"/>
      <c r="CN1" s="243"/>
      <c r="CO1" s="243"/>
      <c r="CP1" s="243"/>
      <c r="CQ1" s="243"/>
      <c r="CR1" s="243" t="s">
        <v>2606</v>
      </c>
      <c r="CS1" s="243" t="s">
        <v>2607</v>
      </c>
      <c r="CT1" s="241" t="s">
        <v>2608</v>
      </c>
      <c r="CU1" s="241" t="s">
        <v>2609</v>
      </c>
      <c r="CV1" s="241" t="s">
        <v>2610</v>
      </c>
      <c r="CW1" s="241" t="s">
        <v>2611</v>
      </c>
      <c r="CX1" s="241" t="s">
        <v>2612</v>
      </c>
      <c r="CY1" s="241" t="s">
        <v>2613</v>
      </c>
      <c r="CZ1" s="241" t="s">
        <v>2614</v>
      </c>
      <c r="DA1" s="241" t="s">
        <v>2614</v>
      </c>
      <c r="DB1" s="241" t="s">
        <v>2615</v>
      </c>
      <c r="DC1" s="241" t="s">
        <v>2615</v>
      </c>
      <c r="DD1" s="241" t="s">
        <v>2616</v>
      </c>
      <c r="DE1" s="241" t="s">
        <v>2617</v>
      </c>
      <c r="DF1" s="241" t="s">
        <v>2618</v>
      </c>
      <c r="DG1" s="241" t="s">
        <v>2619</v>
      </c>
      <c r="DH1" s="241" t="s">
        <v>2620</v>
      </c>
      <c r="DI1" s="241"/>
      <c r="DJ1" s="244"/>
      <c r="DK1" s="244"/>
      <c r="DL1" s="244"/>
      <c r="DM1" s="244"/>
      <c r="DN1" s="244"/>
      <c r="DP1" s="17" t="s">
        <v>2621</v>
      </c>
      <c r="DQ1" s="244"/>
      <c r="DR1" s="244"/>
      <c r="DS1" s="244"/>
      <c r="DT1" s="244"/>
      <c r="DU1" s="244"/>
      <c r="DV1" s="244"/>
      <c r="DW1" s="244"/>
      <c r="DX1" s="244"/>
      <c r="DY1" s="241" t="s">
        <v>2622</v>
      </c>
      <c r="DZ1" s="241" t="s">
        <v>2623</v>
      </c>
      <c r="EA1" s="241" t="s">
        <v>2624</v>
      </c>
      <c r="EB1" s="241" t="s">
        <v>2625</v>
      </c>
      <c r="EC1" s="241" t="s">
        <v>2626</v>
      </c>
      <c r="ED1" s="241" t="s">
        <v>2627</v>
      </c>
      <c r="EE1" s="241" t="s">
        <v>2628</v>
      </c>
      <c r="EF1" s="241" t="s">
        <v>2629</v>
      </c>
      <c r="EG1" s="244"/>
      <c r="EH1" s="244"/>
      <c r="EI1" s="245"/>
    </row>
    <row r="2">
      <c r="A2" s="238" t="s">
        <v>2630</v>
      </c>
      <c r="B2" s="239" t="s">
        <v>2631</v>
      </c>
      <c r="C2" s="240" t="s">
        <v>2632</v>
      </c>
      <c r="D2" s="240" t="s">
        <v>2633</v>
      </c>
      <c r="E2" s="240" t="s">
        <v>2634</v>
      </c>
      <c r="F2" s="240" t="s">
        <v>2635</v>
      </c>
      <c r="G2" s="240" t="s">
        <v>2636</v>
      </c>
      <c r="H2" s="240" t="s">
        <v>2637</v>
      </c>
      <c r="I2" s="240" t="s">
        <v>2638</v>
      </c>
      <c r="J2" s="240" t="s">
        <v>2632</v>
      </c>
      <c r="K2" s="240" t="s">
        <v>2633</v>
      </c>
      <c r="L2" s="240" t="s">
        <v>2634</v>
      </c>
      <c r="M2" s="240" t="s">
        <v>2635</v>
      </c>
      <c r="N2" s="240" t="s">
        <v>2636</v>
      </c>
      <c r="O2" s="240" t="s">
        <v>2637</v>
      </c>
      <c r="P2" s="240" t="s">
        <v>90</v>
      </c>
      <c r="Q2" s="241" t="s">
        <v>2639</v>
      </c>
      <c r="R2" s="241" t="s">
        <v>2640</v>
      </c>
      <c r="S2" s="241" t="s">
        <v>2641</v>
      </c>
      <c r="T2" s="241" t="s">
        <v>2642</v>
      </c>
      <c r="U2" s="241" t="s">
        <v>2643</v>
      </c>
      <c r="V2" s="241" t="s">
        <v>2643</v>
      </c>
      <c r="W2" s="241" t="s">
        <v>2644</v>
      </c>
      <c r="X2" s="241" t="s">
        <v>2644</v>
      </c>
      <c r="Y2" s="241" t="s">
        <v>2645</v>
      </c>
      <c r="Z2" s="241" t="s">
        <v>2646</v>
      </c>
      <c r="AA2" s="241" t="s">
        <v>2647</v>
      </c>
      <c r="AB2" s="241" t="s">
        <v>2646</v>
      </c>
      <c r="AC2" s="241" t="s">
        <v>2647</v>
      </c>
      <c r="AD2" s="241"/>
      <c r="AE2" s="241" t="s">
        <v>2648</v>
      </c>
      <c r="AF2" s="241" t="s">
        <v>2649</v>
      </c>
      <c r="AG2" s="241" t="s">
        <v>2650</v>
      </c>
      <c r="AH2" s="241" t="s">
        <v>2651</v>
      </c>
      <c r="AI2" s="241" t="s">
        <v>2652</v>
      </c>
      <c r="AJ2" s="241" t="s">
        <v>2653</v>
      </c>
      <c r="AK2" s="241" t="s">
        <v>2654</v>
      </c>
      <c r="AL2" s="241" t="s">
        <v>2655</v>
      </c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  <c r="DB2" s="241"/>
      <c r="DC2" s="241"/>
      <c r="DD2" s="241"/>
      <c r="DE2" s="241"/>
      <c r="DF2" s="241"/>
      <c r="DG2" s="241"/>
      <c r="DH2" s="241"/>
      <c r="DI2" s="241" t="s">
        <v>2656</v>
      </c>
      <c r="DJ2" s="244"/>
      <c r="DQ2" s="244"/>
      <c r="DR2" s="244"/>
      <c r="DS2" s="244"/>
      <c r="DT2" s="244"/>
      <c r="DU2" s="244"/>
      <c r="DV2" s="244"/>
      <c r="DW2" s="244"/>
      <c r="DX2" s="244"/>
      <c r="DY2" s="244"/>
      <c r="DZ2" s="244"/>
      <c r="EA2" s="244"/>
      <c r="EB2" s="244"/>
      <c r="EC2" s="244"/>
      <c r="ED2" s="244"/>
      <c r="EE2" s="244"/>
      <c r="EF2" s="244"/>
      <c r="EG2" s="244"/>
      <c r="EH2" s="244"/>
      <c r="EI2" s="245"/>
    </row>
    <row r="3">
      <c r="A3" s="105"/>
      <c r="B3" s="239" t="str">
        <f>IF(HomePage!C14&lt;&gt;"", REPLAYTODATA(HomePage!C14), "")</f>
        <v>Tacodad</v>
      </c>
      <c r="C3" s="236" t="s">
        <v>53</v>
      </c>
      <c r="D3" s="236" t="s">
        <v>23</v>
      </c>
      <c r="E3" s="236" t="s">
        <v>28</v>
      </c>
      <c r="F3" s="236" t="s">
        <v>34</v>
      </c>
      <c r="G3" s="236" t="s">
        <v>32</v>
      </c>
      <c r="H3" s="236" t="s">
        <v>35</v>
      </c>
      <c r="I3" s="236" t="s">
        <v>2657</v>
      </c>
      <c r="J3" s="236" t="s">
        <v>515</v>
      </c>
      <c r="K3" s="236" t="s">
        <v>357</v>
      </c>
      <c r="L3" s="236" t="s">
        <v>756</v>
      </c>
      <c r="M3" s="236" t="s">
        <v>767</v>
      </c>
      <c r="N3" s="236" t="s">
        <v>727</v>
      </c>
      <c r="O3" s="236" t="s">
        <v>670</v>
      </c>
      <c r="P3" s="236">
        <v>2.0</v>
      </c>
      <c r="Q3" s="244" t="s">
        <v>28</v>
      </c>
      <c r="R3" s="244" t="s">
        <v>50</v>
      </c>
      <c r="S3" s="244" t="s">
        <v>727</v>
      </c>
      <c r="T3" s="244" t="s">
        <v>52</v>
      </c>
      <c r="U3" s="244" t="s">
        <v>53</v>
      </c>
      <c r="V3" s="244" t="s">
        <v>28</v>
      </c>
      <c r="W3" s="244" t="s">
        <v>670</v>
      </c>
      <c r="X3" s="244" t="s">
        <v>727</v>
      </c>
      <c r="Y3" s="244" t="s">
        <v>2658</v>
      </c>
      <c r="Z3" s="244" t="s">
        <v>2659</v>
      </c>
      <c r="AA3" s="244" t="s">
        <v>2660</v>
      </c>
      <c r="AB3" s="244" t="s">
        <v>2661</v>
      </c>
      <c r="AC3" s="244" t="s">
        <v>2662</v>
      </c>
      <c r="AD3" s="244" t="s">
        <v>2663</v>
      </c>
      <c r="AE3" s="244" t="s">
        <v>53</v>
      </c>
      <c r="AF3" s="244" t="s">
        <v>28</v>
      </c>
      <c r="AG3" s="244" t="s">
        <v>35</v>
      </c>
      <c r="AH3" s="244" t="s">
        <v>23</v>
      </c>
      <c r="AI3" s="244" t="s">
        <v>670</v>
      </c>
      <c r="AJ3" s="244" t="s">
        <v>727</v>
      </c>
      <c r="AK3" s="244" t="s">
        <v>515</v>
      </c>
      <c r="AL3" s="244" t="s">
        <v>767</v>
      </c>
      <c r="AM3" s="244" t="s">
        <v>2664</v>
      </c>
      <c r="AN3" s="244" t="s">
        <v>2665</v>
      </c>
      <c r="AO3" s="244" t="s">
        <v>2666</v>
      </c>
      <c r="AP3" s="244" t="s">
        <v>2667</v>
      </c>
      <c r="AQ3" s="244" t="s">
        <v>2668</v>
      </c>
      <c r="AR3" s="244" t="s">
        <v>2669</v>
      </c>
      <c r="AS3" s="244" t="s">
        <v>2670</v>
      </c>
      <c r="AT3" s="244" t="s">
        <v>2671</v>
      </c>
      <c r="AU3" s="244" t="s">
        <v>2672</v>
      </c>
      <c r="AV3" s="244" t="s">
        <v>2673</v>
      </c>
      <c r="AW3" s="244" t="s">
        <v>2674</v>
      </c>
      <c r="AX3" s="244" t="s">
        <v>2675</v>
      </c>
      <c r="AY3" s="244" t="s">
        <v>2676</v>
      </c>
      <c r="AZ3" s="244" t="s">
        <v>2677</v>
      </c>
      <c r="BA3" s="244" t="s">
        <v>2678</v>
      </c>
      <c r="BB3" s="244" t="s">
        <v>2679</v>
      </c>
      <c r="BC3" s="244" t="s">
        <v>2680</v>
      </c>
      <c r="BD3" s="244" t="s">
        <v>2681</v>
      </c>
      <c r="BE3" s="244" t="s">
        <v>2682</v>
      </c>
      <c r="BF3" s="244"/>
      <c r="BG3" s="244"/>
      <c r="BH3" s="244"/>
      <c r="BI3" s="244"/>
      <c r="BJ3" s="244"/>
      <c r="BK3" s="244"/>
      <c r="BL3" s="244"/>
      <c r="BM3" s="244"/>
      <c r="BN3" s="244"/>
      <c r="BO3" s="244"/>
      <c r="BP3" s="244"/>
      <c r="BQ3" s="244"/>
      <c r="BR3" s="244"/>
      <c r="BS3" s="244"/>
      <c r="BT3" s="244"/>
      <c r="BU3" s="244"/>
      <c r="BV3" s="244"/>
      <c r="BW3" s="244"/>
      <c r="BX3" s="244"/>
      <c r="BY3" s="244"/>
      <c r="BZ3" s="244"/>
      <c r="CA3" s="244"/>
      <c r="CB3" s="244"/>
      <c r="CC3" s="244"/>
      <c r="CD3" s="244"/>
      <c r="CE3" s="244"/>
      <c r="CF3" s="244"/>
      <c r="CG3" s="244"/>
      <c r="CH3" s="244"/>
      <c r="CI3" s="244"/>
      <c r="CJ3" s="244"/>
      <c r="CK3" s="244"/>
      <c r="CL3" s="244"/>
      <c r="CM3" s="244"/>
      <c r="CN3" s="244"/>
      <c r="CO3" s="244"/>
      <c r="CP3" s="244"/>
      <c r="CQ3" s="244"/>
      <c r="CR3" s="244"/>
      <c r="CS3" s="244"/>
      <c r="CT3" s="241" t="str">
        <f t="shared" ref="CT3:CT102" si="3">(if(DD3 = "1", AE3, AI3))</f>
        <v>Alcremie-Matcha-Cream</v>
      </c>
      <c r="CU3" s="246" t="str">
        <f t="shared" ref="CU3:CU102" si="4">(if(DD3 = "1", AF3, AJ3))</f>
        <v>Skeledirge</v>
      </c>
      <c r="CV3" s="241" t="str">
        <f t="shared" ref="CV3:CV102" si="5">(if(DD3 = "1", AG3, AK3))</f>
        <v>Salamence</v>
      </c>
      <c r="CW3" s="246" t="str">
        <f t="shared" ref="CW3:CW102" si="6">(if(DD3 = "1", AH3, AL3))</f>
        <v>Weavile</v>
      </c>
      <c r="CX3" s="241" t="str">
        <f t="shared" ref="CX3:CX102" si="7">IF(DD3="1", U3, W3)</f>
        <v>Alcremie-Matcha-Cream</v>
      </c>
      <c r="CY3" s="241" t="str">
        <f t="shared" ref="CY3:CY102" si="8">IF(DD3="1", V3, X3)</f>
        <v>Skeledirge</v>
      </c>
      <c r="CZ3" s="241" t="str">
        <f t="shared" ref="CZ3:CZ102" si="9">IF(DD3="1", W3, U3)</f>
        <v>Hitmonlee</v>
      </c>
      <c r="DA3" s="246" t="str">
        <f t="shared" ref="DA3:DA102" si="10">IF(DD3="1", X3, V3)</f>
        <v>Gyarados</v>
      </c>
      <c r="DB3" s="246" t="str">
        <f t="shared" ref="DB3:DB102" si="11">(if(DD3 = "1", AK3, AG3))</f>
        <v>Clefable</v>
      </c>
      <c r="DC3" s="246" t="str">
        <f t="shared" ref="DC3:DC102" si="12">(if(DD3 = "1", AL3, AH3))</f>
        <v>Dragonite</v>
      </c>
      <c r="DD3" s="241" t="str">
        <f t="shared" ref="DD3:DD102" si="13">IF(DI3=B3,"1","2")</f>
        <v>1</v>
      </c>
      <c r="DE3" s="241" t="str">
        <f t="shared" ref="DE3:DE102" si="14">IF(DD3 = "1", Q3, S3)</f>
        <v>Skeledirge</v>
      </c>
      <c r="DF3" s="241" t="str">
        <f t="shared" ref="DF3:DF102" si="15">IF(DD3 = "1", R3, T3)</f>
        <v>Grass</v>
      </c>
      <c r="DG3" s="244" t="str">
        <f t="shared" ref="DG3:DG102" si="16">IF(DD3 = "1", S3, Q3)</f>
        <v>Gyarados</v>
      </c>
      <c r="DH3" s="244" t="str">
        <f t="shared" ref="DH3:DH102" si="17">IF(DD3 = "1", T3, R3)</f>
        <v>Flying</v>
      </c>
      <c r="DI3" s="244" t="str">
        <f>IF(COUNTIF(PlayerAltNames,B3)&gt;0, B3, I3)</f>
        <v>Tacodad</v>
      </c>
      <c r="DJ3" s="247" t="str">
        <f t="shared" ref="DJ3:DO3" si="1">IF(COUNTIF($I3,$DI3)&gt;0, J3, C3)</f>
        <v>Alcremie-Matcha-Cream</v>
      </c>
      <c r="DK3" s="247" t="str">
        <f t="shared" si="1"/>
        <v>Weavile</v>
      </c>
      <c r="DL3" s="247" t="str">
        <f t="shared" si="1"/>
        <v>Skeledirge</v>
      </c>
      <c r="DM3" s="247" t="str">
        <f t="shared" si="1"/>
        <v>Gholdengo</v>
      </c>
      <c r="DN3" s="247" t="str">
        <f t="shared" si="1"/>
        <v>Exeggutor-Alola</v>
      </c>
      <c r="DO3" s="247" t="str">
        <f t="shared" si="1"/>
        <v>Salamence</v>
      </c>
      <c r="DP3" s="244" t="str">
        <f t="shared" ref="DP3:DP102" si="19">IF(COUNTIF(I3,DI3) &gt; 0, B3, I3)</f>
        <v>DoByG</v>
      </c>
      <c r="DQ3" s="244" t="str">
        <f t="shared" ref="DQ3:DV3" si="2">IF(COUNTIF($I3,$DP3), J3, C3)</f>
        <v>Clefable</v>
      </c>
      <c r="DR3" s="244" t="str">
        <f t="shared" si="2"/>
        <v>Exeggutor</v>
      </c>
      <c r="DS3" s="244" t="str">
        <f t="shared" si="2"/>
        <v>Snorlax</v>
      </c>
      <c r="DT3" s="244" t="str">
        <f t="shared" si="2"/>
        <v>Dragonite</v>
      </c>
      <c r="DU3" s="244" t="str">
        <f t="shared" si="2"/>
        <v>Gyarados</v>
      </c>
      <c r="DV3" s="244" t="str">
        <f t="shared" si="2"/>
        <v>Hitmonlee</v>
      </c>
      <c r="DW3" s="241" t="str">
        <f>IF(HomePage!C14 &lt;&gt; "", IFS(AND(P3 = 1, COUNTIF(PlayerAltNames, B3)&gt;0), "Win", AND(P3 = 1, COUNTIF(PlayerAltNames, I3)&gt;0), "Loss", AND(P3 = 2, COUNTIF(PlayerAltNames, I3)&gt;0), "Win", AND(P3 = 2, COUNTIF(PlayerAltNames, B3)&gt;0), "Loss"), "")</f>
        <v>Loss</v>
      </c>
      <c r="DX3" s="244"/>
      <c r="DY3" s="244" t="str">
        <f t="shared" ref="DY3:DY102" si="21">CELL("address", INDEX(AM3:CQ3, MATCH("P1 MOVES START", AM3:CQ3, 0)))</f>
        <v>$AM$3</v>
      </c>
      <c r="DZ3" s="244" t="str">
        <f t="shared" ref="DZ3:DZ102" si="22">CELL("address", INDEX(AM3:CQ3, MATCH("P1 MOVES END", AM3:CQ3, 0)))</f>
        <v>$AT$3</v>
      </c>
      <c r="EA3" s="244" t="str">
        <f t="shared" ref="EA3:EA102" si="23">CELL("address", INDEX(AM3:CQ3, MATCH("P2 MOVES START", AM3:CQ3, 0)))</f>
        <v>$AU$3</v>
      </c>
      <c r="EB3" s="244" t="str">
        <f t="shared" ref="EB3:EB102" si="24">CELL("address", INDEX(AM3:CQ3, MATCH("P2 MOVES END", AM3:CQ3, 0)))</f>
        <v>$BE$3</v>
      </c>
      <c r="EC3" s="244" t="str">
        <f t="shared" ref="EC3:EC102" si="25">IF(DD3 = "1", CONCATENATE(DY3, ":", DZ3), CONCATENATE(EA3, ":", EB3))</f>
        <v>$AM$3:$AT$3</v>
      </c>
      <c r="ED3" s="244" t="str">
        <f t="shared" ref="ED3:ED102" si="26">SUBSTITUTE(EC3, "$", "")</f>
        <v>AM3:AT3</v>
      </c>
      <c r="EE3" s="244" t="str">
        <f t="shared" ref="EE3:EE102" si="27">IF(DD3 = "1", ("" &amp; Z3 &amp;  " -&gt; " &amp; AB3), ("" &amp; AA3 &amp;  " -&gt; " &amp; AC3))</f>
        <v>1032 -&gt; 1017</v>
      </c>
      <c r="EF3" s="244" t="str">
        <f t="shared" ref="EF3:EF102" si="28">IF(DD3 = "1", AA3, Z3)</f>
        <v>1037</v>
      </c>
      <c r="EG3" s="244"/>
      <c r="EH3" s="244"/>
      <c r="EI3" s="245"/>
    </row>
    <row r="4">
      <c r="A4" s="105"/>
      <c r="B4" s="239" t="str">
        <f>IF(HomePage!C15&lt;&gt;"", REPLAYTODATA(HomePage!C15), "")</f>
        <v>Tacodad</v>
      </c>
      <c r="C4" s="236" t="s">
        <v>53</v>
      </c>
      <c r="D4" s="236" t="s">
        <v>23</v>
      </c>
      <c r="E4" s="236" t="s">
        <v>28</v>
      </c>
      <c r="F4" s="236" t="s">
        <v>34</v>
      </c>
      <c r="G4" s="236" t="s">
        <v>32</v>
      </c>
      <c r="H4" s="236" t="s">
        <v>35</v>
      </c>
      <c r="I4" s="236" t="s">
        <v>2683</v>
      </c>
      <c r="J4" s="236" t="s">
        <v>2500</v>
      </c>
      <c r="K4" s="236" t="s">
        <v>140</v>
      </c>
      <c r="L4" s="236" t="s">
        <v>1055</v>
      </c>
      <c r="M4" s="236" t="s">
        <v>2537</v>
      </c>
      <c r="N4" s="236" t="s">
        <v>376</v>
      </c>
      <c r="O4" s="236" t="s">
        <v>869</v>
      </c>
      <c r="P4" s="236">
        <v>2.0</v>
      </c>
      <c r="Q4" s="244" t="s">
        <v>34</v>
      </c>
      <c r="R4" s="244" t="s">
        <v>51</v>
      </c>
      <c r="S4" s="244" t="s">
        <v>869</v>
      </c>
      <c r="T4" s="244" t="s">
        <v>48</v>
      </c>
      <c r="U4" s="244" t="s">
        <v>53</v>
      </c>
      <c r="V4" s="244" t="s">
        <v>35</v>
      </c>
      <c r="W4" s="244" t="s">
        <v>2500</v>
      </c>
      <c r="X4" s="244" t="s">
        <v>869</v>
      </c>
      <c r="Y4" s="244" t="s">
        <v>2658</v>
      </c>
      <c r="Z4" s="244" t="s">
        <v>2661</v>
      </c>
      <c r="AA4" s="244" t="s">
        <v>2684</v>
      </c>
      <c r="AB4" s="244" t="s">
        <v>2685</v>
      </c>
      <c r="AC4" s="244" t="s">
        <v>2686</v>
      </c>
      <c r="AD4" s="244" t="s">
        <v>2663</v>
      </c>
      <c r="AE4" s="244" t="s">
        <v>53</v>
      </c>
      <c r="AF4" s="244" t="s">
        <v>35</v>
      </c>
      <c r="AG4" s="244" t="s">
        <v>34</v>
      </c>
      <c r="AH4" s="244" t="s">
        <v>23</v>
      </c>
      <c r="AI4" s="244" t="s">
        <v>2500</v>
      </c>
      <c r="AJ4" s="244" t="s">
        <v>869</v>
      </c>
      <c r="AK4" s="244" t="s">
        <v>2537</v>
      </c>
      <c r="AL4" s="244" t="s">
        <v>376</v>
      </c>
      <c r="AM4" s="244" t="s">
        <v>2664</v>
      </c>
      <c r="AN4" s="244" t="s">
        <v>2687</v>
      </c>
      <c r="AO4" s="244" t="s">
        <v>2668</v>
      </c>
      <c r="AP4" s="244" t="s">
        <v>2688</v>
      </c>
      <c r="AQ4" s="244" t="s">
        <v>2689</v>
      </c>
      <c r="AR4" s="244" t="s">
        <v>2690</v>
      </c>
      <c r="AS4" s="244" t="s">
        <v>2670</v>
      </c>
      <c r="AT4" s="244" t="s">
        <v>2691</v>
      </c>
      <c r="AU4" s="244" t="s">
        <v>2692</v>
      </c>
      <c r="AV4" s="244" t="s">
        <v>2693</v>
      </c>
      <c r="AW4" s="244" t="s">
        <v>2671</v>
      </c>
      <c r="AX4" s="244" t="s">
        <v>2672</v>
      </c>
      <c r="AY4" s="244" t="s">
        <v>2694</v>
      </c>
      <c r="AZ4" s="244" t="s">
        <v>2695</v>
      </c>
      <c r="BA4" s="244" t="s">
        <v>2696</v>
      </c>
      <c r="BB4" s="244" t="s">
        <v>2697</v>
      </c>
      <c r="BC4" s="244" t="s">
        <v>2698</v>
      </c>
      <c r="BD4" s="244" t="s">
        <v>2699</v>
      </c>
      <c r="BE4" s="244" t="s">
        <v>2700</v>
      </c>
      <c r="BF4" s="244" t="s">
        <v>2701</v>
      </c>
      <c r="BG4" s="244" t="s">
        <v>2702</v>
      </c>
      <c r="BH4" s="244" t="s">
        <v>2682</v>
      </c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1" t="str">
        <f t="shared" si="3"/>
        <v>Alcremie-Matcha-Cream</v>
      </c>
      <c r="CU4" s="246" t="str">
        <f t="shared" si="4"/>
        <v>Salamence</v>
      </c>
      <c r="CV4" s="241" t="str">
        <f t="shared" si="5"/>
        <v>Gholdengo</v>
      </c>
      <c r="CW4" s="246" t="str">
        <f t="shared" si="6"/>
        <v>Weavile</v>
      </c>
      <c r="CX4" s="241" t="str">
        <f t="shared" si="7"/>
        <v>Alcremie-Matcha-Cream</v>
      </c>
      <c r="CY4" s="241" t="str">
        <f t="shared" si="8"/>
        <v>Salamence</v>
      </c>
      <c r="CZ4" s="241" t="str">
        <f t="shared" si="9"/>
        <v>Annihilape</v>
      </c>
      <c r="DA4" s="246" t="str">
        <f t="shared" si="10"/>
        <v>Umbreon</v>
      </c>
      <c r="DB4" s="246" t="str">
        <f t="shared" si="11"/>
        <v>Archaludon</v>
      </c>
      <c r="DC4" s="246" t="str">
        <f t="shared" si="12"/>
        <v>Ogerpon-Wellspring</v>
      </c>
      <c r="DD4" s="241" t="str">
        <f t="shared" si="13"/>
        <v>1</v>
      </c>
      <c r="DE4" s="241" t="str">
        <f t="shared" si="14"/>
        <v>Gholdengo</v>
      </c>
      <c r="DF4" s="241" t="str">
        <f t="shared" si="15"/>
        <v>Steel</v>
      </c>
      <c r="DG4" s="244" t="str">
        <f t="shared" si="16"/>
        <v>Umbreon</v>
      </c>
      <c r="DH4" s="244" t="str">
        <f t="shared" si="17"/>
        <v>Fairy</v>
      </c>
      <c r="DI4" s="244" t="str">
        <f>IF(COUNTIF(PlayerAltNames,B4)&gt;0, B4, I4)</f>
        <v>Tacodad</v>
      </c>
      <c r="DJ4" s="247" t="str">
        <f t="shared" ref="DJ4:DO4" si="18">IF(COUNTIF($I4,$DI4)&gt;0, J4, C4)</f>
        <v>Alcremie-Matcha-Cream</v>
      </c>
      <c r="DK4" s="247" t="str">
        <f t="shared" si="18"/>
        <v>Weavile</v>
      </c>
      <c r="DL4" s="247" t="str">
        <f t="shared" si="18"/>
        <v>Skeledirge</v>
      </c>
      <c r="DM4" s="247" t="str">
        <f t="shared" si="18"/>
        <v>Gholdengo</v>
      </c>
      <c r="DN4" s="247" t="str">
        <f t="shared" si="18"/>
        <v>Exeggutor-Alola</v>
      </c>
      <c r="DO4" s="247" t="str">
        <f t="shared" si="18"/>
        <v>Salamence</v>
      </c>
      <c r="DP4" s="244" t="str">
        <f t="shared" si="19"/>
        <v>diogo10egas</v>
      </c>
      <c r="DQ4" s="244" t="str">
        <f t="shared" ref="DQ4:DV4" si="20">IF(COUNTIF($I4,$DP4), J4, C4)</f>
        <v>Annihilape</v>
      </c>
      <c r="DR4" s="244" t="str">
        <f t="shared" si="20"/>
        <v>Maushold</v>
      </c>
      <c r="DS4" s="244" t="str">
        <f t="shared" si="20"/>
        <v>Pelipper</v>
      </c>
      <c r="DT4" s="244" t="str">
        <f t="shared" si="20"/>
        <v>Archaludon</v>
      </c>
      <c r="DU4" s="244" t="str">
        <f t="shared" si="20"/>
        <v>Ogerpon-Wellspring</v>
      </c>
      <c r="DV4" s="244" t="str">
        <f t="shared" si="20"/>
        <v>Umbreon</v>
      </c>
      <c r="DW4" s="241" t="str">
        <f>IF(HomePage!C15 &lt;&gt; "", IFS(AND(P4 = 1, COUNTIF(PlayerAltNames, B4)&gt;0), "Win", AND(P4 = 1, COUNTIF(PlayerAltNames, I4)&gt;0), "Loss", AND(P4 = 2, COUNTIF(PlayerAltNames, I4)&gt;0), "Win", AND(P4 = 2, COUNTIF(PlayerAltNames, B4)&gt;0), "Loss"), "")</f>
        <v>Loss</v>
      </c>
      <c r="DX4" s="244"/>
      <c r="DY4" s="244" t="str">
        <f t="shared" si="21"/>
        <v>$AM$4</v>
      </c>
      <c r="DZ4" s="244" t="str">
        <f t="shared" si="22"/>
        <v>$AW$4</v>
      </c>
      <c r="EA4" s="244" t="str">
        <f t="shared" si="23"/>
        <v>$AX$4</v>
      </c>
      <c r="EB4" s="244" t="str">
        <f t="shared" si="24"/>
        <v>$BH$4</v>
      </c>
      <c r="EC4" s="244" t="str">
        <f t="shared" si="25"/>
        <v>$AM$4:$AW$4</v>
      </c>
      <c r="ED4" s="244" t="str">
        <f t="shared" si="26"/>
        <v>AM4:AW4</v>
      </c>
      <c r="EE4" s="244" t="str">
        <f t="shared" si="27"/>
        <v>1017 -&gt; 1007</v>
      </c>
      <c r="EF4" s="244" t="str">
        <f t="shared" si="28"/>
        <v>1076</v>
      </c>
      <c r="EG4" s="244"/>
      <c r="EH4" s="244"/>
      <c r="EI4" s="245"/>
    </row>
    <row r="5">
      <c r="A5" s="105"/>
      <c r="B5" s="239" t="str">
        <f>IF(HomePage!C16&lt;&gt;"", REPLAYTODATA(HomePage!C16), "")</f>
        <v>Tacodad</v>
      </c>
      <c r="C5" s="236" t="s">
        <v>53</v>
      </c>
      <c r="D5" s="236" t="s">
        <v>23</v>
      </c>
      <c r="E5" s="236" t="s">
        <v>28</v>
      </c>
      <c r="F5" s="236" t="s">
        <v>34</v>
      </c>
      <c r="G5" s="236" t="s">
        <v>32</v>
      </c>
      <c r="H5" s="236" t="s">
        <v>35</v>
      </c>
      <c r="I5" s="236" t="s">
        <v>2703</v>
      </c>
      <c r="J5" s="236" t="s">
        <v>2521</v>
      </c>
      <c r="K5" s="236" t="s">
        <v>2704</v>
      </c>
      <c r="L5" s="236" t="s">
        <v>2540</v>
      </c>
      <c r="M5" s="236" t="s">
        <v>2063</v>
      </c>
      <c r="N5" s="236" t="s">
        <v>1759</v>
      </c>
      <c r="O5" s="236" t="s">
        <v>34</v>
      </c>
      <c r="P5" s="236">
        <v>2.0</v>
      </c>
      <c r="Q5" s="244" t="s">
        <v>28</v>
      </c>
      <c r="R5" s="244" t="s">
        <v>50</v>
      </c>
      <c r="S5" s="244" t="s">
        <v>1759</v>
      </c>
      <c r="T5" s="244" t="s">
        <v>462</v>
      </c>
      <c r="U5" s="244" t="s">
        <v>53</v>
      </c>
      <c r="V5" s="244" t="s">
        <v>28</v>
      </c>
      <c r="W5" s="244" t="s">
        <v>2540</v>
      </c>
      <c r="X5" s="244" t="s">
        <v>256</v>
      </c>
      <c r="Y5" s="244" t="s">
        <v>2658</v>
      </c>
      <c r="Z5" s="244" t="s">
        <v>2685</v>
      </c>
      <c r="AA5" s="244" t="s">
        <v>2705</v>
      </c>
      <c r="AB5" s="244" t="s">
        <v>2705</v>
      </c>
      <c r="AC5" s="244" t="s">
        <v>2706</v>
      </c>
      <c r="AD5" s="244" t="s">
        <v>2663</v>
      </c>
      <c r="AE5" s="244" t="s">
        <v>53</v>
      </c>
      <c r="AF5" s="244" t="s">
        <v>28</v>
      </c>
      <c r="AG5" s="244" t="s">
        <v>32</v>
      </c>
      <c r="AH5" s="244" t="s">
        <v>23</v>
      </c>
      <c r="AI5" s="244" t="s">
        <v>2540</v>
      </c>
      <c r="AJ5" s="244" t="s">
        <v>256</v>
      </c>
      <c r="AK5" s="244" t="s">
        <v>2063</v>
      </c>
      <c r="AL5" s="244" t="s">
        <v>1759</v>
      </c>
      <c r="AM5" s="244" t="s">
        <v>2664</v>
      </c>
      <c r="AN5" s="244" t="s">
        <v>2707</v>
      </c>
      <c r="AO5" s="244" t="s">
        <v>2708</v>
      </c>
      <c r="AP5" s="244" t="s">
        <v>2688</v>
      </c>
      <c r="AQ5" s="244" t="s">
        <v>2709</v>
      </c>
      <c r="AR5" s="244" t="s">
        <v>2692</v>
      </c>
      <c r="AS5" s="244" t="s">
        <v>2693</v>
      </c>
      <c r="AT5" s="244" t="s">
        <v>2671</v>
      </c>
      <c r="AU5" s="244" t="s">
        <v>2672</v>
      </c>
      <c r="AV5" s="244" t="s">
        <v>2710</v>
      </c>
      <c r="AW5" s="244" t="s">
        <v>2711</v>
      </c>
      <c r="AX5" s="244" t="s">
        <v>2712</v>
      </c>
      <c r="AY5" s="244" t="s">
        <v>2713</v>
      </c>
      <c r="AZ5" s="244" t="s">
        <v>2714</v>
      </c>
      <c r="BA5" s="244" t="s">
        <v>2715</v>
      </c>
      <c r="BB5" s="244" t="s">
        <v>2716</v>
      </c>
      <c r="BC5" s="244" t="s">
        <v>2717</v>
      </c>
      <c r="BD5" s="244" t="s">
        <v>2682</v>
      </c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4"/>
      <c r="CQ5" s="244"/>
      <c r="CR5" s="244"/>
      <c r="CS5" s="244"/>
      <c r="CT5" s="241" t="str">
        <f t="shared" si="3"/>
        <v>Alcremie-Matcha-Cream</v>
      </c>
      <c r="CU5" s="246" t="str">
        <f t="shared" si="4"/>
        <v>Skeledirge</v>
      </c>
      <c r="CV5" s="241" t="str">
        <f t="shared" si="5"/>
        <v>Exeggutor-Alola</v>
      </c>
      <c r="CW5" s="246" t="str">
        <f t="shared" si="6"/>
        <v>Weavile</v>
      </c>
      <c r="CX5" s="241" t="str">
        <f t="shared" si="7"/>
        <v>Alcremie-Matcha-Cream</v>
      </c>
      <c r="CY5" s="241" t="str">
        <f t="shared" si="8"/>
        <v>Skeledirge</v>
      </c>
      <c r="CZ5" s="241" t="str">
        <f t="shared" si="9"/>
        <v>Raging Bolt</v>
      </c>
      <c r="DA5" s="246" t="str">
        <f t="shared" si="10"/>
        <v>Urshifu-Rapid-Strike</v>
      </c>
      <c r="DB5" s="246" t="str">
        <f t="shared" si="11"/>
        <v>Incineroar</v>
      </c>
      <c r="DC5" s="246" t="str">
        <f t="shared" si="12"/>
        <v>Amoonguss</v>
      </c>
      <c r="DD5" s="241" t="str">
        <f t="shared" si="13"/>
        <v>1</v>
      </c>
      <c r="DE5" s="241" t="str">
        <f t="shared" si="14"/>
        <v>Skeledirge</v>
      </c>
      <c r="DF5" s="241" t="str">
        <f t="shared" si="15"/>
        <v>Grass</v>
      </c>
      <c r="DG5" s="244" t="str">
        <f t="shared" si="16"/>
        <v>Amoonguss</v>
      </c>
      <c r="DH5" s="244" t="str">
        <f t="shared" si="17"/>
        <v>Water</v>
      </c>
      <c r="DI5" s="244" t="str">
        <f>IF(COUNTIF(PlayerAltNames,B5)&gt;0, B5, I5)</f>
        <v>Tacodad</v>
      </c>
      <c r="DJ5" s="247" t="str">
        <f t="shared" ref="DJ5:DO5" si="29">IF(COUNTIF($I5,$DI5)&gt;0, J5, C5)</f>
        <v>Alcremie-Matcha-Cream</v>
      </c>
      <c r="DK5" s="247" t="str">
        <f t="shared" si="29"/>
        <v>Weavile</v>
      </c>
      <c r="DL5" s="247" t="str">
        <f t="shared" si="29"/>
        <v>Skeledirge</v>
      </c>
      <c r="DM5" s="247" t="str">
        <f t="shared" si="29"/>
        <v>Gholdengo</v>
      </c>
      <c r="DN5" s="247" t="str">
        <f t="shared" si="29"/>
        <v>Exeggutor-Alola</v>
      </c>
      <c r="DO5" s="247" t="str">
        <f t="shared" si="29"/>
        <v>Salamence</v>
      </c>
      <c r="DP5" s="244" t="str">
        <f t="shared" si="19"/>
        <v>Larateamo</v>
      </c>
      <c r="DQ5" s="244" t="str">
        <f t="shared" ref="DQ5:DV5" si="30">IF(COUNTIF($I5,$DP5), J5, C5)</f>
        <v>Chien-Pao</v>
      </c>
      <c r="DR5" s="244" t="str">
        <f t="shared" si="30"/>
        <v>Urshifu-*</v>
      </c>
      <c r="DS5" s="244" t="str">
        <f t="shared" si="30"/>
        <v>Raging Bolt</v>
      </c>
      <c r="DT5" s="244" t="str">
        <f t="shared" si="30"/>
        <v>Incineroar</v>
      </c>
      <c r="DU5" s="244" t="str">
        <f t="shared" si="30"/>
        <v>Amoonguss</v>
      </c>
      <c r="DV5" s="244" t="str">
        <f t="shared" si="30"/>
        <v>Gholdengo</v>
      </c>
      <c r="DW5" s="241" t="str">
        <f>IF(HomePage!C16 &lt;&gt; "", IFS(AND(P5 = 1, COUNTIF(PlayerAltNames, B5)&gt;0), "Win", AND(P5 = 1, COUNTIF(PlayerAltNames, I5)&gt;0), "Loss", AND(P5 = 2, COUNTIF(PlayerAltNames, I5)&gt;0), "Win", AND(P5 = 2, COUNTIF(PlayerAltNames, B5)&gt;0), "Loss"), "")</f>
        <v>Loss</v>
      </c>
      <c r="DX5" s="244"/>
      <c r="DY5" s="244" t="str">
        <f t="shared" si="21"/>
        <v>$AM$5</v>
      </c>
      <c r="DZ5" s="244" t="str">
        <f t="shared" si="22"/>
        <v>$AT$5</v>
      </c>
      <c r="EA5" s="244" t="str">
        <f t="shared" si="23"/>
        <v>$AU$5</v>
      </c>
      <c r="EB5" s="244" t="str">
        <f t="shared" si="24"/>
        <v>$BD$5</v>
      </c>
      <c r="EC5" s="244" t="str">
        <f t="shared" si="25"/>
        <v>$AM$5:$AT$5</v>
      </c>
      <c r="ED5" s="244" t="str">
        <f t="shared" si="26"/>
        <v>AM5:AT5</v>
      </c>
      <c r="EE5" s="244" t="str">
        <f t="shared" si="27"/>
        <v>1007 -&gt; 1000</v>
      </c>
      <c r="EF5" s="244" t="str">
        <f t="shared" si="28"/>
        <v>1000</v>
      </c>
      <c r="EG5" s="244"/>
      <c r="EH5" s="244"/>
      <c r="EI5" s="245"/>
    </row>
    <row r="6">
      <c r="A6" s="105"/>
      <c r="B6" s="239" t="str">
        <f>IF(HomePage!C17&lt;&gt;"", REPLAYTODATA(HomePage!C17), "")</f>
        <v>Tacodad</v>
      </c>
      <c r="C6" s="236" t="s">
        <v>53</v>
      </c>
      <c r="D6" s="236" t="s">
        <v>23</v>
      </c>
      <c r="E6" s="236" t="s">
        <v>28</v>
      </c>
      <c r="F6" s="236" t="s">
        <v>34</v>
      </c>
      <c r="G6" s="236" t="s">
        <v>32</v>
      </c>
      <c r="H6" s="236" t="s">
        <v>35</v>
      </c>
      <c r="I6" s="236" t="s">
        <v>2718</v>
      </c>
      <c r="J6" s="236" t="s">
        <v>2063</v>
      </c>
      <c r="K6" s="236" t="s">
        <v>2245</v>
      </c>
      <c r="L6" s="236" t="s">
        <v>383</v>
      </c>
      <c r="M6" s="236" t="s">
        <v>2502</v>
      </c>
      <c r="N6" s="236" t="s">
        <v>2540</v>
      </c>
      <c r="O6" s="236" t="s">
        <v>2704</v>
      </c>
      <c r="P6" s="236">
        <v>2.0</v>
      </c>
      <c r="Q6" s="244" t="s">
        <v>35</v>
      </c>
      <c r="R6" s="244" t="s">
        <v>52</v>
      </c>
      <c r="S6" s="244" t="s">
        <v>383</v>
      </c>
      <c r="T6" s="244" t="s">
        <v>448</v>
      </c>
      <c r="U6" s="244" t="s">
        <v>35</v>
      </c>
      <c r="V6" s="244" t="s">
        <v>53</v>
      </c>
      <c r="W6" s="244" t="s">
        <v>256</v>
      </c>
      <c r="X6" s="244" t="s">
        <v>2502</v>
      </c>
      <c r="Y6" s="244" t="s">
        <v>2658</v>
      </c>
      <c r="Z6" s="244" t="s">
        <v>2705</v>
      </c>
      <c r="AA6" s="244" t="s">
        <v>2705</v>
      </c>
      <c r="AB6" s="244" t="s">
        <v>2705</v>
      </c>
      <c r="AC6" s="244" t="s">
        <v>2719</v>
      </c>
      <c r="AD6" s="244" t="s">
        <v>2663</v>
      </c>
      <c r="AE6" s="244" t="s">
        <v>35</v>
      </c>
      <c r="AF6" s="244" t="s">
        <v>53</v>
      </c>
      <c r="AG6" s="244" t="s">
        <v>23</v>
      </c>
      <c r="AH6" s="244" t="s">
        <v>28</v>
      </c>
      <c r="AI6" s="244" t="s">
        <v>256</v>
      </c>
      <c r="AJ6" s="244" t="s">
        <v>2502</v>
      </c>
      <c r="AK6" s="244" t="s">
        <v>383</v>
      </c>
      <c r="AL6" s="244" t="s">
        <v>2063</v>
      </c>
      <c r="AM6" s="244" t="s">
        <v>2664</v>
      </c>
      <c r="AN6" s="244" t="s">
        <v>2687</v>
      </c>
      <c r="AO6" s="244" t="s">
        <v>2668</v>
      </c>
      <c r="AP6" s="244" t="s">
        <v>2720</v>
      </c>
      <c r="AQ6" s="244" t="s">
        <v>2688</v>
      </c>
      <c r="AR6" s="244" t="s">
        <v>2689</v>
      </c>
      <c r="AS6" s="244" t="s">
        <v>2721</v>
      </c>
      <c r="AT6" s="244" t="s">
        <v>2722</v>
      </c>
      <c r="AU6" s="244" t="s">
        <v>2723</v>
      </c>
      <c r="AV6" s="244" t="s">
        <v>2691</v>
      </c>
      <c r="AW6" s="244" t="s">
        <v>2724</v>
      </c>
      <c r="AX6" s="244" t="s">
        <v>2671</v>
      </c>
      <c r="AY6" s="244" t="s">
        <v>2672</v>
      </c>
      <c r="AZ6" s="244" t="s">
        <v>2725</v>
      </c>
      <c r="BA6" s="244" t="s">
        <v>2726</v>
      </c>
      <c r="BB6" s="244" t="s">
        <v>2727</v>
      </c>
      <c r="BC6" s="244" t="s">
        <v>2728</v>
      </c>
      <c r="BD6" s="244" t="s">
        <v>2729</v>
      </c>
      <c r="BE6" s="244" t="s">
        <v>2730</v>
      </c>
      <c r="BF6" s="244" t="s">
        <v>2731</v>
      </c>
      <c r="BG6" s="244" t="s">
        <v>2714</v>
      </c>
      <c r="BH6" s="244" t="s">
        <v>2732</v>
      </c>
      <c r="BI6" s="244" t="s">
        <v>2716</v>
      </c>
      <c r="BJ6" s="244" t="s">
        <v>2682</v>
      </c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44"/>
      <c r="CC6" s="244"/>
      <c r="CD6" s="244"/>
      <c r="CE6" s="244"/>
      <c r="CF6" s="244"/>
      <c r="CG6" s="244"/>
      <c r="CH6" s="244"/>
      <c r="CI6" s="244"/>
      <c r="CJ6" s="244"/>
      <c r="CK6" s="244"/>
      <c r="CL6" s="244"/>
      <c r="CM6" s="244"/>
      <c r="CN6" s="244"/>
      <c r="CO6" s="244"/>
      <c r="CP6" s="244"/>
      <c r="CQ6" s="244"/>
      <c r="CR6" s="244"/>
      <c r="CS6" s="244"/>
      <c r="CT6" s="241" t="str">
        <f t="shared" si="3"/>
        <v>Salamence</v>
      </c>
      <c r="CU6" s="246" t="str">
        <f t="shared" si="4"/>
        <v>Alcremie-Matcha-Cream</v>
      </c>
      <c r="CV6" s="241" t="str">
        <f t="shared" si="5"/>
        <v>Weavile</v>
      </c>
      <c r="CW6" s="246" t="str">
        <f t="shared" si="6"/>
        <v>Skeledirge</v>
      </c>
      <c r="CX6" s="241" t="str">
        <f t="shared" si="7"/>
        <v>Salamence</v>
      </c>
      <c r="CY6" s="241" t="str">
        <f t="shared" si="8"/>
        <v>Alcremie-Matcha-Cream</v>
      </c>
      <c r="CZ6" s="241" t="str">
        <f t="shared" si="9"/>
        <v>Urshifu-Rapid-Strike</v>
      </c>
      <c r="DA6" s="246" t="str">
        <f t="shared" si="10"/>
        <v>Farigiraf</v>
      </c>
      <c r="DB6" s="246" t="str">
        <f t="shared" si="11"/>
        <v>Ursaluna-Bloodmoon</v>
      </c>
      <c r="DC6" s="246" t="str">
        <f t="shared" si="12"/>
        <v>Incineroar</v>
      </c>
      <c r="DD6" s="241" t="str">
        <f t="shared" si="13"/>
        <v>1</v>
      </c>
      <c r="DE6" s="241" t="str">
        <f t="shared" si="14"/>
        <v>Salamence</v>
      </c>
      <c r="DF6" s="241" t="str">
        <f t="shared" si="15"/>
        <v>Flying</v>
      </c>
      <c r="DG6" s="244" t="str">
        <f t="shared" si="16"/>
        <v>Ursaluna-Bloodmoon</v>
      </c>
      <c r="DH6" s="244" t="str">
        <f t="shared" si="17"/>
        <v>Normal</v>
      </c>
      <c r="DI6" s="244" t="str">
        <f>IF(COUNTIF(PlayerAltNames,B6)&gt;0, B6, I6)</f>
        <v>Tacodad</v>
      </c>
      <c r="DJ6" s="247" t="str">
        <f t="shared" ref="DJ6:DO6" si="31">IF(COUNTIF($I6,$DI6)&gt;0, J6, C6)</f>
        <v>Alcremie-Matcha-Cream</v>
      </c>
      <c r="DK6" s="247" t="str">
        <f t="shared" si="31"/>
        <v>Weavile</v>
      </c>
      <c r="DL6" s="247" t="str">
        <f t="shared" si="31"/>
        <v>Skeledirge</v>
      </c>
      <c r="DM6" s="247" t="str">
        <f t="shared" si="31"/>
        <v>Gholdengo</v>
      </c>
      <c r="DN6" s="247" t="str">
        <f t="shared" si="31"/>
        <v>Exeggutor-Alola</v>
      </c>
      <c r="DO6" s="247" t="str">
        <f t="shared" si="31"/>
        <v>Salamence</v>
      </c>
      <c r="DP6" s="244" t="str">
        <f t="shared" si="19"/>
        <v>thaoss</v>
      </c>
      <c r="DQ6" s="244" t="str">
        <f t="shared" ref="DQ6:DV6" si="32">IF(COUNTIF($I6,$DP6), J6, C6)</f>
        <v>Incineroar</v>
      </c>
      <c r="DR6" s="244" t="str">
        <f t="shared" si="32"/>
        <v>Rillaboom</v>
      </c>
      <c r="DS6" s="244" t="str">
        <f t="shared" si="32"/>
        <v>Ursaluna-Bloodmoon</v>
      </c>
      <c r="DT6" s="244" t="str">
        <f t="shared" si="32"/>
        <v>Farigiraf</v>
      </c>
      <c r="DU6" s="244" t="str">
        <f t="shared" si="32"/>
        <v>Raging Bolt</v>
      </c>
      <c r="DV6" s="244" t="str">
        <f t="shared" si="32"/>
        <v>Urshifu-*</v>
      </c>
      <c r="DW6" s="241" t="str">
        <f>IF(HomePage!C17 &lt;&gt; "", IFS(AND(P6 = 1, COUNTIF(PlayerAltNames, B6)&gt;0), "Win", AND(P6 = 1, COUNTIF(PlayerAltNames, I6)&gt;0), "Loss", AND(P6 = 2, COUNTIF(PlayerAltNames, I6)&gt;0), "Win", AND(P6 = 2, COUNTIF(PlayerAltNames, B6)&gt;0), "Loss"), "")</f>
        <v>Loss</v>
      </c>
      <c r="DX6" s="244"/>
      <c r="DY6" s="244" t="str">
        <f t="shared" si="21"/>
        <v>$AM$6</v>
      </c>
      <c r="DZ6" s="244" t="str">
        <f t="shared" si="22"/>
        <v>$AX$6</v>
      </c>
      <c r="EA6" s="244" t="str">
        <f t="shared" si="23"/>
        <v>$AY$6</v>
      </c>
      <c r="EB6" s="244" t="str">
        <f t="shared" si="24"/>
        <v>$BJ$6</v>
      </c>
      <c r="EC6" s="244" t="str">
        <f t="shared" si="25"/>
        <v>$AM$6:$AX$6</v>
      </c>
      <c r="ED6" s="244" t="str">
        <f t="shared" si="26"/>
        <v>AM6:AX6</v>
      </c>
      <c r="EE6" s="244" t="str">
        <f t="shared" si="27"/>
        <v>1000 -&gt; 1000</v>
      </c>
      <c r="EF6" s="244" t="str">
        <f t="shared" si="28"/>
        <v>1000</v>
      </c>
      <c r="EG6" s="244"/>
      <c r="EH6" s="244"/>
      <c r="EI6" s="245"/>
    </row>
    <row r="7">
      <c r="A7" s="105"/>
      <c r="B7" s="239" t="str">
        <f>IF(HomePage!C18&lt;&gt;"", REPLAYTODATA(HomePage!C18), "")</f>
        <v/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4"/>
      <c r="CA7" s="244"/>
      <c r="CB7" s="244"/>
      <c r="CC7" s="244"/>
      <c r="CD7" s="244"/>
      <c r="CE7" s="244"/>
      <c r="CF7" s="244"/>
      <c r="CG7" s="244"/>
      <c r="CH7" s="244"/>
      <c r="CI7" s="244"/>
      <c r="CJ7" s="244"/>
      <c r="CK7" s="244"/>
      <c r="CL7" s="244"/>
      <c r="CM7" s="244"/>
      <c r="CN7" s="244"/>
      <c r="CO7" s="244"/>
      <c r="CP7" s="244"/>
      <c r="CQ7" s="244"/>
      <c r="CR7" s="244"/>
      <c r="CS7" s="244"/>
      <c r="CT7" s="241" t="str">
        <f t="shared" si="3"/>
        <v/>
      </c>
      <c r="CU7" s="246" t="str">
        <f t="shared" si="4"/>
        <v/>
      </c>
      <c r="CV7" s="241" t="str">
        <f t="shared" si="5"/>
        <v/>
      </c>
      <c r="CW7" s="246" t="str">
        <f t="shared" si="6"/>
        <v/>
      </c>
      <c r="CX7" s="241" t="str">
        <f t="shared" si="7"/>
        <v/>
      </c>
      <c r="CY7" s="241" t="str">
        <f t="shared" si="8"/>
        <v/>
      </c>
      <c r="CZ7" s="241" t="str">
        <f t="shared" si="9"/>
        <v/>
      </c>
      <c r="DA7" s="246" t="str">
        <f t="shared" si="10"/>
        <v/>
      </c>
      <c r="DB7" s="246" t="str">
        <f t="shared" si="11"/>
        <v/>
      </c>
      <c r="DC7" s="246" t="str">
        <f t="shared" si="12"/>
        <v/>
      </c>
      <c r="DD7" s="241" t="str">
        <f t="shared" si="13"/>
        <v>1</v>
      </c>
      <c r="DE7" s="241" t="str">
        <f t="shared" si="14"/>
        <v/>
      </c>
      <c r="DF7" s="241" t="str">
        <f t="shared" si="15"/>
        <v/>
      </c>
      <c r="DG7" s="244" t="str">
        <f t="shared" si="16"/>
        <v/>
      </c>
      <c r="DH7" s="244" t="str">
        <f t="shared" si="17"/>
        <v/>
      </c>
      <c r="DI7" s="244" t="str">
        <f>IF(COUNTIF(PlayerAltNames,B7)&gt;0, B7, I7)</f>
        <v/>
      </c>
      <c r="DJ7" s="247" t="str">
        <f t="shared" ref="DJ7:DO7" si="33">IF(COUNTIF($I7,$DI7)&gt;0, J7, C7)</f>
        <v/>
      </c>
      <c r="DK7" s="247" t="str">
        <f t="shared" si="33"/>
        <v/>
      </c>
      <c r="DL7" s="247" t="str">
        <f t="shared" si="33"/>
        <v/>
      </c>
      <c r="DM7" s="247" t="str">
        <f t="shared" si="33"/>
        <v/>
      </c>
      <c r="DN7" s="247" t="str">
        <f t="shared" si="33"/>
        <v/>
      </c>
      <c r="DO7" s="247" t="str">
        <f t="shared" si="33"/>
        <v/>
      </c>
      <c r="DP7" s="244" t="str">
        <f t="shared" si="19"/>
        <v/>
      </c>
      <c r="DQ7" s="244" t="str">
        <f t="shared" ref="DQ7:DV7" si="34">IF(COUNTIF($I7,$DP7), J7, C7)</f>
        <v/>
      </c>
      <c r="DR7" s="244" t="str">
        <f t="shared" si="34"/>
        <v/>
      </c>
      <c r="DS7" s="244" t="str">
        <f t="shared" si="34"/>
        <v/>
      </c>
      <c r="DT7" s="244" t="str">
        <f t="shared" si="34"/>
        <v/>
      </c>
      <c r="DU7" s="244" t="str">
        <f t="shared" si="34"/>
        <v/>
      </c>
      <c r="DV7" s="244" t="str">
        <f t="shared" si="34"/>
        <v/>
      </c>
      <c r="DW7" s="241" t="str">
        <f>IF(HomePage!C18 &lt;&gt; "", IFS(AND(P7 = 1, COUNTIF(PlayerAltNames, B7)&gt;0), "Win", AND(P7 = 1, COUNTIF(PlayerAltNames, I7)&gt;0), "Loss", AND(P7 = 2, COUNTIF(PlayerAltNames, I7)&gt;0), "Win", AND(P7 = 2, COUNTIF(PlayerAltNames, B7)&gt;0), "Loss"), "")</f>
        <v/>
      </c>
      <c r="DX7" s="244"/>
      <c r="DY7" s="244" t="str">
        <f t="shared" si="21"/>
        <v>#N/A</v>
      </c>
      <c r="DZ7" s="244" t="str">
        <f t="shared" si="22"/>
        <v>#N/A</v>
      </c>
      <c r="EA7" s="244" t="str">
        <f t="shared" si="23"/>
        <v>#N/A</v>
      </c>
      <c r="EB7" s="244" t="str">
        <f t="shared" si="24"/>
        <v>#N/A</v>
      </c>
      <c r="EC7" s="244" t="str">
        <f t="shared" si="25"/>
        <v>#N/A</v>
      </c>
      <c r="ED7" s="244" t="str">
        <f t="shared" si="26"/>
        <v>#N/A</v>
      </c>
      <c r="EE7" s="244" t="str">
        <f t="shared" si="27"/>
        <v> -&gt; </v>
      </c>
      <c r="EF7" s="244" t="str">
        <f t="shared" si="28"/>
        <v/>
      </c>
      <c r="EG7" s="244"/>
      <c r="EH7" s="244"/>
      <c r="EI7" s="245"/>
    </row>
    <row r="8">
      <c r="A8" s="105"/>
      <c r="B8" s="239" t="str">
        <f>IF(HomePage!C19&lt;&gt;"", REPLAYTODATA(HomePage!C19), "")</f>
        <v/>
      </c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4"/>
      <c r="BP8" s="244"/>
      <c r="BQ8" s="244"/>
      <c r="BR8" s="244"/>
      <c r="BS8" s="244"/>
      <c r="BT8" s="244"/>
      <c r="BU8" s="244"/>
      <c r="BV8" s="244"/>
      <c r="BW8" s="244"/>
      <c r="BX8" s="244"/>
      <c r="BY8" s="244"/>
      <c r="BZ8" s="244"/>
      <c r="CA8" s="244"/>
      <c r="CB8" s="244"/>
      <c r="CC8" s="244"/>
      <c r="CD8" s="244"/>
      <c r="CE8" s="244"/>
      <c r="CF8" s="244"/>
      <c r="CG8" s="244"/>
      <c r="CH8" s="244"/>
      <c r="CI8" s="244"/>
      <c r="CJ8" s="244"/>
      <c r="CK8" s="244"/>
      <c r="CL8" s="244"/>
      <c r="CM8" s="244"/>
      <c r="CN8" s="244"/>
      <c r="CO8" s="244"/>
      <c r="CP8" s="244"/>
      <c r="CQ8" s="244"/>
      <c r="CR8" s="244"/>
      <c r="CS8" s="244"/>
      <c r="CT8" s="241" t="str">
        <f t="shared" si="3"/>
        <v/>
      </c>
      <c r="CU8" s="246" t="str">
        <f t="shared" si="4"/>
        <v/>
      </c>
      <c r="CV8" s="241" t="str">
        <f t="shared" si="5"/>
        <v/>
      </c>
      <c r="CW8" s="246" t="str">
        <f t="shared" si="6"/>
        <v/>
      </c>
      <c r="CX8" s="241" t="str">
        <f t="shared" si="7"/>
        <v/>
      </c>
      <c r="CY8" s="241" t="str">
        <f t="shared" si="8"/>
        <v/>
      </c>
      <c r="CZ8" s="241" t="str">
        <f t="shared" si="9"/>
        <v/>
      </c>
      <c r="DA8" s="246" t="str">
        <f t="shared" si="10"/>
        <v/>
      </c>
      <c r="DB8" s="246" t="str">
        <f t="shared" si="11"/>
        <v/>
      </c>
      <c r="DC8" s="246" t="str">
        <f t="shared" si="12"/>
        <v/>
      </c>
      <c r="DD8" s="241" t="str">
        <f t="shared" si="13"/>
        <v>1</v>
      </c>
      <c r="DE8" s="241" t="str">
        <f t="shared" si="14"/>
        <v/>
      </c>
      <c r="DF8" s="241" t="str">
        <f t="shared" si="15"/>
        <v/>
      </c>
      <c r="DG8" s="244" t="str">
        <f t="shared" si="16"/>
        <v/>
      </c>
      <c r="DH8" s="244" t="str">
        <f t="shared" si="17"/>
        <v/>
      </c>
      <c r="DI8" s="244" t="str">
        <f>IF(COUNTIF(PlayerAltNames,B8)&gt;0, B8, I8)</f>
        <v/>
      </c>
      <c r="DJ8" s="247" t="str">
        <f t="shared" ref="DJ8:DO8" si="35">IF(COUNTIF($I8,$DI8)&gt;0, J8, C8)</f>
        <v/>
      </c>
      <c r="DK8" s="247" t="str">
        <f t="shared" si="35"/>
        <v/>
      </c>
      <c r="DL8" s="247" t="str">
        <f t="shared" si="35"/>
        <v/>
      </c>
      <c r="DM8" s="247" t="str">
        <f t="shared" si="35"/>
        <v/>
      </c>
      <c r="DN8" s="247" t="str">
        <f t="shared" si="35"/>
        <v/>
      </c>
      <c r="DO8" s="247" t="str">
        <f t="shared" si="35"/>
        <v/>
      </c>
      <c r="DP8" s="244" t="str">
        <f t="shared" si="19"/>
        <v/>
      </c>
      <c r="DQ8" s="244" t="str">
        <f t="shared" ref="DQ8:DV8" si="36">IF(COUNTIF($I8,$DP8), J8, C8)</f>
        <v/>
      </c>
      <c r="DR8" s="244" t="str">
        <f t="shared" si="36"/>
        <v/>
      </c>
      <c r="DS8" s="244" t="str">
        <f t="shared" si="36"/>
        <v/>
      </c>
      <c r="DT8" s="244" t="str">
        <f t="shared" si="36"/>
        <v/>
      </c>
      <c r="DU8" s="244" t="str">
        <f t="shared" si="36"/>
        <v/>
      </c>
      <c r="DV8" s="244" t="str">
        <f t="shared" si="36"/>
        <v/>
      </c>
      <c r="DW8" s="241" t="str">
        <f>IF(HomePage!C19 &lt;&gt; "", IFS(AND(P8 = 1, COUNTIF(PlayerAltNames, B8)&gt;0), "Win", AND(P8 = 1, COUNTIF(PlayerAltNames, I8)&gt;0), "Loss", AND(P8 = 2, COUNTIF(PlayerAltNames, I8)&gt;0), "Win", AND(P8 = 2, COUNTIF(PlayerAltNames, B8)&gt;0), "Loss"), "")</f>
        <v/>
      </c>
      <c r="DX8" s="244"/>
      <c r="DY8" s="244" t="str">
        <f t="shared" si="21"/>
        <v>#N/A</v>
      </c>
      <c r="DZ8" s="244" t="str">
        <f t="shared" si="22"/>
        <v>#N/A</v>
      </c>
      <c r="EA8" s="244" t="str">
        <f t="shared" si="23"/>
        <v>#N/A</v>
      </c>
      <c r="EB8" s="244" t="str">
        <f t="shared" si="24"/>
        <v>#N/A</v>
      </c>
      <c r="EC8" s="244" t="str">
        <f t="shared" si="25"/>
        <v>#N/A</v>
      </c>
      <c r="ED8" s="244" t="str">
        <f t="shared" si="26"/>
        <v>#N/A</v>
      </c>
      <c r="EE8" s="244" t="str">
        <f t="shared" si="27"/>
        <v> -&gt; </v>
      </c>
      <c r="EF8" s="244" t="str">
        <f t="shared" si="28"/>
        <v/>
      </c>
      <c r="EG8" s="244"/>
      <c r="EH8" s="244"/>
      <c r="EI8" s="245"/>
    </row>
    <row r="9">
      <c r="A9" s="105"/>
      <c r="B9" s="239" t="str">
        <f>IF(HomePage!C20&lt;&gt;"", REPLAYTODATA(HomePage!C20), "")</f>
        <v/>
      </c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  <c r="BN9" s="244"/>
      <c r="BO9" s="244"/>
      <c r="BP9" s="244"/>
      <c r="BQ9" s="244"/>
      <c r="BR9" s="244"/>
      <c r="BS9" s="244"/>
      <c r="BT9" s="244"/>
      <c r="BU9" s="244"/>
      <c r="BV9" s="244"/>
      <c r="BW9" s="244"/>
      <c r="BX9" s="244"/>
      <c r="BY9" s="244"/>
      <c r="BZ9" s="244"/>
      <c r="CA9" s="244"/>
      <c r="CB9" s="244"/>
      <c r="CC9" s="244"/>
      <c r="CD9" s="244"/>
      <c r="CE9" s="244"/>
      <c r="CF9" s="244"/>
      <c r="CG9" s="244"/>
      <c r="CH9" s="244"/>
      <c r="CI9" s="244"/>
      <c r="CJ9" s="244"/>
      <c r="CK9" s="244"/>
      <c r="CL9" s="244"/>
      <c r="CM9" s="244"/>
      <c r="CN9" s="244"/>
      <c r="CO9" s="244"/>
      <c r="CP9" s="244"/>
      <c r="CQ9" s="244"/>
      <c r="CR9" s="244"/>
      <c r="CS9" s="244"/>
      <c r="CT9" s="241" t="str">
        <f t="shared" si="3"/>
        <v/>
      </c>
      <c r="CU9" s="246" t="str">
        <f t="shared" si="4"/>
        <v/>
      </c>
      <c r="CV9" s="241" t="str">
        <f t="shared" si="5"/>
        <v/>
      </c>
      <c r="CW9" s="246" t="str">
        <f t="shared" si="6"/>
        <v/>
      </c>
      <c r="CX9" s="241" t="str">
        <f t="shared" si="7"/>
        <v/>
      </c>
      <c r="CY9" s="241" t="str">
        <f t="shared" si="8"/>
        <v/>
      </c>
      <c r="CZ9" s="241" t="str">
        <f t="shared" si="9"/>
        <v/>
      </c>
      <c r="DA9" s="246" t="str">
        <f t="shared" si="10"/>
        <v/>
      </c>
      <c r="DB9" s="246" t="str">
        <f t="shared" si="11"/>
        <v/>
      </c>
      <c r="DC9" s="246" t="str">
        <f t="shared" si="12"/>
        <v/>
      </c>
      <c r="DD9" s="241" t="str">
        <f t="shared" si="13"/>
        <v>1</v>
      </c>
      <c r="DE9" s="241" t="str">
        <f t="shared" si="14"/>
        <v/>
      </c>
      <c r="DF9" s="241" t="str">
        <f t="shared" si="15"/>
        <v/>
      </c>
      <c r="DG9" s="244" t="str">
        <f t="shared" si="16"/>
        <v/>
      </c>
      <c r="DH9" s="244" t="str">
        <f t="shared" si="17"/>
        <v/>
      </c>
      <c r="DI9" s="244" t="str">
        <f>IF(COUNTIF(PlayerAltNames,B9)&gt;0, B9, I9)</f>
        <v/>
      </c>
      <c r="DJ9" s="247" t="str">
        <f t="shared" ref="DJ9:DO9" si="37">IF(COUNTIF($I9,$DI9)&gt;0, J9, C9)</f>
        <v/>
      </c>
      <c r="DK9" s="247" t="str">
        <f t="shared" si="37"/>
        <v/>
      </c>
      <c r="DL9" s="247" t="str">
        <f t="shared" si="37"/>
        <v/>
      </c>
      <c r="DM9" s="247" t="str">
        <f t="shared" si="37"/>
        <v/>
      </c>
      <c r="DN9" s="247" t="str">
        <f t="shared" si="37"/>
        <v/>
      </c>
      <c r="DO9" s="247" t="str">
        <f t="shared" si="37"/>
        <v/>
      </c>
      <c r="DP9" s="244" t="str">
        <f t="shared" si="19"/>
        <v/>
      </c>
      <c r="DQ9" s="244" t="str">
        <f t="shared" ref="DQ9:DV9" si="38">IF(COUNTIF($I9,$DP9), J9, C9)</f>
        <v/>
      </c>
      <c r="DR9" s="244" t="str">
        <f t="shared" si="38"/>
        <v/>
      </c>
      <c r="DS9" s="244" t="str">
        <f t="shared" si="38"/>
        <v/>
      </c>
      <c r="DT9" s="244" t="str">
        <f t="shared" si="38"/>
        <v/>
      </c>
      <c r="DU9" s="244" t="str">
        <f t="shared" si="38"/>
        <v/>
      </c>
      <c r="DV9" s="244" t="str">
        <f t="shared" si="38"/>
        <v/>
      </c>
      <c r="DW9" s="241" t="str">
        <f>IF(HomePage!C20 &lt;&gt; "", IFS(AND(P9 = 1, COUNTIF(PlayerAltNames, B9)&gt;0), "Win", AND(P9 = 1, COUNTIF(PlayerAltNames, I9)&gt;0), "Loss", AND(P9 = 2, COUNTIF(PlayerAltNames, I9)&gt;0), "Win", AND(P9 = 2, COUNTIF(PlayerAltNames, B9)&gt;0), "Loss"), "")</f>
        <v/>
      </c>
      <c r="DX9" s="244"/>
      <c r="DY9" s="244" t="str">
        <f t="shared" si="21"/>
        <v>#N/A</v>
      </c>
      <c r="DZ9" s="244" t="str">
        <f t="shared" si="22"/>
        <v>#N/A</v>
      </c>
      <c r="EA9" s="244" t="str">
        <f t="shared" si="23"/>
        <v>#N/A</v>
      </c>
      <c r="EB9" s="244" t="str">
        <f t="shared" si="24"/>
        <v>#N/A</v>
      </c>
      <c r="EC9" s="244" t="str">
        <f t="shared" si="25"/>
        <v>#N/A</v>
      </c>
      <c r="ED9" s="244" t="str">
        <f t="shared" si="26"/>
        <v>#N/A</v>
      </c>
      <c r="EE9" s="244" t="str">
        <f t="shared" si="27"/>
        <v> -&gt; </v>
      </c>
      <c r="EF9" s="244" t="str">
        <f t="shared" si="28"/>
        <v/>
      </c>
      <c r="EG9" s="244"/>
      <c r="EH9" s="244"/>
      <c r="EI9" s="245"/>
    </row>
    <row r="10">
      <c r="A10" s="105"/>
      <c r="B10" s="239" t="str">
        <f>IF(HomePage!C21&lt;&gt;"", REPLAYTODATA(HomePage!C21), "")</f>
        <v/>
      </c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4"/>
      <c r="BN10" s="244"/>
      <c r="BO10" s="244"/>
      <c r="BP10" s="244"/>
      <c r="BQ10" s="244"/>
      <c r="BR10" s="244"/>
      <c r="BS10" s="244"/>
      <c r="BT10" s="244"/>
      <c r="BU10" s="244"/>
      <c r="BV10" s="244"/>
      <c r="BW10" s="244"/>
      <c r="BX10" s="244"/>
      <c r="BY10" s="244"/>
      <c r="BZ10" s="244"/>
      <c r="CA10" s="244"/>
      <c r="CB10" s="244"/>
      <c r="CC10" s="244"/>
      <c r="CD10" s="244"/>
      <c r="CE10" s="244"/>
      <c r="CF10" s="244"/>
      <c r="CG10" s="244"/>
      <c r="CH10" s="244"/>
      <c r="CI10" s="244"/>
      <c r="CJ10" s="244"/>
      <c r="CK10" s="244"/>
      <c r="CL10" s="244"/>
      <c r="CM10" s="244"/>
      <c r="CN10" s="244"/>
      <c r="CO10" s="244"/>
      <c r="CP10" s="244"/>
      <c r="CQ10" s="244"/>
      <c r="CR10" s="244"/>
      <c r="CS10" s="244"/>
      <c r="CT10" s="241" t="str">
        <f t="shared" si="3"/>
        <v/>
      </c>
      <c r="CU10" s="246" t="str">
        <f t="shared" si="4"/>
        <v/>
      </c>
      <c r="CV10" s="241" t="str">
        <f t="shared" si="5"/>
        <v/>
      </c>
      <c r="CW10" s="246" t="str">
        <f t="shared" si="6"/>
        <v/>
      </c>
      <c r="CX10" s="241" t="str">
        <f t="shared" si="7"/>
        <v/>
      </c>
      <c r="CY10" s="241" t="str">
        <f t="shared" si="8"/>
        <v/>
      </c>
      <c r="CZ10" s="241" t="str">
        <f t="shared" si="9"/>
        <v/>
      </c>
      <c r="DA10" s="246" t="str">
        <f t="shared" si="10"/>
        <v/>
      </c>
      <c r="DB10" s="246" t="str">
        <f t="shared" si="11"/>
        <v/>
      </c>
      <c r="DC10" s="246" t="str">
        <f t="shared" si="12"/>
        <v/>
      </c>
      <c r="DD10" s="241" t="str">
        <f t="shared" si="13"/>
        <v>1</v>
      </c>
      <c r="DE10" s="241" t="str">
        <f t="shared" si="14"/>
        <v/>
      </c>
      <c r="DF10" s="241" t="str">
        <f t="shared" si="15"/>
        <v/>
      </c>
      <c r="DG10" s="244" t="str">
        <f t="shared" si="16"/>
        <v/>
      </c>
      <c r="DH10" s="244" t="str">
        <f t="shared" si="17"/>
        <v/>
      </c>
      <c r="DI10" s="244" t="str">
        <f>IF(COUNTIF(PlayerAltNames,B10)&gt;0, B10, I10)</f>
        <v/>
      </c>
      <c r="DJ10" s="247" t="str">
        <f t="shared" ref="DJ10:DO10" si="39">IF(COUNTIF($I10,$DI10)&gt;0, J10, C10)</f>
        <v/>
      </c>
      <c r="DK10" s="247" t="str">
        <f t="shared" si="39"/>
        <v/>
      </c>
      <c r="DL10" s="247" t="str">
        <f t="shared" si="39"/>
        <v/>
      </c>
      <c r="DM10" s="247" t="str">
        <f t="shared" si="39"/>
        <v/>
      </c>
      <c r="DN10" s="247" t="str">
        <f t="shared" si="39"/>
        <v/>
      </c>
      <c r="DO10" s="247" t="str">
        <f t="shared" si="39"/>
        <v/>
      </c>
      <c r="DP10" s="244" t="str">
        <f t="shared" si="19"/>
        <v/>
      </c>
      <c r="DQ10" s="244" t="str">
        <f t="shared" ref="DQ10:DV10" si="40">IF(COUNTIF($I10,$DP10), J10, C10)</f>
        <v/>
      </c>
      <c r="DR10" s="244" t="str">
        <f t="shared" si="40"/>
        <v/>
      </c>
      <c r="DS10" s="244" t="str">
        <f t="shared" si="40"/>
        <v/>
      </c>
      <c r="DT10" s="244" t="str">
        <f t="shared" si="40"/>
        <v/>
      </c>
      <c r="DU10" s="244" t="str">
        <f t="shared" si="40"/>
        <v/>
      </c>
      <c r="DV10" s="244" t="str">
        <f t="shared" si="40"/>
        <v/>
      </c>
      <c r="DW10" s="241" t="str">
        <f>IF(HomePage!C21 &lt;&gt; "", IFS(AND(P10 = 1, COUNTIF(PlayerAltNames, B10)&gt;0), "Win", AND(P10 = 1, COUNTIF(PlayerAltNames, I10)&gt;0), "Loss", AND(P10 = 2, COUNTIF(PlayerAltNames, I10)&gt;0), "Win", AND(P10 = 2, COUNTIF(PlayerAltNames, B10)&gt;0), "Loss"), "")</f>
        <v/>
      </c>
      <c r="DX10" s="244"/>
      <c r="DY10" s="244" t="str">
        <f t="shared" si="21"/>
        <v>#N/A</v>
      </c>
      <c r="DZ10" s="244" t="str">
        <f t="shared" si="22"/>
        <v>#N/A</v>
      </c>
      <c r="EA10" s="244" t="str">
        <f t="shared" si="23"/>
        <v>#N/A</v>
      </c>
      <c r="EB10" s="244" t="str">
        <f t="shared" si="24"/>
        <v>#N/A</v>
      </c>
      <c r="EC10" s="244" t="str">
        <f t="shared" si="25"/>
        <v>#N/A</v>
      </c>
      <c r="ED10" s="244" t="str">
        <f t="shared" si="26"/>
        <v>#N/A</v>
      </c>
      <c r="EE10" s="244" t="str">
        <f t="shared" si="27"/>
        <v> -&gt; </v>
      </c>
      <c r="EF10" s="244" t="str">
        <f t="shared" si="28"/>
        <v/>
      </c>
      <c r="EG10" s="244"/>
      <c r="EH10" s="244"/>
      <c r="EI10" s="245"/>
    </row>
    <row r="11">
      <c r="A11" s="105"/>
      <c r="B11" s="239" t="str">
        <f>IF(HomePage!C22&lt;&gt;"", REPLAYTODATA(HomePage!C22), "")</f>
        <v/>
      </c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4"/>
      <c r="BN11" s="244"/>
      <c r="BO11" s="244"/>
      <c r="BP11" s="244"/>
      <c r="BQ11" s="244"/>
      <c r="BR11" s="244"/>
      <c r="BS11" s="244"/>
      <c r="BT11" s="244"/>
      <c r="BU11" s="244"/>
      <c r="BV11" s="244"/>
      <c r="BW11" s="244"/>
      <c r="BX11" s="244"/>
      <c r="BY11" s="244"/>
      <c r="BZ11" s="244"/>
      <c r="CA11" s="244"/>
      <c r="CB11" s="244"/>
      <c r="CC11" s="244"/>
      <c r="CD11" s="244"/>
      <c r="CE11" s="244"/>
      <c r="CF11" s="244"/>
      <c r="CG11" s="244"/>
      <c r="CH11" s="244"/>
      <c r="CI11" s="244"/>
      <c r="CJ11" s="244"/>
      <c r="CK11" s="244"/>
      <c r="CL11" s="244"/>
      <c r="CM11" s="244"/>
      <c r="CN11" s="244"/>
      <c r="CO11" s="244"/>
      <c r="CP11" s="244"/>
      <c r="CQ11" s="244"/>
      <c r="CR11" s="244"/>
      <c r="CS11" s="244"/>
      <c r="CT11" s="241" t="str">
        <f t="shared" si="3"/>
        <v/>
      </c>
      <c r="CU11" s="246" t="str">
        <f t="shared" si="4"/>
        <v/>
      </c>
      <c r="CV11" s="241" t="str">
        <f t="shared" si="5"/>
        <v/>
      </c>
      <c r="CW11" s="246" t="str">
        <f t="shared" si="6"/>
        <v/>
      </c>
      <c r="CX11" s="241" t="str">
        <f t="shared" si="7"/>
        <v/>
      </c>
      <c r="CY11" s="241" t="str">
        <f t="shared" si="8"/>
        <v/>
      </c>
      <c r="CZ11" s="241" t="str">
        <f t="shared" si="9"/>
        <v/>
      </c>
      <c r="DA11" s="246" t="str">
        <f t="shared" si="10"/>
        <v/>
      </c>
      <c r="DB11" s="246" t="str">
        <f t="shared" si="11"/>
        <v/>
      </c>
      <c r="DC11" s="246" t="str">
        <f t="shared" si="12"/>
        <v/>
      </c>
      <c r="DD11" s="241" t="str">
        <f t="shared" si="13"/>
        <v>1</v>
      </c>
      <c r="DE11" s="241" t="str">
        <f t="shared" si="14"/>
        <v/>
      </c>
      <c r="DF11" s="241" t="str">
        <f t="shared" si="15"/>
        <v/>
      </c>
      <c r="DG11" s="244" t="str">
        <f t="shared" si="16"/>
        <v/>
      </c>
      <c r="DH11" s="244" t="str">
        <f t="shared" si="17"/>
        <v/>
      </c>
      <c r="DI11" s="244" t="str">
        <f>IF(COUNTIF(PlayerAltNames,B11)&gt;0, B11, I11)</f>
        <v/>
      </c>
      <c r="DJ11" s="247" t="str">
        <f t="shared" ref="DJ11:DO11" si="41">IF(COUNTIF($I11,$DI11)&gt;0, J11, C11)</f>
        <v/>
      </c>
      <c r="DK11" s="247" t="str">
        <f t="shared" si="41"/>
        <v/>
      </c>
      <c r="DL11" s="247" t="str">
        <f t="shared" si="41"/>
        <v/>
      </c>
      <c r="DM11" s="247" t="str">
        <f t="shared" si="41"/>
        <v/>
      </c>
      <c r="DN11" s="247" t="str">
        <f t="shared" si="41"/>
        <v/>
      </c>
      <c r="DO11" s="247" t="str">
        <f t="shared" si="41"/>
        <v/>
      </c>
      <c r="DP11" s="244" t="str">
        <f t="shared" si="19"/>
        <v/>
      </c>
      <c r="DQ11" s="244" t="str">
        <f t="shared" ref="DQ11:DV11" si="42">IF(COUNTIF($I11,$DP11), J11, C11)</f>
        <v/>
      </c>
      <c r="DR11" s="244" t="str">
        <f t="shared" si="42"/>
        <v/>
      </c>
      <c r="DS11" s="244" t="str">
        <f t="shared" si="42"/>
        <v/>
      </c>
      <c r="DT11" s="244" t="str">
        <f t="shared" si="42"/>
        <v/>
      </c>
      <c r="DU11" s="244" t="str">
        <f t="shared" si="42"/>
        <v/>
      </c>
      <c r="DV11" s="244" t="str">
        <f t="shared" si="42"/>
        <v/>
      </c>
      <c r="DW11" s="241" t="str">
        <f>IF(HomePage!C22 &lt;&gt; "", IFS(AND(P11 = 1, COUNTIF(PlayerAltNames, B11)&gt;0), "Win", AND(P11 = 1, COUNTIF(PlayerAltNames, I11)&gt;0), "Loss", AND(P11 = 2, COUNTIF(PlayerAltNames, I11)&gt;0), "Win", AND(P11 = 2, COUNTIF(PlayerAltNames, B11)&gt;0), "Loss"), "")</f>
        <v/>
      </c>
      <c r="DX11" s="244"/>
      <c r="DY11" s="244" t="str">
        <f t="shared" si="21"/>
        <v>#N/A</v>
      </c>
      <c r="DZ11" s="244" t="str">
        <f t="shared" si="22"/>
        <v>#N/A</v>
      </c>
      <c r="EA11" s="244" t="str">
        <f t="shared" si="23"/>
        <v>#N/A</v>
      </c>
      <c r="EB11" s="244" t="str">
        <f t="shared" si="24"/>
        <v>#N/A</v>
      </c>
      <c r="EC11" s="244" t="str">
        <f t="shared" si="25"/>
        <v>#N/A</v>
      </c>
      <c r="ED11" s="244" t="str">
        <f t="shared" si="26"/>
        <v>#N/A</v>
      </c>
      <c r="EE11" s="244" t="str">
        <f t="shared" si="27"/>
        <v> -&gt; </v>
      </c>
      <c r="EF11" s="244" t="str">
        <f t="shared" si="28"/>
        <v/>
      </c>
      <c r="EG11" s="244"/>
      <c r="EH11" s="244"/>
      <c r="EI11" s="245"/>
    </row>
    <row r="12">
      <c r="A12" s="105"/>
      <c r="B12" s="239" t="str">
        <f>IF(HomePage!C23&lt;&gt;"", REPLAYTODATA(HomePage!C23), "")</f>
        <v/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44"/>
      <c r="BR12" s="244"/>
      <c r="BS12" s="244"/>
      <c r="BT12" s="244"/>
      <c r="BU12" s="244"/>
      <c r="BV12" s="244"/>
      <c r="BW12" s="244"/>
      <c r="BX12" s="244"/>
      <c r="BY12" s="244"/>
      <c r="BZ12" s="244"/>
      <c r="CA12" s="244"/>
      <c r="CB12" s="244"/>
      <c r="CC12" s="244"/>
      <c r="CD12" s="244"/>
      <c r="CE12" s="244"/>
      <c r="CF12" s="244"/>
      <c r="CG12" s="244"/>
      <c r="CH12" s="244"/>
      <c r="CI12" s="244"/>
      <c r="CJ12" s="244"/>
      <c r="CK12" s="244"/>
      <c r="CL12" s="244"/>
      <c r="CM12" s="244"/>
      <c r="CN12" s="244"/>
      <c r="CO12" s="244"/>
      <c r="CP12" s="244"/>
      <c r="CQ12" s="244"/>
      <c r="CR12" s="244"/>
      <c r="CS12" s="244"/>
      <c r="CT12" s="241" t="str">
        <f t="shared" si="3"/>
        <v/>
      </c>
      <c r="CU12" s="246" t="str">
        <f t="shared" si="4"/>
        <v/>
      </c>
      <c r="CV12" s="241" t="str">
        <f t="shared" si="5"/>
        <v/>
      </c>
      <c r="CW12" s="246" t="str">
        <f t="shared" si="6"/>
        <v/>
      </c>
      <c r="CX12" s="241" t="str">
        <f t="shared" si="7"/>
        <v/>
      </c>
      <c r="CY12" s="241" t="str">
        <f t="shared" si="8"/>
        <v/>
      </c>
      <c r="CZ12" s="241" t="str">
        <f t="shared" si="9"/>
        <v/>
      </c>
      <c r="DA12" s="246" t="str">
        <f t="shared" si="10"/>
        <v/>
      </c>
      <c r="DB12" s="246" t="str">
        <f t="shared" si="11"/>
        <v/>
      </c>
      <c r="DC12" s="246" t="str">
        <f t="shared" si="12"/>
        <v/>
      </c>
      <c r="DD12" s="241" t="str">
        <f t="shared" si="13"/>
        <v>1</v>
      </c>
      <c r="DE12" s="241" t="str">
        <f t="shared" si="14"/>
        <v/>
      </c>
      <c r="DF12" s="241" t="str">
        <f t="shared" si="15"/>
        <v/>
      </c>
      <c r="DG12" s="244" t="str">
        <f t="shared" si="16"/>
        <v/>
      </c>
      <c r="DH12" s="244" t="str">
        <f t="shared" si="17"/>
        <v/>
      </c>
      <c r="DI12" s="244" t="str">
        <f>IF(COUNTIF(PlayerAltNames,B12)&gt;0, B12, I12)</f>
        <v/>
      </c>
      <c r="DJ12" s="247" t="str">
        <f t="shared" ref="DJ12:DO12" si="43">IF(COUNTIF($I12,$DI12)&gt;0, J12, C12)</f>
        <v/>
      </c>
      <c r="DK12" s="247" t="str">
        <f t="shared" si="43"/>
        <v/>
      </c>
      <c r="DL12" s="247" t="str">
        <f t="shared" si="43"/>
        <v/>
      </c>
      <c r="DM12" s="247" t="str">
        <f t="shared" si="43"/>
        <v/>
      </c>
      <c r="DN12" s="247" t="str">
        <f t="shared" si="43"/>
        <v/>
      </c>
      <c r="DO12" s="247" t="str">
        <f t="shared" si="43"/>
        <v/>
      </c>
      <c r="DP12" s="244" t="str">
        <f t="shared" si="19"/>
        <v/>
      </c>
      <c r="DQ12" s="244" t="str">
        <f t="shared" ref="DQ12:DV12" si="44">IF(COUNTIF($I12,$DP12), J12, C12)</f>
        <v/>
      </c>
      <c r="DR12" s="244" t="str">
        <f t="shared" si="44"/>
        <v/>
      </c>
      <c r="DS12" s="244" t="str">
        <f t="shared" si="44"/>
        <v/>
      </c>
      <c r="DT12" s="244" t="str">
        <f t="shared" si="44"/>
        <v/>
      </c>
      <c r="DU12" s="244" t="str">
        <f t="shared" si="44"/>
        <v/>
      </c>
      <c r="DV12" s="244" t="str">
        <f t="shared" si="44"/>
        <v/>
      </c>
      <c r="DW12" s="241" t="str">
        <f>IF(HomePage!C23 &lt;&gt; "", IFS(AND(P12 = 1, COUNTIF(PlayerAltNames, B12)&gt;0), "Win", AND(P12 = 1, COUNTIF(PlayerAltNames, I12)&gt;0), "Loss", AND(P12 = 2, COUNTIF(PlayerAltNames, I12)&gt;0), "Win", AND(P12 = 2, COUNTIF(PlayerAltNames, B12)&gt;0), "Loss"), "")</f>
        <v/>
      </c>
      <c r="DX12" s="244"/>
      <c r="DY12" s="244" t="str">
        <f t="shared" si="21"/>
        <v>#N/A</v>
      </c>
      <c r="DZ12" s="244" t="str">
        <f t="shared" si="22"/>
        <v>#N/A</v>
      </c>
      <c r="EA12" s="244" t="str">
        <f t="shared" si="23"/>
        <v>#N/A</v>
      </c>
      <c r="EB12" s="244" t="str">
        <f t="shared" si="24"/>
        <v>#N/A</v>
      </c>
      <c r="EC12" s="244" t="str">
        <f t="shared" si="25"/>
        <v>#N/A</v>
      </c>
      <c r="ED12" s="244" t="str">
        <f t="shared" si="26"/>
        <v>#N/A</v>
      </c>
      <c r="EE12" s="244" t="str">
        <f t="shared" si="27"/>
        <v> -&gt; </v>
      </c>
      <c r="EF12" s="244" t="str">
        <f t="shared" si="28"/>
        <v/>
      </c>
      <c r="EG12" s="244"/>
      <c r="EH12" s="244"/>
      <c r="EI12" s="245"/>
    </row>
    <row r="13">
      <c r="A13" s="105"/>
      <c r="B13" s="239" t="str">
        <f>IF(HomePage!C24&lt;&gt;"", REPLAYTODATA(HomePage!C24), "")</f>
        <v/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4"/>
      <c r="CS13" s="244"/>
      <c r="CT13" s="241" t="str">
        <f t="shared" si="3"/>
        <v/>
      </c>
      <c r="CU13" s="246" t="str">
        <f t="shared" si="4"/>
        <v/>
      </c>
      <c r="CV13" s="241" t="str">
        <f t="shared" si="5"/>
        <v/>
      </c>
      <c r="CW13" s="246" t="str">
        <f t="shared" si="6"/>
        <v/>
      </c>
      <c r="CX13" s="241" t="str">
        <f t="shared" si="7"/>
        <v/>
      </c>
      <c r="CY13" s="241" t="str">
        <f t="shared" si="8"/>
        <v/>
      </c>
      <c r="CZ13" s="241" t="str">
        <f t="shared" si="9"/>
        <v/>
      </c>
      <c r="DA13" s="246" t="str">
        <f t="shared" si="10"/>
        <v/>
      </c>
      <c r="DB13" s="246" t="str">
        <f t="shared" si="11"/>
        <v/>
      </c>
      <c r="DC13" s="246" t="str">
        <f t="shared" si="12"/>
        <v/>
      </c>
      <c r="DD13" s="241" t="str">
        <f t="shared" si="13"/>
        <v>1</v>
      </c>
      <c r="DE13" s="241" t="str">
        <f t="shared" si="14"/>
        <v/>
      </c>
      <c r="DF13" s="241" t="str">
        <f t="shared" si="15"/>
        <v/>
      </c>
      <c r="DG13" s="244" t="str">
        <f t="shared" si="16"/>
        <v/>
      </c>
      <c r="DH13" s="244" t="str">
        <f t="shared" si="17"/>
        <v/>
      </c>
      <c r="DI13" s="244" t="str">
        <f>IF(COUNTIF(PlayerAltNames,B13)&gt;0, B13, I13)</f>
        <v/>
      </c>
      <c r="DJ13" s="247" t="str">
        <f t="shared" ref="DJ13:DO13" si="45">IF(COUNTIF($I13,$DI13)&gt;0, J13, C13)</f>
        <v/>
      </c>
      <c r="DK13" s="247" t="str">
        <f t="shared" si="45"/>
        <v/>
      </c>
      <c r="DL13" s="247" t="str">
        <f t="shared" si="45"/>
        <v/>
      </c>
      <c r="DM13" s="247" t="str">
        <f t="shared" si="45"/>
        <v/>
      </c>
      <c r="DN13" s="247" t="str">
        <f t="shared" si="45"/>
        <v/>
      </c>
      <c r="DO13" s="247" t="str">
        <f t="shared" si="45"/>
        <v/>
      </c>
      <c r="DP13" s="244" t="str">
        <f t="shared" si="19"/>
        <v/>
      </c>
      <c r="DQ13" s="244" t="str">
        <f t="shared" ref="DQ13:DV13" si="46">IF(COUNTIF($I13,$DP13), J13, C13)</f>
        <v/>
      </c>
      <c r="DR13" s="244" t="str">
        <f t="shared" si="46"/>
        <v/>
      </c>
      <c r="DS13" s="244" t="str">
        <f t="shared" si="46"/>
        <v/>
      </c>
      <c r="DT13" s="244" t="str">
        <f t="shared" si="46"/>
        <v/>
      </c>
      <c r="DU13" s="244" t="str">
        <f t="shared" si="46"/>
        <v/>
      </c>
      <c r="DV13" s="244" t="str">
        <f t="shared" si="46"/>
        <v/>
      </c>
      <c r="DW13" s="241" t="str">
        <f>IF(HomePage!C24 &lt;&gt; "", IFS(AND(P13 = 1, COUNTIF(PlayerAltNames, B13)&gt;0), "Win", AND(P13 = 1, COUNTIF(PlayerAltNames, I13)&gt;0), "Loss", AND(P13 = 2, COUNTIF(PlayerAltNames, I13)&gt;0), "Win", AND(P13 = 2, COUNTIF(PlayerAltNames, B13)&gt;0), "Loss"), "")</f>
        <v/>
      </c>
      <c r="DX13" s="244"/>
      <c r="DY13" s="244" t="str">
        <f t="shared" si="21"/>
        <v>#N/A</v>
      </c>
      <c r="DZ13" s="244" t="str">
        <f t="shared" si="22"/>
        <v>#N/A</v>
      </c>
      <c r="EA13" s="244" t="str">
        <f t="shared" si="23"/>
        <v>#N/A</v>
      </c>
      <c r="EB13" s="244" t="str">
        <f t="shared" si="24"/>
        <v>#N/A</v>
      </c>
      <c r="EC13" s="244" t="str">
        <f t="shared" si="25"/>
        <v>#N/A</v>
      </c>
      <c r="ED13" s="244" t="str">
        <f t="shared" si="26"/>
        <v>#N/A</v>
      </c>
      <c r="EE13" s="244" t="str">
        <f t="shared" si="27"/>
        <v> -&gt; </v>
      </c>
      <c r="EF13" s="244" t="str">
        <f t="shared" si="28"/>
        <v/>
      </c>
      <c r="EG13" s="244"/>
      <c r="EH13" s="244"/>
      <c r="EI13" s="245"/>
    </row>
    <row r="14">
      <c r="A14" s="105"/>
      <c r="B14" s="239" t="str">
        <f>IF(HomePage!C25&lt;&gt;"", REPLAYTODATA(HomePage!C25), "")</f>
        <v/>
      </c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44"/>
      <c r="BR14" s="244"/>
      <c r="BS14" s="244"/>
      <c r="BT14" s="244"/>
      <c r="BU14" s="244"/>
      <c r="BV14" s="244"/>
      <c r="BW14" s="244"/>
      <c r="BX14" s="244"/>
      <c r="BY14" s="244"/>
      <c r="BZ14" s="244"/>
      <c r="CA14" s="244"/>
      <c r="CB14" s="244"/>
      <c r="CC14" s="244"/>
      <c r="CD14" s="244"/>
      <c r="CE14" s="244"/>
      <c r="CF14" s="244"/>
      <c r="CG14" s="244"/>
      <c r="CH14" s="244"/>
      <c r="CI14" s="244"/>
      <c r="CJ14" s="244"/>
      <c r="CK14" s="244"/>
      <c r="CL14" s="244"/>
      <c r="CM14" s="244"/>
      <c r="CN14" s="244"/>
      <c r="CO14" s="244"/>
      <c r="CP14" s="244"/>
      <c r="CQ14" s="244"/>
      <c r="CR14" s="244"/>
      <c r="CS14" s="244"/>
      <c r="CT14" s="241" t="str">
        <f t="shared" si="3"/>
        <v/>
      </c>
      <c r="CU14" s="246" t="str">
        <f t="shared" si="4"/>
        <v/>
      </c>
      <c r="CV14" s="241" t="str">
        <f t="shared" si="5"/>
        <v/>
      </c>
      <c r="CW14" s="246" t="str">
        <f t="shared" si="6"/>
        <v/>
      </c>
      <c r="CX14" s="241" t="str">
        <f t="shared" si="7"/>
        <v/>
      </c>
      <c r="CY14" s="241" t="str">
        <f t="shared" si="8"/>
        <v/>
      </c>
      <c r="CZ14" s="241" t="str">
        <f t="shared" si="9"/>
        <v/>
      </c>
      <c r="DA14" s="246" t="str">
        <f t="shared" si="10"/>
        <v/>
      </c>
      <c r="DB14" s="246" t="str">
        <f t="shared" si="11"/>
        <v/>
      </c>
      <c r="DC14" s="246" t="str">
        <f t="shared" si="12"/>
        <v/>
      </c>
      <c r="DD14" s="241" t="str">
        <f t="shared" si="13"/>
        <v>1</v>
      </c>
      <c r="DE14" s="241" t="str">
        <f t="shared" si="14"/>
        <v/>
      </c>
      <c r="DF14" s="241" t="str">
        <f t="shared" si="15"/>
        <v/>
      </c>
      <c r="DG14" s="244" t="str">
        <f t="shared" si="16"/>
        <v/>
      </c>
      <c r="DH14" s="244" t="str">
        <f t="shared" si="17"/>
        <v/>
      </c>
      <c r="DI14" s="244" t="str">
        <f>IF(COUNTIF(PlayerAltNames,B14)&gt;0, B14, I14)</f>
        <v/>
      </c>
      <c r="DJ14" s="247" t="str">
        <f t="shared" ref="DJ14:DO14" si="47">IF(COUNTIF($I14,$DI14)&gt;0, J14, C14)</f>
        <v/>
      </c>
      <c r="DK14" s="247" t="str">
        <f t="shared" si="47"/>
        <v/>
      </c>
      <c r="DL14" s="247" t="str">
        <f t="shared" si="47"/>
        <v/>
      </c>
      <c r="DM14" s="247" t="str">
        <f t="shared" si="47"/>
        <v/>
      </c>
      <c r="DN14" s="247" t="str">
        <f t="shared" si="47"/>
        <v/>
      </c>
      <c r="DO14" s="247" t="str">
        <f t="shared" si="47"/>
        <v/>
      </c>
      <c r="DP14" s="244" t="str">
        <f t="shared" si="19"/>
        <v/>
      </c>
      <c r="DQ14" s="244" t="str">
        <f t="shared" ref="DQ14:DV14" si="48">IF(COUNTIF($I14,$DP14), J14, C14)</f>
        <v/>
      </c>
      <c r="DR14" s="244" t="str">
        <f t="shared" si="48"/>
        <v/>
      </c>
      <c r="DS14" s="244" t="str">
        <f t="shared" si="48"/>
        <v/>
      </c>
      <c r="DT14" s="244" t="str">
        <f t="shared" si="48"/>
        <v/>
      </c>
      <c r="DU14" s="244" t="str">
        <f t="shared" si="48"/>
        <v/>
      </c>
      <c r="DV14" s="244" t="str">
        <f t="shared" si="48"/>
        <v/>
      </c>
      <c r="DW14" s="241" t="str">
        <f>IF(HomePage!C25 &lt;&gt; "", IFS(AND(P14 = 1, COUNTIF(PlayerAltNames, B14)&gt;0), "Win", AND(P14 = 1, COUNTIF(PlayerAltNames, I14)&gt;0), "Loss", AND(P14 = 2, COUNTIF(PlayerAltNames, I14)&gt;0), "Win", AND(P14 = 2, COUNTIF(PlayerAltNames, B14)&gt;0), "Loss"), "")</f>
        <v/>
      </c>
      <c r="DX14" s="244"/>
      <c r="DY14" s="244" t="str">
        <f t="shared" si="21"/>
        <v>#N/A</v>
      </c>
      <c r="DZ14" s="244" t="str">
        <f t="shared" si="22"/>
        <v>#N/A</v>
      </c>
      <c r="EA14" s="244" t="str">
        <f t="shared" si="23"/>
        <v>#N/A</v>
      </c>
      <c r="EB14" s="244" t="str">
        <f t="shared" si="24"/>
        <v>#N/A</v>
      </c>
      <c r="EC14" s="244" t="str">
        <f t="shared" si="25"/>
        <v>#N/A</v>
      </c>
      <c r="ED14" s="244" t="str">
        <f t="shared" si="26"/>
        <v>#N/A</v>
      </c>
      <c r="EE14" s="244" t="str">
        <f t="shared" si="27"/>
        <v> -&gt; </v>
      </c>
      <c r="EF14" s="244" t="str">
        <f t="shared" si="28"/>
        <v/>
      </c>
      <c r="EG14" s="244"/>
      <c r="EH14" s="244"/>
      <c r="EI14" s="245"/>
    </row>
    <row r="15">
      <c r="A15" s="105"/>
      <c r="B15" s="239" t="str">
        <f>IF(HomePage!C26&lt;&gt;"", REPLAYTODATA(HomePage!C26), "")</f>
        <v/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4"/>
      <c r="CA15" s="244"/>
      <c r="CB15" s="244"/>
      <c r="CC15" s="244"/>
      <c r="CD15" s="244"/>
      <c r="CE15" s="244"/>
      <c r="CF15" s="244"/>
      <c r="CG15" s="244"/>
      <c r="CH15" s="244"/>
      <c r="CI15" s="244"/>
      <c r="CJ15" s="244"/>
      <c r="CK15" s="244"/>
      <c r="CL15" s="244"/>
      <c r="CM15" s="244"/>
      <c r="CN15" s="244"/>
      <c r="CO15" s="244"/>
      <c r="CP15" s="244"/>
      <c r="CQ15" s="244"/>
      <c r="CR15" s="244"/>
      <c r="CS15" s="244"/>
      <c r="CT15" s="241" t="str">
        <f t="shared" si="3"/>
        <v/>
      </c>
      <c r="CU15" s="246" t="str">
        <f t="shared" si="4"/>
        <v/>
      </c>
      <c r="CV15" s="241" t="str">
        <f t="shared" si="5"/>
        <v/>
      </c>
      <c r="CW15" s="246" t="str">
        <f t="shared" si="6"/>
        <v/>
      </c>
      <c r="CX15" s="241" t="str">
        <f t="shared" si="7"/>
        <v/>
      </c>
      <c r="CY15" s="241" t="str">
        <f t="shared" si="8"/>
        <v/>
      </c>
      <c r="CZ15" s="241" t="str">
        <f t="shared" si="9"/>
        <v/>
      </c>
      <c r="DA15" s="246" t="str">
        <f t="shared" si="10"/>
        <v/>
      </c>
      <c r="DB15" s="246" t="str">
        <f t="shared" si="11"/>
        <v/>
      </c>
      <c r="DC15" s="246" t="str">
        <f t="shared" si="12"/>
        <v/>
      </c>
      <c r="DD15" s="241" t="str">
        <f t="shared" si="13"/>
        <v>1</v>
      </c>
      <c r="DE15" s="241" t="str">
        <f t="shared" si="14"/>
        <v/>
      </c>
      <c r="DF15" s="241" t="str">
        <f t="shared" si="15"/>
        <v/>
      </c>
      <c r="DG15" s="244" t="str">
        <f t="shared" si="16"/>
        <v/>
      </c>
      <c r="DH15" s="244" t="str">
        <f t="shared" si="17"/>
        <v/>
      </c>
      <c r="DI15" s="244" t="str">
        <f>IF(COUNTIF(PlayerAltNames,B15)&gt;0, B15, I15)</f>
        <v/>
      </c>
      <c r="DJ15" s="247" t="str">
        <f t="shared" ref="DJ15:DO15" si="49">IF(COUNTIF($I15,$DI15)&gt;0, J15, C15)</f>
        <v/>
      </c>
      <c r="DK15" s="247" t="str">
        <f t="shared" si="49"/>
        <v/>
      </c>
      <c r="DL15" s="247" t="str">
        <f t="shared" si="49"/>
        <v/>
      </c>
      <c r="DM15" s="247" t="str">
        <f t="shared" si="49"/>
        <v/>
      </c>
      <c r="DN15" s="247" t="str">
        <f t="shared" si="49"/>
        <v/>
      </c>
      <c r="DO15" s="247" t="str">
        <f t="shared" si="49"/>
        <v/>
      </c>
      <c r="DP15" s="244" t="str">
        <f t="shared" si="19"/>
        <v/>
      </c>
      <c r="DQ15" s="244" t="str">
        <f t="shared" ref="DQ15:DV15" si="50">IF(COUNTIF($I15,$DP15), J15, C15)</f>
        <v/>
      </c>
      <c r="DR15" s="244" t="str">
        <f t="shared" si="50"/>
        <v/>
      </c>
      <c r="DS15" s="244" t="str">
        <f t="shared" si="50"/>
        <v/>
      </c>
      <c r="DT15" s="244" t="str">
        <f t="shared" si="50"/>
        <v/>
      </c>
      <c r="DU15" s="244" t="str">
        <f t="shared" si="50"/>
        <v/>
      </c>
      <c r="DV15" s="244" t="str">
        <f t="shared" si="50"/>
        <v/>
      </c>
      <c r="DW15" s="241" t="str">
        <f>IF(HomePage!C26 &lt;&gt; "", IFS(AND(P15 = 1, COUNTIF(PlayerAltNames, B15)&gt;0), "Win", AND(P15 = 1, COUNTIF(PlayerAltNames, I15)&gt;0), "Loss", AND(P15 = 2, COUNTIF(PlayerAltNames, I15)&gt;0), "Win", AND(P15 = 2, COUNTIF(PlayerAltNames, B15)&gt;0), "Loss"), "")</f>
        <v/>
      </c>
      <c r="DX15" s="244"/>
      <c r="DY15" s="244" t="str">
        <f t="shared" si="21"/>
        <v>#N/A</v>
      </c>
      <c r="DZ15" s="244" t="str">
        <f t="shared" si="22"/>
        <v>#N/A</v>
      </c>
      <c r="EA15" s="244" t="str">
        <f t="shared" si="23"/>
        <v>#N/A</v>
      </c>
      <c r="EB15" s="244" t="str">
        <f t="shared" si="24"/>
        <v>#N/A</v>
      </c>
      <c r="EC15" s="244" t="str">
        <f t="shared" si="25"/>
        <v>#N/A</v>
      </c>
      <c r="ED15" s="244" t="str">
        <f t="shared" si="26"/>
        <v>#N/A</v>
      </c>
      <c r="EE15" s="244" t="str">
        <f t="shared" si="27"/>
        <v> -&gt; </v>
      </c>
      <c r="EF15" s="244" t="str">
        <f t="shared" si="28"/>
        <v/>
      </c>
      <c r="EG15" s="244"/>
      <c r="EH15" s="244"/>
      <c r="EI15" s="245"/>
    </row>
    <row r="16">
      <c r="A16" s="105"/>
      <c r="B16" s="239" t="str">
        <f>IF(HomePage!C27&lt;&gt;"", REPLAYTODATA(HomePage!C27), "")</f>
        <v/>
      </c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44"/>
      <c r="BR16" s="244"/>
      <c r="BS16" s="244"/>
      <c r="BT16" s="244"/>
      <c r="BU16" s="244"/>
      <c r="BV16" s="244"/>
      <c r="BW16" s="244"/>
      <c r="BX16" s="244"/>
      <c r="BY16" s="244"/>
      <c r="BZ16" s="244"/>
      <c r="CA16" s="244"/>
      <c r="CB16" s="244"/>
      <c r="CC16" s="244"/>
      <c r="CD16" s="244"/>
      <c r="CE16" s="244"/>
      <c r="CF16" s="244"/>
      <c r="CG16" s="244"/>
      <c r="CH16" s="244"/>
      <c r="CI16" s="244"/>
      <c r="CJ16" s="244"/>
      <c r="CK16" s="244"/>
      <c r="CL16" s="244"/>
      <c r="CM16" s="244"/>
      <c r="CN16" s="244"/>
      <c r="CO16" s="244"/>
      <c r="CP16" s="244"/>
      <c r="CQ16" s="244"/>
      <c r="CR16" s="244"/>
      <c r="CS16" s="244"/>
      <c r="CT16" s="241" t="str">
        <f t="shared" si="3"/>
        <v/>
      </c>
      <c r="CU16" s="246" t="str">
        <f t="shared" si="4"/>
        <v/>
      </c>
      <c r="CV16" s="241" t="str">
        <f t="shared" si="5"/>
        <v/>
      </c>
      <c r="CW16" s="246" t="str">
        <f t="shared" si="6"/>
        <v/>
      </c>
      <c r="CX16" s="241" t="str">
        <f t="shared" si="7"/>
        <v/>
      </c>
      <c r="CY16" s="241" t="str">
        <f t="shared" si="8"/>
        <v/>
      </c>
      <c r="CZ16" s="241" t="str">
        <f t="shared" si="9"/>
        <v/>
      </c>
      <c r="DA16" s="246" t="str">
        <f t="shared" si="10"/>
        <v/>
      </c>
      <c r="DB16" s="246" t="str">
        <f t="shared" si="11"/>
        <v/>
      </c>
      <c r="DC16" s="246" t="str">
        <f t="shared" si="12"/>
        <v/>
      </c>
      <c r="DD16" s="241" t="str">
        <f t="shared" si="13"/>
        <v>1</v>
      </c>
      <c r="DE16" s="241" t="str">
        <f t="shared" si="14"/>
        <v/>
      </c>
      <c r="DF16" s="241" t="str">
        <f t="shared" si="15"/>
        <v/>
      </c>
      <c r="DG16" s="244" t="str">
        <f t="shared" si="16"/>
        <v/>
      </c>
      <c r="DH16" s="244" t="str">
        <f t="shared" si="17"/>
        <v/>
      </c>
      <c r="DI16" s="244" t="str">
        <f>IF(COUNTIF(PlayerAltNames,B16)&gt;0, B16, I16)</f>
        <v/>
      </c>
      <c r="DJ16" s="247" t="str">
        <f t="shared" ref="DJ16:DO16" si="51">IF(COUNTIF($I16,$DI16)&gt;0, J16, C16)</f>
        <v/>
      </c>
      <c r="DK16" s="247" t="str">
        <f t="shared" si="51"/>
        <v/>
      </c>
      <c r="DL16" s="247" t="str">
        <f t="shared" si="51"/>
        <v/>
      </c>
      <c r="DM16" s="247" t="str">
        <f t="shared" si="51"/>
        <v/>
      </c>
      <c r="DN16" s="247" t="str">
        <f t="shared" si="51"/>
        <v/>
      </c>
      <c r="DO16" s="247" t="str">
        <f t="shared" si="51"/>
        <v/>
      </c>
      <c r="DP16" s="244" t="str">
        <f t="shared" si="19"/>
        <v/>
      </c>
      <c r="DQ16" s="244" t="str">
        <f t="shared" ref="DQ16:DV16" si="52">IF(COUNTIF($I16,$DP16), J16, C16)</f>
        <v/>
      </c>
      <c r="DR16" s="244" t="str">
        <f t="shared" si="52"/>
        <v/>
      </c>
      <c r="DS16" s="244" t="str">
        <f t="shared" si="52"/>
        <v/>
      </c>
      <c r="DT16" s="244" t="str">
        <f t="shared" si="52"/>
        <v/>
      </c>
      <c r="DU16" s="244" t="str">
        <f t="shared" si="52"/>
        <v/>
      </c>
      <c r="DV16" s="244" t="str">
        <f t="shared" si="52"/>
        <v/>
      </c>
      <c r="DW16" s="241" t="str">
        <f>IF(HomePage!C27 &lt;&gt; "", IFS(AND(P16 = 1, COUNTIF(PlayerAltNames, B16)&gt;0), "Win", AND(P16 = 1, COUNTIF(PlayerAltNames, I16)&gt;0), "Loss", AND(P16 = 2, COUNTIF(PlayerAltNames, I16)&gt;0), "Win", AND(P16 = 2, COUNTIF(PlayerAltNames, B16)&gt;0), "Loss"), "")</f>
        <v/>
      </c>
      <c r="DX16" s="244"/>
      <c r="DY16" s="244" t="str">
        <f t="shared" si="21"/>
        <v>#N/A</v>
      </c>
      <c r="DZ16" s="244" t="str">
        <f t="shared" si="22"/>
        <v>#N/A</v>
      </c>
      <c r="EA16" s="244" t="str">
        <f t="shared" si="23"/>
        <v>#N/A</v>
      </c>
      <c r="EB16" s="244" t="str">
        <f t="shared" si="24"/>
        <v>#N/A</v>
      </c>
      <c r="EC16" s="244" t="str">
        <f t="shared" si="25"/>
        <v>#N/A</v>
      </c>
      <c r="ED16" s="244" t="str">
        <f t="shared" si="26"/>
        <v>#N/A</v>
      </c>
      <c r="EE16" s="244" t="str">
        <f t="shared" si="27"/>
        <v> -&gt; </v>
      </c>
      <c r="EF16" s="244" t="str">
        <f t="shared" si="28"/>
        <v/>
      </c>
      <c r="EG16" s="244"/>
      <c r="EH16" s="244"/>
      <c r="EI16" s="245"/>
    </row>
    <row r="17">
      <c r="A17" s="105"/>
      <c r="B17" s="239" t="str">
        <f>IF(HomePage!C28&lt;&gt;"", REPLAYTODATA(HomePage!C28), "")</f>
        <v/>
      </c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/>
      <c r="CH17" s="244"/>
      <c r="CI17" s="244"/>
      <c r="CJ17" s="244"/>
      <c r="CK17" s="244"/>
      <c r="CL17" s="244"/>
      <c r="CM17" s="244"/>
      <c r="CN17" s="244"/>
      <c r="CO17" s="244"/>
      <c r="CP17" s="244"/>
      <c r="CQ17" s="244"/>
      <c r="CR17" s="244"/>
      <c r="CS17" s="244"/>
      <c r="CT17" s="241" t="str">
        <f t="shared" si="3"/>
        <v/>
      </c>
      <c r="CU17" s="246" t="str">
        <f t="shared" si="4"/>
        <v/>
      </c>
      <c r="CV17" s="241" t="str">
        <f t="shared" si="5"/>
        <v/>
      </c>
      <c r="CW17" s="246" t="str">
        <f t="shared" si="6"/>
        <v/>
      </c>
      <c r="CX17" s="241" t="str">
        <f t="shared" si="7"/>
        <v/>
      </c>
      <c r="CY17" s="241" t="str">
        <f t="shared" si="8"/>
        <v/>
      </c>
      <c r="CZ17" s="241" t="str">
        <f t="shared" si="9"/>
        <v/>
      </c>
      <c r="DA17" s="246" t="str">
        <f t="shared" si="10"/>
        <v/>
      </c>
      <c r="DB17" s="246" t="str">
        <f t="shared" si="11"/>
        <v/>
      </c>
      <c r="DC17" s="246" t="str">
        <f t="shared" si="12"/>
        <v/>
      </c>
      <c r="DD17" s="241" t="str">
        <f t="shared" si="13"/>
        <v>1</v>
      </c>
      <c r="DE17" s="241" t="str">
        <f t="shared" si="14"/>
        <v/>
      </c>
      <c r="DF17" s="241" t="str">
        <f t="shared" si="15"/>
        <v/>
      </c>
      <c r="DG17" s="244" t="str">
        <f t="shared" si="16"/>
        <v/>
      </c>
      <c r="DH17" s="244" t="str">
        <f t="shared" si="17"/>
        <v/>
      </c>
      <c r="DI17" s="244" t="str">
        <f>IF(COUNTIF(PlayerAltNames,B17)&gt;0, B17, I17)</f>
        <v/>
      </c>
      <c r="DJ17" s="247" t="str">
        <f t="shared" ref="DJ17:DO17" si="53">IF(COUNTIF($I17,$DI17)&gt;0, J17, C17)</f>
        <v/>
      </c>
      <c r="DK17" s="247" t="str">
        <f t="shared" si="53"/>
        <v/>
      </c>
      <c r="DL17" s="247" t="str">
        <f t="shared" si="53"/>
        <v/>
      </c>
      <c r="DM17" s="247" t="str">
        <f t="shared" si="53"/>
        <v/>
      </c>
      <c r="DN17" s="247" t="str">
        <f t="shared" si="53"/>
        <v/>
      </c>
      <c r="DO17" s="247" t="str">
        <f t="shared" si="53"/>
        <v/>
      </c>
      <c r="DP17" s="244" t="str">
        <f t="shared" si="19"/>
        <v/>
      </c>
      <c r="DQ17" s="244" t="str">
        <f t="shared" ref="DQ17:DV17" si="54">IF(COUNTIF($I17,$DP17), J17, C17)</f>
        <v/>
      </c>
      <c r="DR17" s="244" t="str">
        <f t="shared" si="54"/>
        <v/>
      </c>
      <c r="DS17" s="244" t="str">
        <f t="shared" si="54"/>
        <v/>
      </c>
      <c r="DT17" s="244" t="str">
        <f t="shared" si="54"/>
        <v/>
      </c>
      <c r="DU17" s="244" t="str">
        <f t="shared" si="54"/>
        <v/>
      </c>
      <c r="DV17" s="244" t="str">
        <f t="shared" si="54"/>
        <v/>
      </c>
      <c r="DW17" s="241" t="str">
        <f>IF(HomePage!C28 &lt;&gt; "", IFS(AND(P17 = 1, COUNTIF(PlayerAltNames, B17)&gt;0), "Win", AND(P17 = 1, COUNTIF(PlayerAltNames, I17)&gt;0), "Loss", AND(P17 = 2, COUNTIF(PlayerAltNames, I17)&gt;0), "Win", AND(P17 = 2, COUNTIF(PlayerAltNames, B17)&gt;0), "Loss"), "")</f>
        <v/>
      </c>
      <c r="DX17" s="244"/>
      <c r="DY17" s="244" t="str">
        <f t="shared" si="21"/>
        <v>#N/A</v>
      </c>
      <c r="DZ17" s="244" t="str">
        <f t="shared" si="22"/>
        <v>#N/A</v>
      </c>
      <c r="EA17" s="244" t="str">
        <f t="shared" si="23"/>
        <v>#N/A</v>
      </c>
      <c r="EB17" s="244" t="str">
        <f t="shared" si="24"/>
        <v>#N/A</v>
      </c>
      <c r="EC17" s="244" t="str">
        <f t="shared" si="25"/>
        <v>#N/A</v>
      </c>
      <c r="ED17" s="244" t="str">
        <f t="shared" si="26"/>
        <v>#N/A</v>
      </c>
      <c r="EE17" s="244" t="str">
        <f t="shared" si="27"/>
        <v> -&gt; </v>
      </c>
      <c r="EF17" s="244" t="str">
        <f t="shared" si="28"/>
        <v/>
      </c>
      <c r="EG17" s="244"/>
      <c r="EH17" s="244"/>
      <c r="EI17" s="245"/>
    </row>
    <row r="18">
      <c r="A18" s="105"/>
      <c r="B18" s="239" t="str">
        <f>IF(HomePage!C29&lt;&gt;"", REPLAYTODATA(HomePage!C29), "")</f>
        <v/>
      </c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44"/>
      <c r="AT18" s="244"/>
      <c r="AU18" s="244"/>
      <c r="AV18" s="244"/>
      <c r="AW18" s="244"/>
      <c r="AX18" s="244"/>
      <c r="AY18" s="244"/>
      <c r="AZ18" s="244"/>
      <c r="BA18" s="244"/>
      <c r="BB18" s="244"/>
      <c r="BC18" s="244"/>
      <c r="BD18" s="244"/>
      <c r="BE18" s="244"/>
      <c r="BF18" s="244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44"/>
      <c r="BR18" s="244"/>
      <c r="BS18" s="244"/>
      <c r="BT18" s="244"/>
      <c r="BU18" s="244"/>
      <c r="BV18" s="244"/>
      <c r="BW18" s="244"/>
      <c r="BX18" s="244"/>
      <c r="BY18" s="244"/>
      <c r="BZ18" s="244"/>
      <c r="CA18" s="244"/>
      <c r="CB18" s="244"/>
      <c r="CC18" s="244"/>
      <c r="CD18" s="244"/>
      <c r="CE18" s="244"/>
      <c r="CF18" s="244"/>
      <c r="CG18" s="244"/>
      <c r="CH18" s="244"/>
      <c r="CI18" s="244"/>
      <c r="CJ18" s="244"/>
      <c r="CK18" s="244"/>
      <c r="CL18" s="244"/>
      <c r="CM18" s="244"/>
      <c r="CN18" s="244"/>
      <c r="CO18" s="244"/>
      <c r="CP18" s="244"/>
      <c r="CQ18" s="244"/>
      <c r="CR18" s="244"/>
      <c r="CS18" s="244"/>
      <c r="CT18" s="241" t="str">
        <f t="shared" si="3"/>
        <v/>
      </c>
      <c r="CU18" s="246" t="str">
        <f t="shared" si="4"/>
        <v/>
      </c>
      <c r="CV18" s="241" t="str">
        <f t="shared" si="5"/>
        <v/>
      </c>
      <c r="CW18" s="246" t="str">
        <f t="shared" si="6"/>
        <v/>
      </c>
      <c r="CX18" s="241" t="str">
        <f t="shared" si="7"/>
        <v/>
      </c>
      <c r="CY18" s="241" t="str">
        <f t="shared" si="8"/>
        <v/>
      </c>
      <c r="CZ18" s="241" t="str">
        <f t="shared" si="9"/>
        <v/>
      </c>
      <c r="DA18" s="246" t="str">
        <f t="shared" si="10"/>
        <v/>
      </c>
      <c r="DB18" s="246" t="str">
        <f t="shared" si="11"/>
        <v/>
      </c>
      <c r="DC18" s="246" t="str">
        <f t="shared" si="12"/>
        <v/>
      </c>
      <c r="DD18" s="241" t="str">
        <f t="shared" si="13"/>
        <v>1</v>
      </c>
      <c r="DE18" s="241" t="str">
        <f t="shared" si="14"/>
        <v/>
      </c>
      <c r="DF18" s="241" t="str">
        <f t="shared" si="15"/>
        <v/>
      </c>
      <c r="DG18" s="244" t="str">
        <f t="shared" si="16"/>
        <v/>
      </c>
      <c r="DH18" s="244" t="str">
        <f t="shared" si="17"/>
        <v/>
      </c>
      <c r="DI18" s="244" t="str">
        <f>IF(COUNTIF(PlayerAltNames,B18)&gt;0, B18, I18)</f>
        <v/>
      </c>
      <c r="DJ18" s="247" t="str">
        <f t="shared" ref="DJ18:DO18" si="55">IF(COUNTIF($I18,$DI18)&gt;0, J18, C18)</f>
        <v/>
      </c>
      <c r="DK18" s="247" t="str">
        <f t="shared" si="55"/>
        <v/>
      </c>
      <c r="DL18" s="247" t="str">
        <f t="shared" si="55"/>
        <v/>
      </c>
      <c r="DM18" s="247" t="str">
        <f t="shared" si="55"/>
        <v/>
      </c>
      <c r="DN18" s="247" t="str">
        <f t="shared" si="55"/>
        <v/>
      </c>
      <c r="DO18" s="247" t="str">
        <f t="shared" si="55"/>
        <v/>
      </c>
      <c r="DP18" s="244" t="str">
        <f t="shared" si="19"/>
        <v/>
      </c>
      <c r="DQ18" s="244" t="str">
        <f t="shared" ref="DQ18:DV18" si="56">IF(COUNTIF($I18,$DP18), J18, C18)</f>
        <v/>
      </c>
      <c r="DR18" s="244" t="str">
        <f t="shared" si="56"/>
        <v/>
      </c>
      <c r="DS18" s="244" t="str">
        <f t="shared" si="56"/>
        <v/>
      </c>
      <c r="DT18" s="244" t="str">
        <f t="shared" si="56"/>
        <v/>
      </c>
      <c r="DU18" s="244" t="str">
        <f t="shared" si="56"/>
        <v/>
      </c>
      <c r="DV18" s="244" t="str">
        <f t="shared" si="56"/>
        <v/>
      </c>
      <c r="DW18" s="241" t="str">
        <f>IF(HomePage!C29 &lt;&gt; "", IFS(AND(P18 = 1, COUNTIF(PlayerAltNames, B18)&gt;0), "Win", AND(P18 = 1, COUNTIF(PlayerAltNames, I18)&gt;0), "Loss", AND(P18 = 2, COUNTIF(PlayerAltNames, I18)&gt;0), "Win", AND(P18 = 2, COUNTIF(PlayerAltNames, B18)&gt;0), "Loss"), "")</f>
        <v/>
      </c>
      <c r="DX18" s="244"/>
      <c r="DY18" s="244" t="str">
        <f t="shared" si="21"/>
        <v>#N/A</v>
      </c>
      <c r="DZ18" s="244" t="str">
        <f t="shared" si="22"/>
        <v>#N/A</v>
      </c>
      <c r="EA18" s="244" t="str">
        <f t="shared" si="23"/>
        <v>#N/A</v>
      </c>
      <c r="EB18" s="244" t="str">
        <f t="shared" si="24"/>
        <v>#N/A</v>
      </c>
      <c r="EC18" s="244" t="str">
        <f t="shared" si="25"/>
        <v>#N/A</v>
      </c>
      <c r="ED18" s="244" t="str">
        <f t="shared" si="26"/>
        <v>#N/A</v>
      </c>
      <c r="EE18" s="244" t="str">
        <f t="shared" si="27"/>
        <v> -&gt; </v>
      </c>
      <c r="EF18" s="244" t="str">
        <f t="shared" si="28"/>
        <v/>
      </c>
      <c r="EG18" s="244"/>
      <c r="EH18" s="244"/>
      <c r="EI18" s="245"/>
    </row>
    <row r="19">
      <c r="A19" s="105"/>
      <c r="B19" s="239" t="str">
        <f>IF(HomePage!C30&lt;&gt;"", REPLAYTODATA(HomePage!C30), "")</f>
        <v/>
      </c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44"/>
      <c r="BR19" s="244"/>
      <c r="BS19" s="244"/>
      <c r="BT19" s="244"/>
      <c r="BU19" s="244"/>
      <c r="BV19" s="244"/>
      <c r="BW19" s="244"/>
      <c r="BX19" s="244"/>
      <c r="BY19" s="244"/>
      <c r="BZ19" s="244"/>
      <c r="CA19" s="244"/>
      <c r="CB19" s="244"/>
      <c r="CC19" s="244"/>
      <c r="CD19" s="244"/>
      <c r="CE19" s="244"/>
      <c r="CF19" s="244"/>
      <c r="CG19" s="244"/>
      <c r="CH19" s="244"/>
      <c r="CI19" s="244"/>
      <c r="CJ19" s="244"/>
      <c r="CK19" s="244"/>
      <c r="CL19" s="244"/>
      <c r="CM19" s="244"/>
      <c r="CN19" s="244"/>
      <c r="CO19" s="244"/>
      <c r="CP19" s="244"/>
      <c r="CQ19" s="244"/>
      <c r="CR19" s="244"/>
      <c r="CS19" s="244"/>
      <c r="CT19" s="241" t="str">
        <f t="shared" si="3"/>
        <v/>
      </c>
      <c r="CU19" s="246" t="str">
        <f t="shared" si="4"/>
        <v/>
      </c>
      <c r="CV19" s="241" t="str">
        <f t="shared" si="5"/>
        <v/>
      </c>
      <c r="CW19" s="246" t="str">
        <f t="shared" si="6"/>
        <v/>
      </c>
      <c r="CX19" s="241" t="str">
        <f t="shared" si="7"/>
        <v/>
      </c>
      <c r="CY19" s="241" t="str">
        <f t="shared" si="8"/>
        <v/>
      </c>
      <c r="CZ19" s="241" t="str">
        <f t="shared" si="9"/>
        <v/>
      </c>
      <c r="DA19" s="246" t="str">
        <f t="shared" si="10"/>
        <v/>
      </c>
      <c r="DB19" s="246" t="str">
        <f t="shared" si="11"/>
        <v/>
      </c>
      <c r="DC19" s="246" t="str">
        <f t="shared" si="12"/>
        <v/>
      </c>
      <c r="DD19" s="241" t="str">
        <f t="shared" si="13"/>
        <v>1</v>
      </c>
      <c r="DE19" s="241" t="str">
        <f t="shared" si="14"/>
        <v/>
      </c>
      <c r="DF19" s="241" t="str">
        <f t="shared" si="15"/>
        <v/>
      </c>
      <c r="DG19" s="244" t="str">
        <f t="shared" si="16"/>
        <v/>
      </c>
      <c r="DH19" s="244" t="str">
        <f t="shared" si="17"/>
        <v/>
      </c>
      <c r="DI19" s="244" t="str">
        <f>IF(COUNTIF(PlayerAltNames,B19)&gt;0, B19, I19)</f>
        <v/>
      </c>
      <c r="DJ19" s="247" t="str">
        <f t="shared" ref="DJ19:DO19" si="57">IF(COUNTIF($I19,$DI19)&gt;0, J19, C19)</f>
        <v/>
      </c>
      <c r="DK19" s="247" t="str">
        <f t="shared" si="57"/>
        <v/>
      </c>
      <c r="DL19" s="247" t="str">
        <f t="shared" si="57"/>
        <v/>
      </c>
      <c r="DM19" s="247" t="str">
        <f t="shared" si="57"/>
        <v/>
      </c>
      <c r="DN19" s="247" t="str">
        <f t="shared" si="57"/>
        <v/>
      </c>
      <c r="DO19" s="247" t="str">
        <f t="shared" si="57"/>
        <v/>
      </c>
      <c r="DP19" s="244" t="str">
        <f t="shared" si="19"/>
        <v/>
      </c>
      <c r="DQ19" s="244" t="str">
        <f t="shared" ref="DQ19:DV19" si="58">IF(COUNTIF($I19,$DP19), J19, C19)</f>
        <v/>
      </c>
      <c r="DR19" s="244" t="str">
        <f t="shared" si="58"/>
        <v/>
      </c>
      <c r="DS19" s="244" t="str">
        <f t="shared" si="58"/>
        <v/>
      </c>
      <c r="DT19" s="244" t="str">
        <f t="shared" si="58"/>
        <v/>
      </c>
      <c r="DU19" s="244" t="str">
        <f t="shared" si="58"/>
        <v/>
      </c>
      <c r="DV19" s="244" t="str">
        <f t="shared" si="58"/>
        <v/>
      </c>
      <c r="DW19" s="241" t="str">
        <f>IF(HomePage!C30 &lt;&gt; "", IFS(AND(P19 = 1, COUNTIF(PlayerAltNames, B19)&gt;0), "Win", AND(P19 = 1, COUNTIF(PlayerAltNames, I19)&gt;0), "Loss", AND(P19 = 2, COUNTIF(PlayerAltNames, I19)&gt;0), "Win", AND(P19 = 2, COUNTIF(PlayerAltNames, B19)&gt;0), "Loss"), "")</f>
        <v/>
      </c>
      <c r="DX19" s="244"/>
      <c r="DY19" s="244" t="str">
        <f t="shared" si="21"/>
        <v>#N/A</v>
      </c>
      <c r="DZ19" s="244" t="str">
        <f t="shared" si="22"/>
        <v>#N/A</v>
      </c>
      <c r="EA19" s="244" t="str">
        <f t="shared" si="23"/>
        <v>#N/A</v>
      </c>
      <c r="EB19" s="244" t="str">
        <f t="shared" si="24"/>
        <v>#N/A</v>
      </c>
      <c r="EC19" s="244" t="str">
        <f t="shared" si="25"/>
        <v>#N/A</v>
      </c>
      <c r="ED19" s="244" t="str">
        <f t="shared" si="26"/>
        <v>#N/A</v>
      </c>
      <c r="EE19" s="244" t="str">
        <f t="shared" si="27"/>
        <v> -&gt; </v>
      </c>
      <c r="EF19" s="244" t="str">
        <f t="shared" si="28"/>
        <v/>
      </c>
      <c r="EG19" s="244"/>
      <c r="EH19" s="244"/>
      <c r="EI19" s="245"/>
    </row>
    <row r="20">
      <c r="A20" s="105"/>
      <c r="B20" s="239" t="str">
        <f>IF(HomePage!C31&lt;&gt;"", REPLAYTODATA(HomePage!C31), "")</f>
        <v/>
      </c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  <c r="AY20" s="244"/>
      <c r="AZ20" s="244"/>
      <c r="BA20" s="244"/>
      <c r="BB20" s="244"/>
      <c r="BC20" s="244"/>
      <c r="BD20" s="244"/>
      <c r="BE20" s="244"/>
      <c r="BF20" s="244"/>
      <c r="BG20" s="244"/>
      <c r="BH20" s="244"/>
      <c r="BI20" s="244"/>
      <c r="BJ20" s="244"/>
      <c r="BK20" s="244"/>
      <c r="BL20" s="244"/>
      <c r="BM20" s="244"/>
      <c r="BN20" s="244"/>
      <c r="BO20" s="244"/>
      <c r="BP20" s="244"/>
      <c r="BQ20" s="244"/>
      <c r="BR20" s="244"/>
      <c r="BS20" s="244"/>
      <c r="BT20" s="244"/>
      <c r="BU20" s="244"/>
      <c r="BV20" s="244"/>
      <c r="BW20" s="244"/>
      <c r="BX20" s="244"/>
      <c r="BY20" s="244"/>
      <c r="BZ20" s="244"/>
      <c r="CA20" s="244"/>
      <c r="CB20" s="244"/>
      <c r="CC20" s="244"/>
      <c r="CD20" s="244"/>
      <c r="CE20" s="244"/>
      <c r="CF20" s="244"/>
      <c r="CG20" s="244"/>
      <c r="CH20" s="244"/>
      <c r="CI20" s="244"/>
      <c r="CJ20" s="244"/>
      <c r="CK20" s="244"/>
      <c r="CL20" s="244"/>
      <c r="CM20" s="244"/>
      <c r="CN20" s="244"/>
      <c r="CO20" s="244"/>
      <c r="CP20" s="244"/>
      <c r="CQ20" s="244"/>
      <c r="CR20" s="244"/>
      <c r="CS20" s="244"/>
      <c r="CT20" s="241" t="str">
        <f t="shared" si="3"/>
        <v/>
      </c>
      <c r="CU20" s="246" t="str">
        <f t="shared" si="4"/>
        <v/>
      </c>
      <c r="CV20" s="241" t="str">
        <f t="shared" si="5"/>
        <v/>
      </c>
      <c r="CW20" s="246" t="str">
        <f t="shared" si="6"/>
        <v/>
      </c>
      <c r="CX20" s="241" t="str">
        <f t="shared" si="7"/>
        <v/>
      </c>
      <c r="CY20" s="241" t="str">
        <f t="shared" si="8"/>
        <v/>
      </c>
      <c r="CZ20" s="241" t="str">
        <f t="shared" si="9"/>
        <v/>
      </c>
      <c r="DA20" s="246" t="str">
        <f t="shared" si="10"/>
        <v/>
      </c>
      <c r="DB20" s="246" t="str">
        <f t="shared" si="11"/>
        <v/>
      </c>
      <c r="DC20" s="246" t="str">
        <f t="shared" si="12"/>
        <v/>
      </c>
      <c r="DD20" s="241" t="str">
        <f t="shared" si="13"/>
        <v>1</v>
      </c>
      <c r="DE20" s="241" t="str">
        <f t="shared" si="14"/>
        <v/>
      </c>
      <c r="DF20" s="241" t="str">
        <f t="shared" si="15"/>
        <v/>
      </c>
      <c r="DG20" s="244" t="str">
        <f t="shared" si="16"/>
        <v/>
      </c>
      <c r="DH20" s="244" t="str">
        <f t="shared" si="17"/>
        <v/>
      </c>
      <c r="DI20" s="244" t="str">
        <f>IF(COUNTIF(PlayerAltNames,B20)&gt;0, B20, I20)</f>
        <v/>
      </c>
      <c r="DJ20" s="247" t="str">
        <f t="shared" ref="DJ20:DO20" si="59">IF(COUNTIF($I20,$DI20)&gt;0, J20, C20)</f>
        <v/>
      </c>
      <c r="DK20" s="247" t="str">
        <f t="shared" si="59"/>
        <v/>
      </c>
      <c r="DL20" s="247" t="str">
        <f t="shared" si="59"/>
        <v/>
      </c>
      <c r="DM20" s="247" t="str">
        <f t="shared" si="59"/>
        <v/>
      </c>
      <c r="DN20" s="247" t="str">
        <f t="shared" si="59"/>
        <v/>
      </c>
      <c r="DO20" s="247" t="str">
        <f t="shared" si="59"/>
        <v/>
      </c>
      <c r="DP20" s="244" t="str">
        <f t="shared" si="19"/>
        <v/>
      </c>
      <c r="DQ20" s="244" t="str">
        <f t="shared" ref="DQ20:DV20" si="60">IF(COUNTIF($I20,$DP20), J20, C20)</f>
        <v/>
      </c>
      <c r="DR20" s="244" t="str">
        <f t="shared" si="60"/>
        <v/>
      </c>
      <c r="DS20" s="244" t="str">
        <f t="shared" si="60"/>
        <v/>
      </c>
      <c r="DT20" s="244" t="str">
        <f t="shared" si="60"/>
        <v/>
      </c>
      <c r="DU20" s="244" t="str">
        <f t="shared" si="60"/>
        <v/>
      </c>
      <c r="DV20" s="244" t="str">
        <f t="shared" si="60"/>
        <v/>
      </c>
      <c r="DW20" s="241" t="str">
        <f>IF(HomePage!C31 &lt;&gt; "", IFS(AND(P20 = 1, COUNTIF(PlayerAltNames, B20)&gt;0), "Win", AND(P20 = 1, COUNTIF(PlayerAltNames, I20)&gt;0), "Loss", AND(P20 = 2, COUNTIF(PlayerAltNames, I20)&gt;0), "Win", AND(P20 = 2, COUNTIF(PlayerAltNames, B20)&gt;0), "Loss"), "")</f>
        <v/>
      </c>
      <c r="DX20" s="244"/>
      <c r="DY20" s="244" t="str">
        <f t="shared" si="21"/>
        <v>#N/A</v>
      </c>
      <c r="DZ20" s="244" t="str">
        <f t="shared" si="22"/>
        <v>#N/A</v>
      </c>
      <c r="EA20" s="244" t="str">
        <f t="shared" si="23"/>
        <v>#N/A</v>
      </c>
      <c r="EB20" s="244" t="str">
        <f t="shared" si="24"/>
        <v>#N/A</v>
      </c>
      <c r="EC20" s="244" t="str">
        <f t="shared" si="25"/>
        <v>#N/A</v>
      </c>
      <c r="ED20" s="244" t="str">
        <f t="shared" si="26"/>
        <v>#N/A</v>
      </c>
      <c r="EE20" s="244" t="str">
        <f t="shared" si="27"/>
        <v> -&gt; </v>
      </c>
      <c r="EF20" s="244" t="str">
        <f t="shared" si="28"/>
        <v/>
      </c>
      <c r="EG20" s="244"/>
      <c r="EH20" s="244"/>
      <c r="EI20" s="245"/>
    </row>
    <row r="21">
      <c r="A21" s="105"/>
      <c r="B21" s="239" t="str">
        <f>IF(HomePage!C32&lt;&gt;"", REPLAYTODATA(HomePage!C32), "")</f>
        <v/>
      </c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4"/>
      <c r="BK21" s="244"/>
      <c r="BL21" s="244"/>
      <c r="BM21" s="244"/>
      <c r="BN21" s="244"/>
      <c r="BO21" s="244"/>
      <c r="BP21" s="244"/>
      <c r="BQ21" s="244"/>
      <c r="BR21" s="244"/>
      <c r="BS21" s="244"/>
      <c r="BT21" s="244"/>
      <c r="BU21" s="244"/>
      <c r="BV21" s="244"/>
      <c r="BW21" s="244"/>
      <c r="BX21" s="244"/>
      <c r="BY21" s="244"/>
      <c r="BZ21" s="244"/>
      <c r="CA21" s="244"/>
      <c r="CB21" s="244"/>
      <c r="CC21" s="244"/>
      <c r="CD21" s="244"/>
      <c r="CE21" s="244"/>
      <c r="CF21" s="244"/>
      <c r="CG21" s="244"/>
      <c r="CH21" s="244"/>
      <c r="CI21" s="244"/>
      <c r="CJ21" s="244"/>
      <c r="CK21" s="244"/>
      <c r="CL21" s="244"/>
      <c r="CM21" s="244"/>
      <c r="CN21" s="244"/>
      <c r="CO21" s="244"/>
      <c r="CP21" s="244"/>
      <c r="CQ21" s="244"/>
      <c r="CR21" s="244"/>
      <c r="CS21" s="244"/>
      <c r="CT21" s="241" t="str">
        <f t="shared" si="3"/>
        <v/>
      </c>
      <c r="CU21" s="246" t="str">
        <f t="shared" si="4"/>
        <v/>
      </c>
      <c r="CV21" s="241" t="str">
        <f t="shared" si="5"/>
        <v/>
      </c>
      <c r="CW21" s="246" t="str">
        <f t="shared" si="6"/>
        <v/>
      </c>
      <c r="CX21" s="241" t="str">
        <f t="shared" si="7"/>
        <v/>
      </c>
      <c r="CY21" s="241" t="str">
        <f t="shared" si="8"/>
        <v/>
      </c>
      <c r="CZ21" s="241" t="str">
        <f t="shared" si="9"/>
        <v/>
      </c>
      <c r="DA21" s="246" t="str">
        <f t="shared" si="10"/>
        <v/>
      </c>
      <c r="DB21" s="246" t="str">
        <f t="shared" si="11"/>
        <v/>
      </c>
      <c r="DC21" s="246" t="str">
        <f t="shared" si="12"/>
        <v/>
      </c>
      <c r="DD21" s="241" t="str">
        <f t="shared" si="13"/>
        <v>1</v>
      </c>
      <c r="DE21" s="241" t="str">
        <f t="shared" si="14"/>
        <v/>
      </c>
      <c r="DF21" s="241" t="str">
        <f t="shared" si="15"/>
        <v/>
      </c>
      <c r="DG21" s="244" t="str">
        <f t="shared" si="16"/>
        <v/>
      </c>
      <c r="DH21" s="244" t="str">
        <f t="shared" si="17"/>
        <v/>
      </c>
      <c r="DI21" s="244" t="str">
        <f>IF(COUNTIF(PlayerAltNames,B21)&gt;0, B21, I21)</f>
        <v/>
      </c>
      <c r="DJ21" s="247" t="str">
        <f t="shared" ref="DJ21:DO21" si="61">IF(COUNTIF($I21,$DI21)&gt;0, J21, C21)</f>
        <v/>
      </c>
      <c r="DK21" s="247" t="str">
        <f t="shared" si="61"/>
        <v/>
      </c>
      <c r="DL21" s="247" t="str">
        <f t="shared" si="61"/>
        <v/>
      </c>
      <c r="DM21" s="247" t="str">
        <f t="shared" si="61"/>
        <v/>
      </c>
      <c r="DN21" s="247" t="str">
        <f t="shared" si="61"/>
        <v/>
      </c>
      <c r="DO21" s="247" t="str">
        <f t="shared" si="61"/>
        <v/>
      </c>
      <c r="DP21" s="244" t="str">
        <f t="shared" si="19"/>
        <v/>
      </c>
      <c r="DQ21" s="244" t="str">
        <f t="shared" ref="DQ21:DV21" si="62">IF(COUNTIF($I21,$DP21), J21, C21)</f>
        <v/>
      </c>
      <c r="DR21" s="244" t="str">
        <f t="shared" si="62"/>
        <v/>
      </c>
      <c r="DS21" s="244" t="str">
        <f t="shared" si="62"/>
        <v/>
      </c>
      <c r="DT21" s="244" t="str">
        <f t="shared" si="62"/>
        <v/>
      </c>
      <c r="DU21" s="244" t="str">
        <f t="shared" si="62"/>
        <v/>
      </c>
      <c r="DV21" s="244" t="str">
        <f t="shared" si="62"/>
        <v/>
      </c>
      <c r="DW21" s="241" t="str">
        <f>IF(HomePage!C32 &lt;&gt; "", IFS(AND(P21 = 1, COUNTIF(PlayerAltNames, B21)&gt;0), "Win", AND(P21 = 1, COUNTIF(PlayerAltNames, I21)&gt;0), "Loss", AND(P21 = 2, COUNTIF(PlayerAltNames, I21)&gt;0), "Win", AND(P21 = 2, COUNTIF(PlayerAltNames, B21)&gt;0), "Loss"), "")</f>
        <v/>
      </c>
      <c r="DX21" s="244"/>
      <c r="DY21" s="244" t="str">
        <f t="shared" si="21"/>
        <v>#N/A</v>
      </c>
      <c r="DZ21" s="244" t="str">
        <f t="shared" si="22"/>
        <v>#N/A</v>
      </c>
      <c r="EA21" s="244" t="str">
        <f t="shared" si="23"/>
        <v>#N/A</v>
      </c>
      <c r="EB21" s="244" t="str">
        <f t="shared" si="24"/>
        <v>#N/A</v>
      </c>
      <c r="EC21" s="244" t="str">
        <f t="shared" si="25"/>
        <v>#N/A</v>
      </c>
      <c r="ED21" s="244" t="str">
        <f t="shared" si="26"/>
        <v>#N/A</v>
      </c>
      <c r="EE21" s="244" t="str">
        <f t="shared" si="27"/>
        <v> -&gt; </v>
      </c>
      <c r="EF21" s="244" t="str">
        <f t="shared" si="28"/>
        <v/>
      </c>
      <c r="EG21" s="244"/>
      <c r="EH21" s="244"/>
      <c r="EI21" s="245"/>
    </row>
    <row r="22">
      <c r="A22" s="105"/>
      <c r="B22" s="239" t="str">
        <f>IF(HomePage!C33&lt;&gt;"", REPLAYTODATA(HomePage!C33), "")</f>
        <v/>
      </c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4"/>
      <c r="BK22" s="244"/>
      <c r="BL22" s="244"/>
      <c r="BM22" s="244"/>
      <c r="BN22" s="244"/>
      <c r="BO22" s="244"/>
      <c r="BP22" s="244"/>
      <c r="BQ22" s="244"/>
      <c r="BR22" s="244"/>
      <c r="BS22" s="244"/>
      <c r="BT22" s="244"/>
      <c r="BU22" s="244"/>
      <c r="BV22" s="244"/>
      <c r="BW22" s="244"/>
      <c r="BX22" s="244"/>
      <c r="BY22" s="244"/>
      <c r="BZ22" s="244"/>
      <c r="CA22" s="244"/>
      <c r="CB22" s="244"/>
      <c r="CC22" s="244"/>
      <c r="CD22" s="244"/>
      <c r="CE22" s="244"/>
      <c r="CF22" s="244"/>
      <c r="CG22" s="244"/>
      <c r="CH22" s="244"/>
      <c r="CI22" s="244"/>
      <c r="CJ22" s="244"/>
      <c r="CK22" s="244"/>
      <c r="CL22" s="244"/>
      <c r="CM22" s="244"/>
      <c r="CN22" s="244"/>
      <c r="CO22" s="244"/>
      <c r="CP22" s="244"/>
      <c r="CQ22" s="244"/>
      <c r="CR22" s="244"/>
      <c r="CS22" s="244"/>
      <c r="CT22" s="241" t="str">
        <f t="shared" si="3"/>
        <v/>
      </c>
      <c r="CU22" s="246" t="str">
        <f t="shared" si="4"/>
        <v/>
      </c>
      <c r="CV22" s="241" t="str">
        <f t="shared" si="5"/>
        <v/>
      </c>
      <c r="CW22" s="246" t="str">
        <f t="shared" si="6"/>
        <v/>
      </c>
      <c r="CX22" s="241" t="str">
        <f t="shared" si="7"/>
        <v/>
      </c>
      <c r="CY22" s="241" t="str">
        <f t="shared" si="8"/>
        <v/>
      </c>
      <c r="CZ22" s="241" t="str">
        <f t="shared" si="9"/>
        <v/>
      </c>
      <c r="DA22" s="246" t="str">
        <f t="shared" si="10"/>
        <v/>
      </c>
      <c r="DB22" s="246" t="str">
        <f t="shared" si="11"/>
        <v/>
      </c>
      <c r="DC22" s="246" t="str">
        <f t="shared" si="12"/>
        <v/>
      </c>
      <c r="DD22" s="241" t="str">
        <f t="shared" si="13"/>
        <v>1</v>
      </c>
      <c r="DE22" s="241" t="str">
        <f t="shared" si="14"/>
        <v/>
      </c>
      <c r="DF22" s="241" t="str">
        <f t="shared" si="15"/>
        <v/>
      </c>
      <c r="DG22" s="244" t="str">
        <f t="shared" si="16"/>
        <v/>
      </c>
      <c r="DH22" s="244" t="str">
        <f t="shared" si="17"/>
        <v/>
      </c>
      <c r="DI22" s="244" t="str">
        <f>IF(COUNTIF(PlayerAltNames,B22)&gt;0, B22, I22)</f>
        <v/>
      </c>
      <c r="DJ22" s="247" t="str">
        <f t="shared" ref="DJ22:DO22" si="63">IF(COUNTIF($I22,$DI22)&gt;0, J22, C22)</f>
        <v/>
      </c>
      <c r="DK22" s="247" t="str">
        <f t="shared" si="63"/>
        <v/>
      </c>
      <c r="DL22" s="247" t="str">
        <f t="shared" si="63"/>
        <v/>
      </c>
      <c r="DM22" s="247" t="str">
        <f t="shared" si="63"/>
        <v/>
      </c>
      <c r="DN22" s="247" t="str">
        <f t="shared" si="63"/>
        <v/>
      </c>
      <c r="DO22" s="247" t="str">
        <f t="shared" si="63"/>
        <v/>
      </c>
      <c r="DP22" s="244" t="str">
        <f t="shared" si="19"/>
        <v/>
      </c>
      <c r="DQ22" s="244" t="str">
        <f t="shared" ref="DQ22:DV22" si="64">IF(COUNTIF($I22,$DP22), J22, C22)</f>
        <v/>
      </c>
      <c r="DR22" s="244" t="str">
        <f t="shared" si="64"/>
        <v/>
      </c>
      <c r="DS22" s="244" t="str">
        <f t="shared" si="64"/>
        <v/>
      </c>
      <c r="DT22" s="244" t="str">
        <f t="shared" si="64"/>
        <v/>
      </c>
      <c r="DU22" s="244" t="str">
        <f t="shared" si="64"/>
        <v/>
      </c>
      <c r="DV22" s="244" t="str">
        <f t="shared" si="64"/>
        <v/>
      </c>
      <c r="DW22" s="241" t="str">
        <f>IF(HomePage!C33 &lt;&gt; "", IFS(AND(P22 = 1, COUNTIF(PlayerAltNames, B22)&gt;0), "Win", AND(P22 = 1, COUNTIF(PlayerAltNames, I22)&gt;0), "Loss", AND(P22 = 2, COUNTIF(PlayerAltNames, I22)&gt;0), "Win", AND(P22 = 2, COUNTIF(PlayerAltNames, B22)&gt;0), "Loss"), "")</f>
        <v/>
      </c>
      <c r="DX22" s="244"/>
      <c r="DY22" s="244" t="str">
        <f t="shared" si="21"/>
        <v>#N/A</v>
      </c>
      <c r="DZ22" s="244" t="str">
        <f t="shared" si="22"/>
        <v>#N/A</v>
      </c>
      <c r="EA22" s="244" t="str">
        <f t="shared" si="23"/>
        <v>#N/A</v>
      </c>
      <c r="EB22" s="244" t="str">
        <f t="shared" si="24"/>
        <v>#N/A</v>
      </c>
      <c r="EC22" s="244" t="str">
        <f t="shared" si="25"/>
        <v>#N/A</v>
      </c>
      <c r="ED22" s="244" t="str">
        <f t="shared" si="26"/>
        <v>#N/A</v>
      </c>
      <c r="EE22" s="244" t="str">
        <f t="shared" si="27"/>
        <v> -&gt; </v>
      </c>
      <c r="EF22" s="244" t="str">
        <f t="shared" si="28"/>
        <v/>
      </c>
      <c r="EG22" s="244"/>
      <c r="EH22" s="244"/>
      <c r="EI22" s="245"/>
    </row>
    <row r="23">
      <c r="A23" s="105"/>
      <c r="B23" s="239" t="str">
        <f>IF(HomePage!C34&lt;&gt;"", REPLAYTODATA(HomePage!C34), "")</f>
        <v/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  <c r="BL23" s="244"/>
      <c r="BM23" s="244"/>
      <c r="BN23" s="244"/>
      <c r="BO23" s="244"/>
      <c r="BP23" s="244"/>
      <c r="BQ23" s="244"/>
      <c r="BR23" s="244"/>
      <c r="BS23" s="244"/>
      <c r="BT23" s="244"/>
      <c r="BU23" s="244"/>
      <c r="BV23" s="244"/>
      <c r="BW23" s="244"/>
      <c r="BX23" s="244"/>
      <c r="BY23" s="244"/>
      <c r="BZ23" s="244"/>
      <c r="CA23" s="244"/>
      <c r="CB23" s="244"/>
      <c r="CC23" s="244"/>
      <c r="CD23" s="244"/>
      <c r="CE23" s="244"/>
      <c r="CF23" s="244"/>
      <c r="CG23" s="244"/>
      <c r="CH23" s="244"/>
      <c r="CI23" s="244"/>
      <c r="CJ23" s="244"/>
      <c r="CK23" s="244"/>
      <c r="CL23" s="244"/>
      <c r="CM23" s="244"/>
      <c r="CN23" s="244"/>
      <c r="CO23" s="244"/>
      <c r="CP23" s="244"/>
      <c r="CQ23" s="244"/>
      <c r="CR23" s="244"/>
      <c r="CS23" s="244"/>
      <c r="CT23" s="241" t="str">
        <f t="shared" si="3"/>
        <v/>
      </c>
      <c r="CU23" s="246" t="str">
        <f t="shared" si="4"/>
        <v/>
      </c>
      <c r="CV23" s="241" t="str">
        <f t="shared" si="5"/>
        <v/>
      </c>
      <c r="CW23" s="246" t="str">
        <f t="shared" si="6"/>
        <v/>
      </c>
      <c r="CX23" s="241" t="str">
        <f t="shared" si="7"/>
        <v/>
      </c>
      <c r="CY23" s="241" t="str">
        <f t="shared" si="8"/>
        <v/>
      </c>
      <c r="CZ23" s="241" t="str">
        <f t="shared" si="9"/>
        <v/>
      </c>
      <c r="DA23" s="246" t="str">
        <f t="shared" si="10"/>
        <v/>
      </c>
      <c r="DB23" s="246" t="str">
        <f t="shared" si="11"/>
        <v/>
      </c>
      <c r="DC23" s="246" t="str">
        <f t="shared" si="12"/>
        <v/>
      </c>
      <c r="DD23" s="241" t="str">
        <f t="shared" si="13"/>
        <v>1</v>
      </c>
      <c r="DE23" s="241" t="str">
        <f t="shared" si="14"/>
        <v/>
      </c>
      <c r="DF23" s="241" t="str">
        <f t="shared" si="15"/>
        <v/>
      </c>
      <c r="DG23" s="244" t="str">
        <f t="shared" si="16"/>
        <v/>
      </c>
      <c r="DH23" s="244" t="str">
        <f t="shared" si="17"/>
        <v/>
      </c>
      <c r="DI23" s="244" t="str">
        <f>IF(COUNTIF(PlayerAltNames,B23)&gt;0, B23, I23)</f>
        <v/>
      </c>
      <c r="DJ23" s="247" t="str">
        <f t="shared" ref="DJ23:DO23" si="65">IF(COUNTIF($I23,$DI23)&gt;0, J23, C23)</f>
        <v/>
      </c>
      <c r="DK23" s="247" t="str">
        <f t="shared" si="65"/>
        <v/>
      </c>
      <c r="DL23" s="247" t="str">
        <f t="shared" si="65"/>
        <v/>
      </c>
      <c r="DM23" s="247" t="str">
        <f t="shared" si="65"/>
        <v/>
      </c>
      <c r="DN23" s="247" t="str">
        <f t="shared" si="65"/>
        <v/>
      </c>
      <c r="DO23" s="247" t="str">
        <f t="shared" si="65"/>
        <v/>
      </c>
      <c r="DP23" s="244" t="str">
        <f t="shared" si="19"/>
        <v/>
      </c>
      <c r="DQ23" s="244" t="str">
        <f t="shared" ref="DQ23:DV23" si="66">IF(COUNTIF($I23,$DP23), J23, C23)</f>
        <v/>
      </c>
      <c r="DR23" s="244" t="str">
        <f t="shared" si="66"/>
        <v/>
      </c>
      <c r="DS23" s="244" t="str">
        <f t="shared" si="66"/>
        <v/>
      </c>
      <c r="DT23" s="244" t="str">
        <f t="shared" si="66"/>
        <v/>
      </c>
      <c r="DU23" s="244" t="str">
        <f t="shared" si="66"/>
        <v/>
      </c>
      <c r="DV23" s="244" t="str">
        <f t="shared" si="66"/>
        <v/>
      </c>
      <c r="DW23" s="241" t="str">
        <f>IF(HomePage!C34 &lt;&gt; "", IFS(AND(P23 = 1, COUNTIF(PlayerAltNames, B23)&gt;0), "Win", AND(P23 = 1, COUNTIF(PlayerAltNames, I23)&gt;0), "Loss", AND(P23 = 2, COUNTIF(PlayerAltNames, I23)&gt;0), "Win", AND(P23 = 2, COUNTIF(PlayerAltNames, B23)&gt;0), "Loss"), "")</f>
        <v/>
      </c>
      <c r="DX23" s="244"/>
      <c r="DY23" s="244" t="str">
        <f t="shared" si="21"/>
        <v>#N/A</v>
      </c>
      <c r="DZ23" s="244" t="str">
        <f t="shared" si="22"/>
        <v>#N/A</v>
      </c>
      <c r="EA23" s="244" t="str">
        <f t="shared" si="23"/>
        <v>#N/A</v>
      </c>
      <c r="EB23" s="244" t="str">
        <f t="shared" si="24"/>
        <v>#N/A</v>
      </c>
      <c r="EC23" s="244" t="str">
        <f t="shared" si="25"/>
        <v>#N/A</v>
      </c>
      <c r="ED23" s="244" t="str">
        <f t="shared" si="26"/>
        <v>#N/A</v>
      </c>
      <c r="EE23" s="244" t="str">
        <f t="shared" si="27"/>
        <v> -&gt; </v>
      </c>
      <c r="EF23" s="244" t="str">
        <f t="shared" si="28"/>
        <v/>
      </c>
      <c r="EG23" s="244"/>
      <c r="EH23" s="244"/>
      <c r="EI23" s="245"/>
    </row>
    <row r="24">
      <c r="A24" s="105"/>
      <c r="B24" s="239" t="str">
        <f>IF(HomePage!C35&lt;&gt;"", REPLAYTODATA(HomePage!C35), "")</f>
        <v/>
      </c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244"/>
      <c r="AX24" s="244"/>
      <c r="AY24" s="244"/>
      <c r="AZ24" s="244"/>
      <c r="BA24" s="244"/>
      <c r="BB24" s="244"/>
      <c r="BC24" s="244"/>
      <c r="BD24" s="244"/>
      <c r="BE24" s="244"/>
      <c r="BF24" s="244"/>
      <c r="BG24" s="244"/>
      <c r="BH24" s="244"/>
      <c r="BI24" s="244"/>
      <c r="BJ24" s="244"/>
      <c r="BK24" s="244"/>
      <c r="BL24" s="244"/>
      <c r="BM24" s="244"/>
      <c r="BN24" s="244"/>
      <c r="BO24" s="244"/>
      <c r="BP24" s="244"/>
      <c r="BQ24" s="244"/>
      <c r="BR24" s="244"/>
      <c r="BS24" s="244"/>
      <c r="BT24" s="244"/>
      <c r="BU24" s="244"/>
      <c r="BV24" s="244"/>
      <c r="BW24" s="244"/>
      <c r="BX24" s="244"/>
      <c r="BY24" s="244"/>
      <c r="BZ24" s="244"/>
      <c r="CA24" s="244"/>
      <c r="CB24" s="244"/>
      <c r="CC24" s="244"/>
      <c r="CD24" s="244"/>
      <c r="CE24" s="244"/>
      <c r="CF24" s="244"/>
      <c r="CG24" s="244"/>
      <c r="CH24" s="244"/>
      <c r="CI24" s="244"/>
      <c r="CJ24" s="244"/>
      <c r="CK24" s="244"/>
      <c r="CL24" s="244"/>
      <c r="CM24" s="244"/>
      <c r="CN24" s="244"/>
      <c r="CO24" s="244"/>
      <c r="CP24" s="244"/>
      <c r="CQ24" s="244"/>
      <c r="CR24" s="244"/>
      <c r="CS24" s="244"/>
      <c r="CT24" s="241" t="str">
        <f t="shared" si="3"/>
        <v/>
      </c>
      <c r="CU24" s="246" t="str">
        <f t="shared" si="4"/>
        <v/>
      </c>
      <c r="CV24" s="241" t="str">
        <f t="shared" si="5"/>
        <v/>
      </c>
      <c r="CW24" s="246" t="str">
        <f t="shared" si="6"/>
        <v/>
      </c>
      <c r="CX24" s="241" t="str">
        <f t="shared" si="7"/>
        <v/>
      </c>
      <c r="CY24" s="241" t="str">
        <f t="shared" si="8"/>
        <v/>
      </c>
      <c r="CZ24" s="241" t="str">
        <f t="shared" si="9"/>
        <v/>
      </c>
      <c r="DA24" s="246" t="str">
        <f t="shared" si="10"/>
        <v/>
      </c>
      <c r="DB24" s="246" t="str">
        <f t="shared" si="11"/>
        <v/>
      </c>
      <c r="DC24" s="246" t="str">
        <f t="shared" si="12"/>
        <v/>
      </c>
      <c r="DD24" s="241" t="str">
        <f t="shared" si="13"/>
        <v>1</v>
      </c>
      <c r="DE24" s="241" t="str">
        <f t="shared" si="14"/>
        <v/>
      </c>
      <c r="DF24" s="241" t="str">
        <f t="shared" si="15"/>
        <v/>
      </c>
      <c r="DG24" s="244" t="str">
        <f t="shared" si="16"/>
        <v/>
      </c>
      <c r="DH24" s="244" t="str">
        <f t="shared" si="17"/>
        <v/>
      </c>
      <c r="DI24" s="244" t="str">
        <f>IF(COUNTIF(PlayerAltNames,B24)&gt;0, B24, I24)</f>
        <v/>
      </c>
      <c r="DJ24" s="247" t="str">
        <f t="shared" ref="DJ24:DO24" si="67">IF(COUNTIF($I24,$DI24)&gt;0, J24, C24)</f>
        <v/>
      </c>
      <c r="DK24" s="247" t="str">
        <f t="shared" si="67"/>
        <v/>
      </c>
      <c r="DL24" s="247" t="str">
        <f t="shared" si="67"/>
        <v/>
      </c>
      <c r="DM24" s="247" t="str">
        <f t="shared" si="67"/>
        <v/>
      </c>
      <c r="DN24" s="247" t="str">
        <f t="shared" si="67"/>
        <v/>
      </c>
      <c r="DO24" s="247" t="str">
        <f t="shared" si="67"/>
        <v/>
      </c>
      <c r="DP24" s="244" t="str">
        <f t="shared" si="19"/>
        <v/>
      </c>
      <c r="DQ24" s="244" t="str">
        <f t="shared" ref="DQ24:DV24" si="68">IF(COUNTIF($I24,$DP24), J24, C24)</f>
        <v/>
      </c>
      <c r="DR24" s="244" t="str">
        <f t="shared" si="68"/>
        <v/>
      </c>
      <c r="DS24" s="244" t="str">
        <f t="shared" si="68"/>
        <v/>
      </c>
      <c r="DT24" s="244" t="str">
        <f t="shared" si="68"/>
        <v/>
      </c>
      <c r="DU24" s="244" t="str">
        <f t="shared" si="68"/>
        <v/>
      </c>
      <c r="DV24" s="244" t="str">
        <f t="shared" si="68"/>
        <v/>
      </c>
      <c r="DW24" s="241" t="str">
        <f>IF(HomePage!C35 &lt;&gt; "", IFS(AND(P24 = 1, COUNTIF(PlayerAltNames, B24)&gt;0), "Win", AND(P24 = 1, COUNTIF(PlayerAltNames, I24)&gt;0), "Loss", AND(P24 = 2, COUNTIF(PlayerAltNames, I24)&gt;0), "Win", AND(P24 = 2, COUNTIF(PlayerAltNames, B24)&gt;0), "Loss"), "")</f>
        <v/>
      </c>
      <c r="DX24" s="244"/>
      <c r="DY24" s="244" t="str">
        <f t="shared" si="21"/>
        <v>#N/A</v>
      </c>
      <c r="DZ24" s="244" t="str">
        <f t="shared" si="22"/>
        <v>#N/A</v>
      </c>
      <c r="EA24" s="244" t="str">
        <f t="shared" si="23"/>
        <v>#N/A</v>
      </c>
      <c r="EB24" s="244" t="str">
        <f t="shared" si="24"/>
        <v>#N/A</v>
      </c>
      <c r="EC24" s="244" t="str">
        <f t="shared" si="25"/>
        <v>#N/A</v>
      </c>
      <c r="ED24" s="244" t="str">
        <f t="shared" si="26"/>
        <v>#N/A</v>
      </c>
      <c r="EE24" s="244" t="str">
        <f t="shared" si="27"/>
        <v> -&gt; </v>
      </c>
      <c r="EF24" s="244" t="str">
        <f t="shared" si="28"/>
        <v/>
      </c>
      <c r="EG24" s="244"/>
      <c r="EH24" s="244"/>
      <c r="EI24" s="245"/>
    </row>
    <row r="25">
      <c r="A25" s="105"/>
      <c r="B25" s="239" t="str">
        <f>IF(HomePage!C36&lt;&gt;"", REPLAYTODATA(HomePage!C36), "")</f>
        <v/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4"/>
      <c r="BK25" s="244"/>
      <c r="BL25" s="244"/>
      <c r="BM25" s="244"/>
      <c r="BN25" s="244"/>
      <c r="BO25" s="244"/>
      <c r="BP25" s="244"/>
      <c r="BQ25" s="244"/>
      <c r="BR25" s="244"/>
      <c r="BS25" s="244"/>
      <c r="BT25" s="244"/>
      <c r="BU25" s="244"/>
      <c r="BV25" s="244"/>
      <c r="BW25" s="244"/>
      <c r="BX25" s="244"/>
      <c r="BY25" s="244"/>
      <c r="BZ25" s="244"/>
      <c r="CA25" s="244"/>
      <c r="CB25" s="244"/>
      <c r="CC25" s="244"/>
      <c r="CD25" s="244"/>
      <c r="CE25" s="244"/>
      <c r="CF25" s="244"/>
      <c r="CG25" s="244"/>
      <c r="CH25" s="244"/>
      <c r="CI25" s="244"/>
      <c r="CJ25" s="244"/>
      <c r="CK25" s="244"/>
      <c r="CL25" s="244"/>
      <c r="CM25" s="244"/>
      <c r="CN25" s="244"/>
      <c r="CO25" s="244"/>
      <c r="CP25" s="244"/>
      <c r="CQ25" s="244"/>
      <c r="CR25" s="244"/>
      <c r="CS25" s="244"/>
      <c r="CT25" s="241" t="str">
        <f t="shared" si="3"/>
        <v/>
      </c>
      <c r="CU25" s="246" t="str">
        <f t="shared" si="4"/>
        <v/>
      </c>
      <c r="CV25" s="241" t="str">
        <f t="shared" si="5"/>
        <v/>
      </c>
      <c r="CW25" s="246" t="str">
        <f t="shared" si="6"/>
        <v/>
      </c>
      <c r="CX25" s="241" t="str">
        <f t="shared" si="7"/>
        <v/>
      </c>
      <c r="CY25" s="241" t="str">
        <f t="shared" si="8"/>
        <v/>
      </c>
      <c r="CZ25" s="241" t="str">
        <f t="shared" si="9"/>
        <v/>
      </c>
      <c r="DA25" s="246" t="str">
        <f t="shared" si="10"/>
        <v/>
      </c>
      <c r="DB25" s="246" t="str">
        <f t="shared" si="11"/>
        <v/>
      </c>
      <c r="DC25" s="246" t="str">
        <f t="shared" si="12"/>
        <v/>
      </c>
      <c r="DD25" s="241" t="str">
        <f t="shared" si="13"/>
        <v>1</v>
      </c>
      <c r="DE25" s="241" t="str">
        <f t="shared" si="14"/>
        <v/>
      </c>
      <c r="DF25" s="241" t="str">
        <f t="shared" si="15"/>
        <v/>
      </c>
      <c r="DG25" s="244" t="str">
        <f t="shared" si="16"/>
        <v/>
      </c>
      <c r="DH25" s="244" t="str">
        <f t="shared" si="17"/>
        <v/>
      </c>
      <c r="DI25" s="244" t="str">
        <f>IF(COUNTIF(PlayerAltNames,B25)&gt;0, B25, I25)</f>
        <v/>
      </c>
      <c r="DJ25" s="247" t="str">
        <f t="shared" ref="DJ25:DO25" si="69">IF(COUNTIF($I25,$DI25)&gt;0, J25, C25)</f>
        <v/>
      </c>
      <c r="DK25" s="247" t="str">
        <f t="shared" si="69"/>
        <v/>
      </c>
      <c r="DL25" s="247" t="str">
        <f t="shared" si="69"/>
        <v/>
      </c>
      <c r="DM25" s="247" t="str">
        <f t="shared" si="69"/>
        <v/>
      </c>
      <c r="DN25" s="247" t="str">
        <f t="shared" si="69"/>
        <v/>
      </c>
      <c r="DO25" s="247" t="str">
        <f t="shared" si="69"/>
        <v/>
      </c>
      <c r="DP25" s="244" t="str">
        <f t="shared" si="19"/>
        <v/>
      </c>
      <c r="DQ25" s="244" t="str">
        <f t="shared" ref="DQ25:DV25" si="70">IF(COUNTIF($I25,$DP25), J25, C25)</f>
        <v/>
      </c>
      <c r="DR25" s="244" t="str">
        <f t="shared" si="70"/>
        <v/>
      </c>
      <c r="DS25" s="244" t="str">
        <f t="shared" si="70"/>
        <v/>
      </c>
      <c r="DT25" s="244" t="str">
        <f t="shared" si="70"/>
        <v/>
      </c>
      <c r="DU25" s="244" t="str">
        <f t="shared" si="70"/>
        <v/>
      </c>
      <c r="DV25" s="244" t="str">
        <f t="shared" si="70"/>
        <v/>
      </c>
      <c r="DW25" s="241" t="str">
        <f>IF(HomePage!C36 &lt;&gt; "", IFS(AND(P25 = 1, COUNTIF(PlayerAltNames, B25)&gt;0), "Win", AND(P25 = 1, COUNTIF(PlayerAltNames, I25)&gt;0), "Loss", AND(P25 = 2, COUNTIF(PlayerAltNames, I25)&gt;0), "Win", AND(P25 = 2, COUNTIF(PlayerAltNames, B25)&gt;0), "Loss"), "")</f>
        <v/>
      </c>
      <c r="DX25" s="244"/>
      <c r="DY25" s="244" t="str">
        <f t="shared" si="21"/>
        <v>#N/A</v>
      </c>
      <c r="DZ25" s="244" t="str">
        <f t="shared" si="22"/>
        <v>#N/A</v>
      </c>
      <c r="EA25" s="244" t="str">
        <f t="shared" si="23"/>
        <v>#N/A</v>
      </c>
      <c r="EB25" s="244" t="str">
        <f t="shared" si="24"/>
        <v>#N/A</v>
      </c>
      <c r="EC25" s="244" t="str">
        <f t="shared" si="25"/>
        <v>#N/A</v>
      </c>
      <c r="ED25" s="244" t="str">
        <f t="shared" si="26"/>
        <v>#N/A</v>
      </c>
      <c r="EE25" s="244" t="str">
        <f t="shared" si="27"/>
        <v> -&gt; </v>
      </c>
      <c r="EF25" s="244" t="str">
        <f t="shared" si="28"/>
        <v/>
      </c>
      <c r="EG25" s="244"/>
      <c r="EH25" s="244"/>
      <c r="EI25" s="245"/>
    </row>
    <row r="26">
      <c r="A26" s="105"/>
      <c r="B26" s="239" t="str">
        <f>IF(HomePage!C37&lt;&gt;"", REPLAYTODATA(HomePage!C37), "")</f>
        <v/>
      </c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4"/>
      <c r="BK26" s="244"/>
      <c r="BL26" s="244"/>
      <c r="BM26" s="244"/>
      <c r="BN26" s="244"/>
      <c r="BO26" s="244"/>
      <c r="BP26" s="244"/>
      <c r="BQ26" s="244"/>
      <c r="BR26" s="244"/>
      <c r="BS26" s="244"/>
      <c r="BT26" s="244"/>
      <c r="BU26" s="244"/>
      <c r="BV26" s="244"/>
      <c r="BW26" s="244"/>
      <c r="BX26" s="244"/>
      <c r="BY26" s="244"/>
      <c r="BZ26" s="244"/>
      <c r="CA26" s="244"/>
      <c r="CB26" s="244"/>
      <c r="CC26" s="244"/>
      <c r="CD26" s="244"/>
      <c r="CE26" s="244"/>
      <c r="CF26" s="244"/>
      <c r="CG26" s="244"/>
      <c r="CH26" s="244"/>
      <c r="CI26" s="244"/>
      <c r="CJ26" s="244"/>
      <c r="CK26" s="244"/>
      <c r="CL26" s="244"/>
      <c r="CM26" s="244"/>
      <c r="CN26" s="244"/>
      <c r="CO26" s="244"/>
      <c r="CP26" s="244"/>
      <c r="CQ26" s="244"/>
      <c r="CR26" s="244"/>
      <c r="CS26" s="244"/>
      <c r="CT26" s="241" t="str">
        <f t="shared" si="3"/>
        <v/>
      </c>
      <c r="CU26" s="246" t="str">
        <f t="shared" si="4"/>
        <v/>
      </c>
      <c r="CV26" s="241" t="str">
        <f t="shared" si="5"/>
        <v/>
      </c>
      <c r="CW26" s="246" t="str">
        <f t="shared" si="6"/>
        <v/>
      </c>
      <c r="CX26" s="241" t="str">
        <f t="shared" si="7"/>
        <v/>
      </c>
      <c r="CY26" s="241" t="str">
        <f t="shared" si="8"/>
        <v/>
      </c>
      <c r="CZ26" s="241" t="str">
        <f t="shared" si="9"/>
        <v/>
      </c>
      <c r="DA26" s="246" t="str">
        <f t="shared" si="10"/>
        <v/>
      </c>
      <c r="DB26" s="246" t="str">
        <f t="shared" si="11"/>
        <v/>
      </c>
      <c r="DC26" s="246" t="str">
        <f t="shared" si="12"/>
        <v/>
      </c>
      <c r="DD26" s="241" t="str">
        <f t="shared" si="13"/>
        <v>1</v>
      </c>
      <c r="DE26" s="241" t="str">
        <f t="shared" si="14"/>
        <v/>
      </c>
      <c r="DF26" s="241" t="str">
        <f t="shared" si="15"/>
        <v/>
      </c>
      <c r="DG26" s="244" t="str">
        <f t="shared" si="16"/>
        <v/>
      </c>
      <c r="DH26" s="244" t="str">
        <f t="shared" si="17"/>
        <v/>
      </c>
      <c r="DI26" s="244" t="str">
        <f>IF(COUNTIF(PlayerAltNames,B26)&gt;0, B26, I26)</f>
        <v/>
      </c>
      <c r="DJ26" s="247" t="str">
        <f t="shared" ref="DJ26:DO26" si="71">IF(COUNTIF($I26,$DI26)&gt;0, J26, C26)</f>
        <v/>
      </c>
      <c r="DK26" s="247" t="str">
        <f t="shared" si="71"/>
        <v/>
      </c>
      <c r="DL26" s="247" t="str">
        <f t="shared" si="71"/>
        <v/>
      </c>
      <c r="DM26" s="247" t="str">
        <f t="shared" si="71"/>
        <v/>
      </c>
      <c r="DN26" s="247" t="str">
        <f t="shared" si="71"/>
        <v/>
      </c>
      <c r="DO26" s="247" t="str">
        <f t="shared" si="71"/>
        <v/>
      </c>
      <c r="DP26" s="244" t="str">
        <f t="shared" si="19"/>
        <v/>
      </c>
      <c r="DQ26" s="244" t="str">
        <f t="shared" ref="DQ26:DV26" si="72">IF(COUNTIF($I26,$DP26), J26, C26)</f>
        <v/>
      </c>
      <c r="DR26" s="244" t="str">
        <f t="shared" si="72"/>
        <v/>
      </c>
      <c r="DS26" s="244" t="str">
        <f t="shared" si="72"/>
        <v/>
      </c>
      <c r="DT26" s="244" t="str">
        <f t="shared" si="72"/>
        <v/>
      </c>
      <c r="DU26" s="244" t="str">
        <f t="shared" si="72"/>
        <v/>
      </c>
      <c r="DV26" s="244" t="str">
        <f t="shared" si="72"/>
        <v/>
      </c>
      <c r="DW26" s="241" t="str">
        <f>IF(HomePage!C37 &lt;&gt; "", IFS(AND(P26 = 1, COUNTIF(PlayerAltNames, B26)&gt;0), "Win", AND(P26 = 1, COUNTIF(PlayerAltNames, I26)&gt;0), "Loss", AND(P26 = 2, COUNTIF(PlayerAltNames, I26)&gt;0), "Win", AND(P26 = 2, COUNTIF(PlayerAltNames, B26)&gt;0), "Loss"), "")</f>
        <v/>
      </c>
      <c r="DX26" s="244"/>
      <c r="DY26" s="244" t="str">
        <f t="shared" si="21"/>
        <v>#N/A</v>
      </c>
      <c r="DZ26" s="244" t="str">
        <f t="shared" si="22"/>
        <v>#N/A</v>
      </c>
      <c r="EA26" s="244" t="str">
        <f t="shared" si="23"/>
        <v>#N/A</v>
      </c>
      <c r="EB26" s="244" t="str">
        <f t="shared" si="24"/>
        <v>#N/A</v>
      </c>
      <c r="EC26" s="244" t="str">
        <f t="shared" si="25"/>
        <v>#N/A</v>
      </c>
      <c r="ED26" s="244" t="str">
        <f t="shared" si="26"/>
        <v>#N/A</v>
      </c>
      <c r="EE26" s="244" t="str">
        <f t="shared" si="27"/>
        <v> -&gt; </v>
      </c>
      <c r="EF26" s="244" t="str">
        <f t="shared" si="28"/>
        <v/>
      </c>
      <c r="EG26" s="244"/>
      <c r="EH26" s="244"/>
      <c r="EI26" s="245"/>
    </row>
    <row r="27">
      <c r="A27" s="105"/>
      <c r="B27" s="239" t="str">
        <f>IF(HomePage!C38&lt;&gt;"", REPLAYTODATA(HomePage!C38), "")</f>
        <v/>
      </c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  <c r="BB27" s="244"/>
      <c r="BC27" s="244"/>
      <c r="BD27" s="244"/>
      <c r="BE27" s="244"/>
      <c r="BF27" s="244"/>
      <c r="BG27" s="244"/>
      <c r="BH27" s="244"/>
      <c r="BI27" s="244"/>
      <c r="BJ27" s="244"/>
      <c r="BK27" s="244"/>
      <c r="BL27" s="244"/>
      <c r="BM27" s="244"/>
      <c r="BN27" s="244"/>
      <c r="BO27" s="244"/>
      <c r="BP27" s="244"/>
      <c r="BQ27" s="244"/>
      <c r="BR27" s="244"/>
      <c r="BS27" s="244"/>
      <c r="BT27" s="244"/>
      <c r="BU27" s="244"/>
      <c r="BV27" s="244"/>
      <c r="BW27" s="244"/>
      <c r="BX27" s="244"/>
      <c r="BY27" s="244"/>
      <c r="BZ27" s="244"/>
      <c r="CA27" s="244"/>
      <c r="CB27" s="244"/>
      <c r="CC27" s="244"/>
      <c r="CD27" s="244"/>
      <c r="CE27" s="244"/>
      <c r="CF27" s="244"/>
      <c r="CG27" s="244"/>
      <c r="CH27" s="244"/>
      <c r="CI27" s="244"/>
      <c r="CJ27" s="244"/>
      <c r="CK27" s="244"/>
      <c r="CL27" s="244"/>
      <c r="CM27" s="244"/>
      <c r="CN27" s="244"/>
      <c r="CO27" s="244"/>
      <c r="CP27" s="244"/>
      <c r="CQ27" s="244"/>
      <c r="CR27" s="244"/>
      <c r="CS27" s="244"/>
      <c r="CT27" s="241" t="str">
        <f t="shared" si="3"/>
        <v/>
      </c>
      <c r="CU27" s="246" t="str">
        <f t="shared" si="4"/>
        <v/>
      </c>
      <c r="CV27" s="241" t="str">
        <f t="shared" si="5"/>
        <v/>
      </c>
      <c r="CW27" s="246" t="str">
        <f t="shared" si="6"/>
        <v/>
      </c>
      <c r="CX27" s="241" t="str">
        <f t="shared" si="7"/>
        <v/>
      </c>
      <c r="CY27" s="241" t="str">
        <f t="shared" si="8"/>
        <v/>
      </c>
      <c r="CZ27" s="241" t="str">
        <f t="shared" si="9"/>
        <v/>
      </c>
      <c r="DA27" s="246" t="str">
        <f t="shared" si="10"/>
        <v/>
      </c>
      <c r="DB27" s="246" t="str">
        <f t="shared" si="11"/>
        <v/>
      </c>
      <c r="DC27" s="246" t="str">
        <f t="shared" si="12"/>
        <v/>
      </c>
      <c r="DD27" s="241" t="str">
        <f t="shared" si="13"/>
        <v>1</v>
      </c>
      <c r="DE27" s="241" t="str">
        <f t="shared" si="14"/>
        <v/>
      </c>
      <c r="DF27" s="241" t="str">
        <f t="shared" si="15"/>
        <v/>
      </c>
      <c r="DG27" s="244" t="str">
        <f t="shared" si="16"/>
        <v/>
      </c>
      <c r="DH27" s="244" t="str">
        <f t="shared" si="17"/>
        <v/>
      </c>
      <c r="DI27" s="244" t="str">
        <f>IF(COUNTIF(PlayerAltNames,B27)&gt;0, B27, I27)</f>
        <v/>
      </c>
      <c r="DJ27" s="247" t="str">
        <f t="shared" ref="DJ27:DO27" si="73">IF(COUNTIF($I27,$DI27)&gt;0, J27, C27)</f>
        <v/>
      </c>
      <c r="DK27" s="247" t="str">
        <f t="shared" si="73"/>
        <v/>
      </c>
      <c r="DL27" s="247" t="str">
        <f t="shared" si="73"/>
        <v/>
      </c>
      <c r="DM27" s="247" t="str">
        <f t="shared" si="73"/>
        <v/>
      </c>
      <c r="DN27" s="247" t="str">
        <f t="shared" si="73"/>
        <v/>
      </c>
      <c r="DO27" s="247" t="str">
        <f t="shared" si="73"/>
        <v/>
      </c>
      <c r="DP27" s="244" t="str">
        <f t="shared" si="19"/>
        <v/>
      </c>
      <c r="DQ27" s="244" t="str">
        <f t="shared" ref="DQ27:DV27" si="74">IF(COUNTIF($I27,$DP27), J27, C27)</f>
        <v/>
      </c>
      <c r="DR27" s="244" t="str">
        <f t="shared" si="74"/>
        <v/>
      </c>
      <c r="DS27" s="244" t="str">
        <f t="shared" si="74"/>
        <v/>
      </c>
      <c r="DT27" s="244" t="str">
        <f t="shared" si="74"/>
        <v/>
      </c>
      <c r="DU27" s="244" t="str">
        <f t="shared" si="74"/>
        <v/>
      </c>
      <c r="DV27" s="244" t="str">
        <f t="shared" si="74"/>
        <v/>
      </c>
      <c r="DW27" s="241" t="str">
        <f>IF(HomePage!C38 &lt;&gt; "", IFS(AND(P27 = 1, COUNTIF(PlayerAltNames, B27)&gt;0), "Win", AND(P27 = 1, COUNTIF(PlayerAltNames, I27)&gt;0), "Loss", AND(P27 = 2, COUNTIF(PlayerAltNames, I27)&gt;0), "Win", AND(P27 = 2, COUNTIF(PlayerAltNames, B27)&gt;0), "Loss"), "")</f>
        <v/>
      </c>
      <c r="DX27" s="244"/>
      <c r="DY27" s="244" t="str">
        <f t="shared" si="21"/>
        <v>#N/A</v>
      </c>
      <c r="DZ27" s="244" t="str">
        <f t="shared" si="22"/>
        <v>#N/A</v>
      </c>
      <c r="EA27" s="244" t="str">
        <f t="shared" si="23"/>
        <v>#N/A</v>
      </c>
      <c r="EB27" s="244" t="str">
        <f t="shared" si="24"/>
        <v>#N/A</v>
      </c>
      <c r="EC27" s="244" t="str">
        <f t="shared" si="25"/>
        <v>#N/A</v>
      </c>
      <c r="ED27" s="244" t="str">
        <f t="shared" si="26"/>
        <v>#N/A</v>
      </c>
      <c r="EE27" s="244" t="str">
        <f t="shared" si="27"/>
        <v> -&gt; </v>
      </c>
      <c r="EF27" s="244" t="str">
        <f t="shared" si="28"/>
        <v/>
      </c>
      <c r="EG27" s="244"/>
      <c r="EH27" s="244"/>
      <c r="EI27" s="245"/>
    </row>
    <row r="28">
      <c r="A28" s="105"/>
      <c r="B28" s="239" t="str">
        <f>IF(HomePage!C39&lt;&gt;"", REPLAYTODATA(HomePage!C39), "")</f>
        <v/>
      </c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44"/>
      <c r="AY28" s="244"/>
      <c r="AZ28" s="244"/>
      <c r="BA28" s="244"/>
      <c r="BB28" s="244"/>
      <c r="BC28" s="244"/>
      <c r="BD28" s="244"/>
      <c r="BE28" s="244"/>
      <c r="BF28" s="244"/>
      <c r="BG28" s="244"/>
      <c r="BH28" s="244"/>
      <c r="BI28" s="244"/>
      <c r="BJ28" s="244"/>
      <c r="BK28" s="244"/>
      <c r="BL28" s="244"/>
      <c r="BM28" s="244"/>
      <c r="BN28" s="244"/>
      <c r="BO28" s="244"/>
      <c r="BP28" s="244"/>
      <c r="BQ28" s="244"/>
      <c r="BR28" s="244"/>
      <c r="BS28" s="244"/>
      <c r="BT28" s="244"/>
      <c r="BU28" s="244"/>
      <c r="BV28" s="244"/>
      <c r="BW28" s="244"/>
      <c r="BX28" s="244"/>
      <c r="BY28" s="244"/>
      <c r="BZ28" s="244"/>
      <c r="CA28" s="244"/>
      <c r="CB28" s="244"/>
      <c r="CC28" s="244"/>
      <c r="CD28" s="244"/>
      <c r="CE28" s="244"/>
      <c r="CF28" s="244"/>
      <c r="CG28" s="244"/>
      <c r="CH28" s="244"/>
      <c r="CI28" s="244"/>
      <c r="CJ28" s="244"/>
      <c r="CK28" s="244"/>
      <c r="CL28" s="244"/>
      <c r="CM28" s="244"/>
      <c r="CN28" s="244"/>
      <c r="CO28" s="244"/>
      <c r="CP28" s="244"/>
      <c r="CQ28" s="244"/>
      <c r="CR28" s="244"/>
      <c r="CS28" s="244"/>
      <c r="CT28" s="241" t="str">
        <f t="shared" si="3"/>
        <v/>
      </c>
      <c r="CU28" s="246" t="str">
        <f t="shared" si="4"/>
        <v/>
      </c>
      <c r="CV28" s="241" t="str">
        <f t="shared" si="5"/>
        <v/>
      </c>
      <c r="CW28" s="246" t="str">
        <f t="shared" si="6"/>
        <v/>
      </c>
      <c r="CX28" s="241" t="str">
        <f t="shared" si="7"/>
        <v/>
      </c>
      <c r="CY28" s="241" t="str">
        <f t="shared" si="8"/>
        <v/>
      </c>
      <c r="CZ28" s="241" t="str">
        <f t="shared" si="9"/>
        <v/>
      </c>
      <c r="DA28" s="246" t="str">
        <f t="shared" si="10"/>
        <v/>
      </c>
      <c r="DB28" s="246" t="str">
        <f t="shared" si="11"/>
        <v/>
      </c>
      <c r="DC28" s="246" t="str">
        <f t="shared" si="12"/>
        <v/>
      </c>
      <c r="DD28" s="241" t="str">
        <f t="shared" si="13"/>
        <v>1</v>
      </c>
      <c r="DE28" s="241" t="str">
        <f t="shared" si="14"/>
        <v/>
      </c>
      <c r="DF28" s="241" t="str">
        <f t="shared" si="15"/>
        <v/>
      </c>
      <c r="DG28" s="244" t="str">
        <f t="shared" si="16"/>
        <v/>
      </c>
      <c r="DH28" s="244" t="str">
        <f t="shared" si="17"/>
        <v/>
      </c>
      <c r="DI28" s="244" t="str">
        <f>IF(COUNTIF(PlayerAltNames,B28)&gt;0, B28, I28)</f>
        <v/>
      </c>
      <c r="DJ28" s="247" t="str">
        <f t="shared" ref="DJ28:DO28" si="75">IF(COUNTIF($I28,$DI28)&gt;0, J28, C28)</f>
        <v/>
      </c>
      <c r="DK28" s="247" t="str">
        <f t="shared" si="75"/>
        <v/>
      </c>
      <c r="DL28" s="247" t="str">
        <f t="shared" si="75"/>
        <v/>
      </c>
      <c r="DM28" s="247" t="str">
        <f t="shared" si="75"/>
        <v/>
      </c>
      <c r="DN28" s="247" t="str">
        <f t="shared" si="75"/>
        <v/>
      </c>
      <c r="DO28" s="247" t="str">
        <f t="shared" si="75"/>
        <v/>
      </c>
      <c r="DP28" s="244" t="str">
        <f t="shared" si="19"/>
        <v/>
      </c>
      <c r="DQ28" s="244" t="str">
        <f t="shared" ref="DQ28:DV28" si="76">IF(COUNTIF($I28,$DP28), J28, C28)</f>
        <v/>
      </c>
      <c r="DR28" s="244" t="str">
        <f t="shared" si="76"/>
        <v/>
      </c>
      <c r="DS28" s="244" t="str">
        <f t="shared" si="76"/>
        <v/>
      </c>
      <c r="DT28" s="244" t="str">
        <f t="shared" si="76"/>
        <v/>
      </c>
      <c r="DU28" s="244" t="str">
        <f t="shared" si="76"/>
        <v/>
      </c>
      <c r="DV28" s="244" t="str">
        <f t="shared" si="76"/>
        <v/>
      </c>
      <c r="DW28" s="241" t="str">
        <f>IF(HomePage!C39 &lt;&gt; "", IFS(AND(P28 = 1, COUNTIF(PlayerAltNames, B28)&gt;0), "Win", AND(P28 = 1, COUNTIF(PlayerAltNames, I28)&gt;0), "Loss", AND(P28 = 2, COUNTIF(PlayerAltNames, I28)&gt;0), "Win", AND(P28 = 2, COUNTIF(PlayerAltNames, B28)&gt;0), "Loss"), "")</f>
        <v/>
      </c>
      <c r="DX28" s="244"/>
      <c r="DY28" s="244" t="str">
        <f t="shared" si="21"/>
        <v>#N/A</v>
      </c>
      <c r="DZ28" s="244" t="str">
        <f t="shared" si="22"/>
        <v>#N/A</v>
      </c>
      <c r="EA28" s="244" t="str">
        <f t="shared" si="23"/>
        <v>#N/A</v>
      </c>
      <c r="EB28" s="244" t="str">
        <f t="shared" si="24"/>
        <v>#N/A</v>
      </c>
      <c r="EC28" s="244" t="str">
        <f t="shared" si="25"/>
        <v>#N/A</v>
      </c>
      <c r="ED28" s="244" t="str">
        <f t="shared" si="26"/>
        <v>#N/A</v>
      </c>
      <c r="EE28" s="244" t="str">
        <f t="shared" si="27"/>
        <v> -&gt; </v>
      </c>
      <c r="EF28" s="244" t="str">
        <f t="shared" si="28"/>
        <v/>
      </c>
      <c r="EG28" s="244"/>
      <c r="EH28" s="244"/>
      <c r="EI28" s="245"/>
    </row>
    <row r="29">
      <c r="A29" s="105"/>
      <c r="B29" s="239" t="str">
        <f>IF(HomePage!C40&lt;&gt;"", REPLAYTODATA(HomePage!C40), "")</f>
        <v/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44"/>
      <c r="AY29" s="244"/>
      <c r="AZ29" s="244"/>
      <c r="BA29" s="244"/>
      <c r="BB29" s="244"/>
      <c r="BC29" s="244"/>
      <c r="BD29" s="244"/>
      <c r="BE29" s="244"/>
      <c r="BF29" s="244"/>
      <c r="BG29" s="244"/>
      <c r="BH29" s="244"/>
      <c r="BI29" s="244"/>
      <c r="BJ29" s="244"/>
      <c r="BK29" s="244"/>
      <c r="BL29" s="244"/>
      <c r="BM29" s="244"/>
      <c r="BN29" s="244"/>
      <c r="BO29" s="244"/>
      <c r="BP29" s="244"/>
      <c r="BQ29" s="244"/>
      <c r="BR29" s="244"/>
      <c r="BS29" s="244"/>
      <c r="BT29" s="244"/>
      <c r="BU29" s="244"/>
      <c r="BV29" s="244"/>
      <c r="BW29" s="244"/>
      <c r="BX29" s="244"/>
      <c r="BY29" s="244"/>
      <c r="BZ29" s="244"/>
      <c r="CA29" s="244"/>
      <c r="CB29" s="244"/>
      <c r="CC29" s="244"/>
      <c r="CD29" s="244"/>
      <c r="CE29" s="244"/>
      <c r="CF29" s="244"/>
      <c r="CG29" s="244"/>
      <c r="CH29" s="244"/>
      <c r="CI29" s="244"/>
      <c r="CJ29" s="244"/>
      <c r="CK29" s="244"/>
      <c r="CL29" s="244"/>
      <c r="CM29" s="244"/>
      <c r="CN29" s="244"/>
      <c r="CO29" s="244"/>
      <c r="CP29" s="244"/>
      <c r="CQ29" s="244"/>
      <c r="CR29" s="244"/>
      <c r="CS29" s="244"/>
      <c r="CT29" s="241" t="str">
        <f t="shared" si="3"/>
        <v/>
      </c>
      <c r="CU29" s="246" t="str">
        <f t="shared" si="4"/>
        <v/>
      </c>
      <c r="CV29" s="241" t="str">
        <f t="shared" si="5"/>
        <v/>
      </c>
      <c r="CW29" s="246" t="str">
        <f t="shared" si="6"/>
        <v/>
      </c>
      <c r="CX29" s="241" t="str">
        <f t="shared" si="7"/>
        <v/>
      </c>
      <c r="CY29" s="241" t="str">
        <f t="shared" si="8"/>
        <v/>
      </c>
      <c r="CZ29" s="241" t="str">
        <f t="shared" si="9"/>
        <v/>
      </c>
      <c r="DA29" s="246" t="str">
        <f t="shared" si="10"/>
        <v/>
      </c>
      <c r="DB29" s="246" t="str">
        <f t="shared" si="11"/>
        <v/>
      </c>
      <c r="DC29" s="246" t="str">
        <f t="shared" si="12"/>
        <v/>
      </c>
      <c r="DD29" s="241" t="str">
        <f t="shared" si="13"/>
        <v>1</v>
      </c>
      <c r="DE29" s="241" t="str">
        <f t="shared" si="14"/>
        <v/>
      </c>
      <c r="DF29" s="241" t="str">
        <f t="shared" si="15"/>
        <v/>
      </c>
      <c r="DG29" s="244" t="str">
        <f t="shared" si="16"/>
        <v/>
      </c>
      <c r="DH29" s="244" t="str">
        <f t="shared" si="17"/>
        <v/>
      </c>
      <c r="DI29" s="244" t="str">
        <f>IF(COUNTIF(PlayerAltNames,B29)&gt;0, B29, I29)</f>
        <v/>
      </c>
      <c r="DJ29" s="247" t="str">
        <f t="shared" ref="DJ29:DO29" si="77">IF(COUNTIF($I29,$DI29)&gt;0, J29, C29)</f>
        <v/>
      </c>
      <c r="DK29" s="247" t="str">
        <f t="shared" si="77"/>
        <v/>
      </c>
      <c r="DL29" s="247" t="str">
        <f t="shared" si="77"/>
        <v/>
      </c>
      <c r="DM29" s="247" t="str">
        <f t="shared" si="77"/>
        <v/>
      </c>
      <c r="DN29" s="247" t="str">
        <f t="shared" si="77"/>
        <v/>
      </c>
      <c r="DO29" s="247" t="str">
        <f t="shared" si="77"/>
        <v/>
      </c>
      <c r="DP29" s="244" t="str">
        <f t="shared" si="19"/>
        <v/>
      </c>
      <c r="DQ29" s="244" t="str">
        <f t="shared" ref="DQ29:DV29" si="78">IF(COUNTIF($I29,$DP29), J29, C29)</f>
        <v/>
      </c>
      <c r="DR29" s="244" t="str">
        <f t="shared" si="78"/>
        <v/>
      </c>
      <c r="DS29" s="244" t="str">
        <f t="shared" si="78"/>
        <v/>
      </c>
      <c r="DT29" s="244" t="str">
        <f t="shared" si="78"/>
        <v/>
      </c>
      <c r="DU29" s="244" t="str">
        <f t="shared" si="78"/>
        <v/>
      </c>
      <c r="DV29" s="244" t="str">
        <f t="shared" si="78"/>
        <v/>
      </c>
      <c r="DW29" s="241" t="str">
        <f>IF(HomePage!C40 &lt;&gt; "", IFS(AND(P29 = 1, COUNTIF(PlayerAltNames, B29)&gt;0), "Win", AND(P29 = 1, COUNTIF(PlayerAltNames, I29)&gt;0), "Loss", AND(P29 = 2, COUNTIF(PlayerAltNames, I29)&gt;0), "Win", AND(P29 = 2, COUNTIF(PlayerAltNames, B29)&gt;0), "Loss"), "")</f>
        <v/>
      </c>
      <c r="DX29" s="244"/>
      <c r="DY29" s="244" t="str">
        <f t="shared" si="21"/>
        <v>#N/A</v>
      </c>
      <c r="DZ29" s="244" t="str">
        <f t="shared" si="22"/>
        <v>#N/A</v>
      </c>
      <c r="EA29" s="244" t="str">
        <f t="shared" si="23"/>
        <v>#N/A</v>
      </c>
      <c r="EB29" s="244" t="str">
        <f t="shared" si="24"/>
        <v>#N/A</v>
      </c>
      <c r="EC29" s="244" t="str">
        <f t="shared" si="25"/>
        <v>#N/A</v>
      </c>
      <c r="ED29" s="244" t="str">
        <f t="shared" si="26"/>
        <v>#N/A</v>
      </c>
      <c r="EE29" s="244" t="str">
        <f t="shared" si="27"/>
        <v> -&gt; </v>
      </c>
      <c r="EF29" s="244" t="str">
        <f t="shared" si="28"/>
        <v/>
      </c>
      <c r="EG29" s="244"/>
      <c r="EH29" s="244"/>
      <c r="EI29" s="245"/>
    </row>
    <row r="30">
      <c r="A30" s="105"/>
      <c r="B30" s="239" t="str">
        <f>IF(HomePage!C41&lt;&gt;"", REPLAYTODATA(HomePage!C41), "")</f>
        <v/>
      </c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4"/>
      <c r="AH30" s="244"/>
      <c r="AI30" s="244"/>
      <c r="AJ30" s="244"/>
      <c r="AK30" s="244"/>
      <c r="AL30" s="244"/>
      <c r="AM30" s="244"/>
      <c r="AN30" s="244"/>
      <c r="AO30" s="244"/>
      <c r="AP30" s="244"/>
      <c r="AQ30" s="244"/>
      <c r="AR30" s="244"/>
      <c r="AS30" s="244"/>
      <c r="AT30" s="244"/>
      <c r="AU30" s="244"/>
      <c r="AV30" s="244"/>
      <c r="AW30" s="244"/>
      <c r="AX30" s="244"/>
      <c r="AY30" s="244"/>
      <c r="AZ30" s="244"/>
      <c r="BA30" s="244"/>
      <c r="BB30" s="244"/>
      <c r="BC30" s="244"/>
      <c r="BD30" s="244"/>
      <c r="BE30" s="244"/>
      <c r="BF30" s="244"/>
      <c r="BG30" s="244"/>
      <c r="BH30" s="244"/>
      <c r="BI30" s="244"/>
      <c r="BJ30" s="244"/>
      <c r="BK30" s="244"/>
      <c r="BL30" s="244"/>
      <c r="BM30" s="244"/>
      <c r="BN30" s="244"/>
      <c r="BO30" s="244"/>
      <c r="BP30" s="244"/>
      <c r="BQ30" s="244"/>
      <c r="BR30" s="244"/>
      <c r="BS30" s="244"/>
      <c r="BT30" s="244"/>
      <c r="BU30" s="244"/>
      <c r="BV30" s="244"/>
      <c r="BW30" s="244"/>
      <c r="BX30" s="244"/>
      <c r="BY30" s="244"/>
      <c r="BZ30" s="244"/>
      <c r="CA30" s="244"/>
      <c r="CB30" s="244"/>
      <c r="CC30" s="244"/>
      <c r="CD30" s="244"/>
      <c r="CE30" s="244"/>
      <c r="CF30" s="244"/>
      <c r="CG30" s="244"/>
      <c r="CH30" s="244"/>
      <c r="CI30" s="244"/>
      <c r="CJ30" s="244"/>
      <c r="CK30" s="244"/>
      <c r="CL30" s="244"/>
      <c r="CM30" s="244"/>
      <c r="CN30" s="244"/>
      <c r="CO30" s="244"/>
      <c r="CP30" s="244"/>
      <c r="CQ30" s="244"/>
      <c r="CR30" s="244"/>
      <c r="CS30" s="244"/>
      <c r="CT30" s="241" t="str">
        <f t="shared" si="3"/>
        <v/>
      </c>
      <c r="CU30" s="246" t="str">
        <f t="shared" si="4"/>
        <v/>
      </c>
      <c r="CV30" s="241" t="str">
        <f t="shared" si="5"/>
        <v/>
      </c>
      <c r="CW30" s="246" t="str">
        <f t="shared" si="6"/>
        <v/>
      </c>
      <c r="CX30" s="241" t="str">
        <f t="shared" si="7"/>
        <v/>
      </c>
      <c r="CY30" s="241" t="str">
        <f t="shared" si="8"/>
        <v/>
      </c>
      <c r="CZ30" s="241" t="str">
        <f t="shared" si="9"/>
        <v/>
      </c>
      <c r="DA30" s="246" t="str">
        <f t="shared" si="10"/>
        <v/>
      </c>
      <c r="DB30" s="246" t="str">
        <f t="shared" si="11"/>
        <v/>
      </c>
      <c r="DC30" s="246" t="str">
        <f t="shared" si="12"/>
        <v/>
      </c>
      <c r="DD30" s="241" t="str">
        <f t="shared" si="13"/>
        <v>1</v>
      </c>
      <c r="DE30" s="241" t="str">
        <f t="shared" si="14"/>
        <v/>
      </c>
      <c r="DF30" s="241" t="str">
        <f t="shared" si="15"/>
        <v/>
      </c>
      <c r="DG30" s="244" t="str">
        <f t="shared" si="16"/>
        <v/>
      </c>
      <c r="DH30" s="244" t="str">
        <f t="shared" si="17"/>
        <v/>
      </c>
      <c r="DI30" s="244" t="str">
        <f>IF(COUNTIF(PlayerAltNames,B30)&gt;0, B30, I30)</f>
        <v/>
      </c>
      <c r="DJ30" s="247" t="str">
        <f t="shared" ref="DJ30:DO30" si="79">IF(COUNTIF($I30,$DI30)&gt;0, J30, C30)</f>
        <v/>
      </c>
      <c r="DK30" s="247" t="str">
        <f t="shared" si="79"/>
        <v/>
      </c>
      <c r="DL30" s="247" t="str">
        <f t="shared" si="79"/>
        <v/>
      </c>
      <c r="DM30" s="247" t="str">
        <f t="shared" si="79"/>
        <v/>
      </c>
      <c r="DN30" s="247" t="str">
        <f t="shared" si="79"/>
        <v/>
      </c>
      <c r="DO30" s="247" t="str">
        <f t="shared" si="79"/>
        <v/>
      </c>
      <c r="DP30" s="244" t="str">
        <f t="shared" si="19"/>
        <v/>
      </c>
      <c r="DQ30" s="244" t="str">
        <f t="shared" ref="DQ30:DV30" si="80">IF(COUNTIF($I30,$DP30), J30, C30)</f>
        <v/>
      </c>
      <c r="DR30" s="244" t="str">
        <f t="shared" si="80"/>
        <v/>
      </c>
      <c r="DS30" s="244" t="str">
        <f t="shared" si="80"/>
        <v/>
      </c>
      <c r="DT30" s="244" t="str">
        <f t="shared" si="80"/>
        <v/>
      </c>
      <c r="DU30" s="244" t="str">
        <f t="shared" si="80"/>
        <v/>
      </c>
      <c r="DV30" s="244" t="str">
        <f t="shared" si="80"/>
        <v/>
      </c>
      <c r="DW30" s="241" t="str">
        <f>IF(HomePage!C41 &lt;&gt; "", IFS(AND(P30 = 1, COUNTIF(PlayerAltNames, B30)&gt;0), "Win", AND(P30 = 1, COUNTIF(PlayerAltNames, I30)&gt;0), "Loss", AND(P30 = 2, COUNTIF(PlayerAltNames, I30)&gt;0), "Win", AND(P30 = 2, COUNTIF(PlayerAltNames, B30)&gt;0), "Loss"), "")</f>
        <v/>
      </c>
      <c r="DX30" s="244"/>
      <c r="DY30" s="244" t="str">
        <f t="shared" si="21"/>
        <v>#N/A</v>
      </c>
      <c r="DZ30" s="244" t="str">
        <f t="shared" si="22"/>
        <v>#N/A</v>
      </c>
      <c r="EA30" s="244" t="str">
        <f t="shared" si="23"/>
        <v>#N/A</v>
      </c>
      <c r="EB30" s="244" t="str">
        <f t="shared" si="24"/>
        <v>#N/A</v>
      </c>
      <c r="EC30" s="244" t="str">
        <f t="shared" si="25"/>
        <v>#N/A</v>
      </c>
      <c r="ED30" s="244" t="str">
        <f t="shared" si="26"/>
        <v>#N/A</v>
      </c>
      <c r="EE30" s="244" t="str">
        <f t="shared" si="27"/>
        <v> -&gt; </v>
      </c>
      <c r="EF30" s="244" t="str">
        <f t="shared" si="28"/>
        <v/>
      </c>
      <c r="EG30" s="244"/>
      <c r="EH30" s="244"/>
      <c r="EI30" s="245"/>
    </row>
    <row r="31">
      <c r="A31" s="105"/>
      <c r="B31" s="239" t="str">
        <f>IF(HomePage!C42&lt;&gt;"", REPLAYTODATA(HomePage!C42), "")</f>
        <v/>
      </c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4"/>
      <c r="AL31" s="244"/>
      <c r="AM31" s="244"/>
      <c r="AN31" s="244"/>
      <c r="AO31" s="244"/>
      <c r="AP31" s="244"/>
      <c r="AQ31" s="244"/>
      <c r="AR31" s="244"/>
      <c r="AS31" s="244"/>
      <c r="AT31" s="244"/>
      <c r="AU31" s="244"/>
      <c r="AV31" s="244"/>
      <c r="AW31" s="244"/>
      <c r="AX31" s="244"/>
      <c r="AY31" s="244"/>
      <c r="AZ31" s="244"/>
      <c r="BA31" s="244"/>
      <c r="BB31" s="244"/>
      <c r="BC31" s="244"/>
      <c r="BD31" s="244"/>
      <c r="BE31" s="244"/>
      <c r="BF31" s="244"/>
      <c r="BG31" s="244"/>
      <c r="BH31" s="244"/>
      <c r="BI31" s="244"/>
      <c r="BJ31" s="244"/>
      <c r="BK31" s="244"/>
      <c r="BL31" s="244"/>
      <c r="BM31" s="244"/>
      <c r="BN31" s="244"/>
      <c r="BO31" s="244"/>
      <c r="BP31" s="244"/>
      <c r="BQ31" s="244"/>
      <c r="BR31" s="244"/>
      <c r="BS31" s="244"/>
      <c r="BT31" s="244"/>
      <c r="BU31" s="244"/>
      <c r="BV31" s="244"/>
      <c r="BW31" s="244"/>
      <c r="BX31" s="244"/>
      <c r="BY31" s="244"/>
      <c r="BZ31" s="244"/>
      <c r="CA31" s="244"/>
      <c r="CB31" s="244"/>
      <c r="CC31" s="244"/>
      <c r="CD31" s="244"/>
      <c r="CE31" s="244"/>
      <c r="CF31" s="244"/>
      <c r="CG31" s="244"/>
      <c r="CH31" s="244"/>
      <c r="CI31" s="244"/>
      <c r="CJ31" s="244"/>
      <c r="CK31" s="244"/>
      <c r="CL31" s="244"/>
      <c r="CM31" s="244"/>
      <c r="CN31" s="244"/>
      <c r="CO31" s="244"/>
      <c r="CP31" s="244"/>
      <c r="CQ31" s="244"/>
      <c r="CR31" s="244"/>
      <c r="CS31" s="244"/>
      <c r="CT31" s="241" t="str">
        <f t="shared" si="3"/>
        <v/>
      </c>
      <c r="CU31" s="246" t="str">
        <f t="shared" si="4"/>
        <v/>
      </c>
      <c r="CV31" s="241" t="str">
        <f t="shared" si="5"/>
        <v/>
      </c>
      <c r="CW31" s="246" t="str">
        <f t="shared" si="6"/>
        <v/>
      </c>
      <c r="CX31" s="241" t="str">
        <f t="shared" si="7"/>
        <v/>
      </c>
      <c r="CY31" s="241" t="str">
        <f t="shared" si="8"/>
        <v/>
      </c>
      <c r="CZ31" s="241" t="str">
        <f t="shared" si="9"/>
        <v/>
      </c>
      <c r="DA31" s="246" t="str">
        <f t="shared" si="10"/>
        <v/>
      </c>
      <c r="DB31" s="246" t="str">
        <f t="shared" si="11"/>
        <v/>
      </c>
      <c r="DC31" s="246" t="str">
        <f t="shared" si="12"/>
        <v/>
      </c>
      <c r="DD31" s="241" t="str">
        <f t="shared" si="13"/>
        <v>1</v>
      </c>
      <c r="DE31" s="241" t="str">
        <f t="shared" si="14"/>
        <v/>
      </c>
      <c r="DF31" s="241" t="str">
        <f t="shared" si="15"/>
        <v/>
      </c>
      <c r="DG31" s="244" t="str">
        <f t="shared" si="16"/>
        <v/>
      </c>
      <c r="DH31" s="244" t="str">
        <f t="shared" si="17"/>
        <v/>
      </c>
      <c r="DI31" s="244" t="str">
        <f>IF(COUNTIF(PlayerAltNames,B31)&gt;0, B31, I31)</f>
        <v/>
      </c>
      <c r="DJ31" s="247" t="str">
        <f t="shared" ref="DJ31:DO31" si="81">IF(COUNTIF($I31,$DI31)&gt;0, J31, C31)</f>
        <v/>
      </c>
      <c r="DK31" s="247" t="str">
        <f t="shared" si="81"/>
        <v/>
      </c>
      <c r="DL31" s="247" t="str">
        <f t="shared" si="81"/>
        <v/>
      </c>
      <c r="DM31" s="247" t="str">
        <f t="shared" si="81"/>
        <v/>
      </c>
      <c r="DN31" s="247" t="str">
        <f t="shared" si="81"/>
        <v/>
      </c>
      <c r="DO31" s="247" t="str">
        <f t="shared" si="81"/>
        <v/>
      </c>
      <c r="DP31" s="244" t="str">
        <f t="shared" si="19"/>
        <v/>
      </c>
      <c r="DQ31" s="244" t="str">
        <f t="shared" ref="DQ31:DV31" si="82">IF(COUNTIF($I31,$DP31), J31, C31)</f>
        <v/>
      </c>
      <c r="DR31" s="244" t="str">
        <f t="shared" si="82"/>
        <v/>
      </c>
      <c r="DS31" s="244" t="str">
        <f t="shared" si="82"/>
        <v/>
      </c>
      <c r="DT31" s="244" t="str">
        <f t="shared" si="82"/>
        <v/>
      </c>
      <c r="DU31" s="244" t="str">
        <f t="shared" si="82"/>
        <v/>
      </c>
      <c r="DV31" s="244" t="str">
        <f t="shared" si="82"/>
        <v/>
      </c>
      <c r="DW31" s="241" t="str">
        <f>IF(HomePage!C42 &lt;&gt; "", IFS(AND(P31 = 1, COUNTIF(PlayerAltNames, B31)&gt;0), "Win", AND(P31 = 1, COUNTIF(PlayerAltNames, I31)&gt;0), "Loss", AND(P31 = 2, COUNTIF(PlayerAltNames, I31)&gt;0), "Win", AND(P31 = 2, COUNTIF(PlayerAltNames, B31)&gt;0), "Loss"), "")</f>
        <v/>
      </c>
      <c r="DX31" s="244"/>
      <c r="DY31" s="244" t="str">
        <f t="shared" si="21"/>
        <v>#N/A</v>
      </c>
      <c r="DZ31" s="244" t="str">
        <f t="shared" si="22"/>
        <v>#N/A</v>
      </c>
      <c r="EA31" s="244" t="str">
        <f t="shared" si="23"/>
        <v>#N/A</v>
      </c>
      <c r="EB31" s="244" t="str">
        <f t="shared" si="24"/>
        <v>#N/A</v>
      </c>
      <c r="EC31" s="244" t="str">
        <f t="shared" si="25"/>
        <v>#N/A</v>
      </c>
      <c r="ED31" s="244" t="str">
        <f t="shared" si="26"/>
        <v>#N/A</v>
      </c>
      <c r="EE31" s="244" t="str">
        <f t="shared" si="27"/>
        <v> -&gt; </v>
      </c>
      <c r="EF31" s="244" t="str">
        <f t="shared" si="28"/>
        <v/>
      </c>
      <c r="EG31" s="244"/>
      <c r="EH31" s="244"/>
      <c r="EI31" s="245"/>
    </row>
    <row r="32">
      <c r="A32" s="105"/>
      <c r="B32" s="239" t="str">
        <f>IF(HomePage!C43&lt;&gt;"", REPLAYTODATA(HomePage!C43), "")</f>
        <v/>
      </c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/>
      <c r="AY32" s="244"/>
      <c r="AZ32" s="244"/>
      <c r="BA32" s="244"/>
      <c r="BB32" s="244"/>
      <c r="BC32" s="244"/>
      <c r="BD32" s="244"/>
      <c r="BE32" s="244"/>
      <c r="BF32" s="244"/>
      <c r="BG32" s="244"/>
      <c r="BH32" s="244"/>
      <c r="BI32" s="244"/>
      <c r="BJ32" s="244"/>
      <c r="BK32" s="244"/>
      <c r="BL32" s="244"/>
      <c r="BM32" s="244"/>
      <c r="BN32" s="244"/>
      <c r="BO32" s="244"/>
      <c r="BP32" s="244"/>
      <c r="BQ32" s="244"/>
      <c r="BR32" s="244"/>
      <c r="BS32" s="244"/>
      <c r="BT32" s="244"/>
      <c r="BU32" s="244"/>
      <c r="BV32" s="244"/>
      <c r="BW32" s="244"/>
      <c r="BX32" s="244"/>
      <c r="BY32" s="244"/>
      <c r="BZ32" s="244"/>
      <c r="CA32" s="244"/>
      <c r="CB32" s="244"/>
      <c r="CC32" s="244"/>
      <c r="CD32" s="244"/>
      <c r="CE32" s="244"/>
      <c r="CF32" s="244"/>
      <c r="CG32" s="244"/>
      <c r="CH32" s="244"/>
      <c r="CI32" s="244"/>
      <c r="CJ32" s="244"/>
      <c r="CK32" s="244"/>
      <c r="CL32" s="244"/>
      <c r="CM32" s="244"/>
      <c r="CN32" s="244"/>
      <c r="CO32" s="244"/>
      <c r="CP32" s="244"/>
      <c r="CQ32" s="244"/>
      <c r="CR32" s="244"/>
      <c r="CS32" s="244"/>
      <c r="CT32" s="241" t="str">
        <f t="shared" si="3"/>
        <v/>
      </c>
      <c r="CU32" s="246" t="str">
        <f t="shared" si="4"/>
        <v/>
      </c>
      <c r="CV32" s="241" t="str">
        <f t="shared" si="5"/>
        <v/>
      </c>
      <c r="CW32" s="246" t="str">
        <f t="shared" si="6"/>
        <v/>
      </c>
      <c r="CX32" s="241" t="str">
        <f t="shared" si="7"/>
        <v/>
      </c>
      <c r="CY32" s="241" t="str">
        <f t="shared" si="8"/>
        <v/>
      </c>
      <c r="CZ32" s="241" t="str">
        <f t="shared" si="9"/>
        <v/>
      </c>
      <c r="DA32" s="246" t="str">
        <f t="shared" si="10"/>
        <v/>
      </c>
      <c r="DB32" s="246" t="str">
        <f t="shared" si="11"/>
        <v/>
      </c>
      <c r="DC32" s="246" t="str">
        <f t="shared" si="12"/>
        <v/>
      </c>
      <c r="DD32" s="241" t="str">
        <f t="shared" si="13"/>
        <v>1</v>
      </c>
      <c r="DE32" s="241" t="str">
        <f t="shared" si="14"/>
        <v/>
      </c>
      <c r="DF32" s="241" t="str">
        <f t="shared" si="15"/>
        <v/>
      </c>
      <c r="DG32" s="244" t="str">
        <f t="shared" si="16"/>
        <v/>
      </c>
      <c r="DH32" s="244" t="str">
        <f t="shared" si="17"/>
        <v/>
      </c>
      <c r="DI32" s="244" t="str">
        <f>IF(COUNTIF(PlayerAltNames,B32)&gt;0, B32, I32)</f>
        <v/>
      </c>
      <c r="DJ32" s="247" t="str">
        <f t="shared" ref="DJ32:DO32" si="83">IF(COUNTIF($I32,$DI32)&gt;0, J32, C32)</f>
        <v/>
      </c>
      <c r="DK32" s="247" t="str">
        <f t="shared" si="83"/>
        <v/>
      </c>
      <c r="DL32" s="247" t="str">
        <f t="shared" si="83"/>
        <v/>
      </c>
      <c r="DM32" s="247" t="str">
        <f t="shared" si="83"/>
        <v/>
      </c>
      <c r="DN32" s="247" t="str">
        <f t="shared" si="83"/>
        <v/>
      </c>
      <c r="DO32" s="247" t="str">
        <f t="shared" si="83"/>
        <v/>
      </c>
      <c r="DP32" s="244" t="str">
        <f t="shared" si="19"/>
        <v/>
      </c>
      <c r="DQ32" s="244" t="str">
        <f t="shared" ref="DQ32:DV32" si="84">IF(COUNTIF($I32,$DP32), J32, C32)</f>
        <v/>
      </c>
      <c r="DR32" s="244" t="str">
        <f t="shared" si="84"/>
        <v/>
      </c>
      <c r="DS32" s="244" t="str">
        <f t="shared" si="84"/>
        <v/>
      </c>
      <c r="DT32" s="244" t="str">
        <f t="shared" si="84"/>
        <v/>
      </c>
      <c r="DU32" s="244" t="str">
        <f t="shared" si="84"/>
        <v/>
      </c>
      <c r="DV32" s="244" t="str">
        <f t="shared" si="84"/>
        <v/>
      </c>
      <c r="DW32" s="241" t="str">
        <f>IF(HomePage!C43 &lt;&gt; "", IFS(AND(P32 = 1, COUNTIF(PlayerAltNames, B32)&gt;0), "Win", AND(P32 = 1, COUNTIF(PlayerAltNames, I32)&gt;0), "Loss", AND(P32 = 2, COUNTIF(PlayerAltNames, I32)&gt;0), "Win", AND(P32 = 2, COUNTIF(PlayerAltNames, B32)&gt;0), "Loss"), "")</f>
        <v/>
      </c>
      <c r="DX32" s="244"/>
      <c r="DY32" s="244" t="str">
        <f t="shared" si="21"/>
        <v>#N/A</v>
      </c>
      <c r="DZ32" s="244" t="str">
        <f t="shared" si="22"/>
        <v>#N/A</v>
      </c>
      <c r="EA32" s="244" t="str">
        <f t="shared" si="23"/>
        <v>#N/A</v>
      </c>
      <c r="EB32" s="244" t="str">
        <f t="shared" si="24"/>
        <v>#N/A</v>
      </c>
      <c r="EC32" s="244" t="str">
        <f t="shared" si="25"/>
        <v>#N/A</v>
      </c>
      <c r="ED32" s="244" t="str">
        <f t="shared" si="26"/>
        <v>#N/A</v>
      </c>
      <c r="EE32" s="244" t="str">
        <f t="shared" si="27"/>
        <v> -&gt; </v>
      </c>
      <c r="EF32" s="244" t="str">
        <f t="shared" si="28"/>
        <v/>
      </c>
      <c r="EG32" s="244"/>
      <c r="EH32" s="244"/>
      <c r="EI32" s="245"/>
    </row>
    <row r="33">
      <c r="A33" s="105"/>
      <c r="B33" s="239" t="str">
        <f>IF(HomePage!C44&lt;&gt;"", REPLAYTODATA(HomePage!C44), "")</f>
        <v/>
      </c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  <c r="AS33" s="244"/>
      <c r="AT33" s="244"/>
      <c r="AU33" s="244"/>
      <c r="AV33" s="244"/>
      <c r="AW33" s="244"/>
      <c r="AX33" s="244"/>
      <c r="AY33" s="244"/>
      <c r="AZ33" s="244"/>
      <c r="BA33" s="244"/>
      <c r="BB33" s="244"/>
      <c r="BC33" s="244"/>
      <c r="BD33" s="244"/>
      <c r="BE33" s="244"/>
      <c r="BF33" s="244"/>
      <c r="BG33" s="244"/>
      <c r="BH33" s="244"/>
      <c r="BI33" s="244"/>
      <c r="BJ33" s="244"/>
      <c r="BK33" s="244"/>
      <c r="BL33" s="244"/>
      <c r="BM33" s="244"/>
      <c r="BN33" s="244"/>
      <c r="BO33" s="244"/>
      <c r="BP33" s="244"/>
      <c r="BQ33" s="244"/>
      <c r="BR33" s="244"/>
      <c r="BS33" s="244"/>
      <c r="BT33" s="244"/>
      <c r="BU33" s="244"/>
      <c r="BV33" s="244"/>
      <c r="BW33" s="244"/>
      <c r="BX33" s="244"/>
      <c r="BY33" s="244"/>
      <c r="BZ33" s="244"/>
      <c r="CA33" s="244"/>
      <c r="CB33" s="244"/>
      <c r="CC33" s="244"/>
      <c r="CD33" s="244"/>
      <c r="CE33" s="244"/>
      <c r="CF33" s="244"/>
      <c r="CG33" s="244"/>
      <c r="CH33" s="244"/>
      <c r="CI33" s="244"/>
      <c r="CJ33" s="244"/>
      <c r="CK33" s="244"/>
      <c r="CL33" s="244"/>
      <c r="CM33" s="244"/>
      <c r="CN33" s="244"/>
      <c r="CO33" s="244"/>
      <c r="CP33" s="244"/>
      <c r="CQ33" s="244"/>
      <c r="CR33" s="244"/>
      <c r="CS33" s="244"/>
      <c r="CT33" s="241" t="str">
        <f t="shared" si="3"/>
        <v/>
      </c>
      <c r="CU33" s="246" t="str">
        <f t="shared" si="4"/>
        <v/>
      </c>
      <c r="CV33" s="241" t="str">
        <f t="shared" si="5"/>
        <v/>
      </c>
      <c r="CW33" s="246" t="str">
        <f t="shared" si="6"/>
        <v/>
      </c>
      <c r="CX33" s="241" t="str">
        <f t="shared" si="7"/>
        <v/>
      </c>
      <c r="CY33" s="241" t="str">
        <f t="shared" si="8"/>
        <v/>
      </c>
      <c r="CZ33" s="241" t="str">
        <f t="shared" si="9"/>
        <v/>
      </c>
      <c r="DA33" s="246" t="str">
        <f t="shared" si="10"/>
        <v/>
      </c>
      <c r="DB33" s="246" t="str">
        <f t="shared" si="11"/>
        <v/>
      </c>
      <c r="DC33" s="246" t="str">
        <f t="shared" si="12"/>
        <v/>
      </c>
      <c r="DD33" s="241" t="str">
        <f t="shared" si="13"/>
        <v>1</v>
      </c>
      <c r="DE33" s="241" t="str">
        <f t="shared" si="14"/>
        <v/>
      </c>
      <c r="DF33" s="241" t="str">
        <f t="shared" si="15"/>
        <v/>
      </c>
      <c r="DG33" s="244" t="str">
        <f t="shared" si="16"/>
        <v/>
      </c>
      <c r="DH33" s="244" t="str">
        <f t="shared" si="17"/>
        <v/>
      </c>
      <c r="DI33" s="244" t="str">
        <f>IF(COUNTIF(PlayerAltNames,B33)&gt;0, B33, I33)</f>
        <v/>
      </c>
      <c r="DJ33" s="247" t="str">
        <f t="shared" ref="DJ33:DO33" si="85">IF(COUNTIF($I33,$DI33)&gt;0, J33, C33)</f>
        <v/>
      </c>
      <c r="DK33" s="247" t="str">
        <f t="shared" si="85"/>
        <v/>
      </c>
      <c r="DL33" s="247" t="str">
        <f t="shared" si="85"/>
        <v/>
      </c>
      <c r="DM33" s="247" t="str">
        <f t="shared" si="85"/>
        <v/>
      </c>
      <c r="DN33" s="247" t="str">
        <f t="shared" si="85"/>
        <v/>
      </c>
      <c r="DO33" s="247" t="str">
        <f t="shared" si="85"/>
        <v/>
      </c>
      <c r="DP33" s="244" t="str">
        <f t="shared" si="19"/>
        <v/>
      </c>
      <c r="DQ33" s="244" t="str">
        <f t="shared" ref="DQ33:DV33" si="86">IF(COUNTIF($I33,$DP33), J33, C33)</f>
        <v/>
      </c>
      <c r="DR33" s="244" t="str">
        <f t="shared" si="86"/>
        <v/>
      </c>
      <c r="DS33" s="244" t="str">
        <f t="shared" si="86"/>
        <v/>
      </c>
      <c r="DT33" s="244" t="str">
        <f t="shared" si="86"/>
        <v/>
      </c>
      <c r="DU33" s="244" t="str">
        <f t="shared" si="86"/>
        <v/>
      </c>
      <c r="DV33" s="244" t="str">
        <f t="shared" si="86"/>
        <v/>
      </c>
      <c r="DW33" s="241" t="str">
        <f>IF(HomePage!C44 &lt;&gt; "", IFS(AND(P33 = 1, COUNTIF(PlayerAltNames, B33)&gt;0), "Win", AND(P33 = 1, COUNTIF(PlayerAltNames, I33)&gt;0), "Loss", AND(P33 = 2, COUNTIF(PlayerAltNames, I33)&gt;0), "Win", AND(P33 = 2, COUNTIF(PlayerAltNames, B33)&gt;0), "Loss"), "")</f>
        <v/>
      </c>
      <c r="DX33" s="244"/>
      <c r="DY33" s="244" t="str">
        <f t="shared" si="21"/>
        <v>#N/A</v>
      </c>
      <c r="DZ33" s="244" t="str">
        <f t="shared" si="22"/>
        <v>#N/A</v>
      </c>
      <c r="EA33" s="244" t="str">
        <f t="shared" si="23"/>
        <v>#N/A</v>
      </c>
      <c r="EB33" s="244" t="str">
        <f t="shared" si="24"/>
        <v>#N/A</v>
      </c>
      <c r="EC33" s="244" t="str">
        <f t="shared" si="25"/>
        <v>#N/A</v>
      </c>
      <c r="ED33" s="244" t="str">
        <f t="shared" si="26"/>
        <v>#N/A</v>
      </c>
      <c r="EE33" s="244" t="str">
        <f t="shared" si="27"/>
        <v> -&gt; </v>
      </c>
      <c r="EF33" s="244" t="str">
        <f t="shared" si="28"/>
        <v/>
      </c>
      <c r="EG33" s="244"/>
      <c r="EH33" s="244"/>
      <c r="EI33" s="245"/>
    </row>
    <row r="34">
      <c r="A34" s="105"/>
      <c r="B34" s="239" t="str">
        <f>IF(HomePage!C45&lt;&gt;"", REPLAYTODATA(HomePage!C45), "")</f>
        <v/>
      </c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  <c r="AR34" s="244"/>
      <c r="AS34" s="244"/>
      <c r="AT34" s="244"/>
      <c r="AU34" s="244"/>
      <c r="AV34" s="244"/>
      <c r="AW34" s="244"/>
      <c r="AX34" s="244"/>
      <c r="AY34" s="244"/>
      <c r="AZ34" s="244"/>
      <c r="BA34" s="244"/>
      <c r="BB34" s="244"/>
      <c r="BC34" s="244"/>
      <c r="BD34" s="244"/>
      <c r="BE34" s="244"/>
      <c r="BF34" s="244"/>
      <c r="BG34" s="244"/>
      <c r="BH34" s="244"/>
      <c r="BI34" s="244"/>
      <c r="BJ34" s="244"/>
      <c r="BK34" s="244"/>
      <c r="BL34" s="244"/>
      <c r="BM34" s="244"/>
      <c r="BN34" s="244"/>
      <c r="BO34" s="244"/>
      <c r="BP34" s="244"/>
      <c r="BQ34" s="244"/>
      <c r="BR34" s="244"/>
      <c r="BS34" s="244"/>
      <c r="BT34" s="244"/>
      <c r="BU34" s="244"/>
      <c r="BV34" s="244"/>
      <c r="BW34" s="244"/>
      <c r="BX34" s="244"/>
      <c r="BY34" s="244"/>
      <c r="BZ34" s="244"/>
      <c r="CA34" s="244"/>
      <c r="CB34" s="244"/>
      <c r="CC34" s="244"/>
      <c r="CD34" s="244"/>
      <c r="CE34" s="244"/>
      <c r="CF34" s="244"/>
      <c r="CG34" s="244"/>
      <c r="CH34" s="244"/>
      <c r="CI34" s="244"/>
      <c r="CJ34" s="244"/>
      <c r="CK34" s="244"/>
      <c r="CL34" s="244"/>
      <c r="CM34" s="244"/>
      <c r="CN34" s="244"/>
      <c r="CO34" s="244"/>
      <c r="CP34" s="244"/>
      <c r="CQ34" s="244"/>
      <c r="CR34" s="244"/>
      <c r="CS34" s="244"/>
      <c r="CT34" s="241" t="str">
        <f t="shared" si="3"/>
        <v/>
      </c>
      <c r="CU34" s="246" t="str">
        <f t="shared" si="4"/>
        <v/>
      </c>
      <c r="CV34" s="241" t="str">
        <f t="shared" si="5"/>
        <v/>
      </c>
      <c r="CW34" s="246" t="str">
        <f t="shared" si="6"/>
        <v/>
      </c>
      <c r="CX34" s="241" t="str">
        <f t="shared" si="7"/>
        <v/>
      </c>
      <c r="CY34" s="241" t="str">
        <f t="shared" si="8"/>
        <v/>
      </c>
      <c r="CZ34" s="241" t="str">
        <f t="shared" si="9"/>
        <v/>
      </c>
      <c r="DA34" s="246" t="str">
        <f t="shared" si="10"/>
        <v/>
      </c>
      <c r="DB34" s="246" t="str">
        <f t="shared" si="11"/>
        <v/>
      </c>
      <c r="DC34" s="246" t="str">
        <f t="shared" si="12"/>
        <v/>
      </c>
      <c r="DD34" s="241" t="str">
        <f t="shared" si="13"/>
        <v>1</v>
      </c>
      <c r="DE34" s="241" t="str">
        <f t="shared" si="14"/>
        <v/>
      </c>
      <c r="DF34" s="241" t="str">
        <f t="shared" si="15"/>
        <v/>
      </c>
      <c r="DG34" s="244" t="str">
        <f t="shared" si="16"/>
        <v/>
      </c>
      <c r="DH34" s="244" t="str">
        <f t="shared" si="17"/>
        <v/>
      </c>
      <c r="DI34" s="244" t="str">
        <f>IF(COUNTIF(PlayerAltNames,B34)&gt;0, B34, I34)</f>
        <v/>
      </c>
      <c r="DJ34" s="247" t="str">
        <f t="shared" ref="DJ34:DO34" si="87">IF(COUNTIF($I34,$DI34)&gt;0, J34, C34)</f>
        <v/>
      </c>
      <c r="DK34" s="247" t="str">
        <f t="shared" si="87"/>
        <v/>
      </c>
      <c r="DL34" s="247" t="str">
        <f t="shared" si="87"/>
        <v/>
      </c>
      <c r="DM34" s="247" t="str">
        <f t="shared" si="87"/>
        <v/>
      </c>
      <c r="DN34" s="247" t="str">
        <f t="shared" si="87"/>
        <v/>
      </c>
      <c r="DO34" s="247" t="str">
        <f t="shared" si="87"/>
        <v/>
      </c>
      <c r="DP34" s="244" t="str">
        <f t="shared" si="19"/>
        <v/>
      </c>
      <c r="DQ34" s="244" t="str">
        <f t="shared" ref="DQ34:DV34" si="88">IF(COUNTIF($I34,$DP34), J34, C34)</f>
        <v/>
      </c>
      <c r="DR34" s="244" t="str">
        <f t="shared" si="88"/>
        <v/>
      </c>
      <c r="DS34" s="244" t="str">
        <f t="shared" si="88"/>
        <v/>
      </c>
      <c r="DT34" s="244" t="str">
        <f t="shared" si="88"/>
        <v/>
      </c>
      <c r="DU34" s="244" t="str">
        <f t="shared" si="88"/>
        <v/>
      </c>
      <c r="DV34" s="244" t="str">
        <f t="shared" si="88"/>
        <v/>
      </c>
      <c r="DW34" s="241" t="str">
        <f>IF(HomePage!C45 &lt;&gt; "", IFS(AND(P34 = 1, COUNTIF(PlayerAltNames, B34)&gt;0), "Win", AND(P34 = 1, COUNTIF(PlayerAltNames, I34)&gt;0), "Loss", AND(P34 = 2, COUNTIF(PlayerAltNames, I34)&gt;0), "Win", AND(P34 = 2, COUNTIF(PlayerAltNames, B34)&gt;0), "Loss"), "")</f>
        <v/>
      </c>
      <c r="DX34" s="244"/>
      <c r="DY34" s="244" t="str">
        <f t="shared" si="21"/>
        <v>#N/A</v>
      </c>
      <c r="DZ34" s="244" t="str">
        <f t="shared" si="22"/>
        <v>#N/A</v>
      </c>
      <c r="EA34" s="244" t="str">
        <f t="shared" si="23"/>
        <v>#N/A</v>
      </c>
      <c r="EB34" s="244" t="str">
        <f t="shared" si="24"/>
        <v>#N/A</v>
      </c>
      <c r="EC34" s="244" t="str">
        <f t="shared" si="25"/>
        <v>#N/A</v>
      </c>
      <c r="ED34" s="244" t="str">
        <f t="shared" si="26"/>
        <v>#N/A</v>
      </c>
      <c r="EE34" s="244" t="str">
        <f t="shared" si="27"/>
        <v> -&gt; </v>
      </c>
      <c r="EF34" s="244" t="str">
        <f t="shared" si="28"/>
        <v/>
      </c>
      <c r="EG34" s="244"/>
      <c r="EH34" s="244"/>
      <c r="EI34" s="245"/>
    </row>
    <row r="35">
      <c r="A35" s="105"/>
      <c r="B35" s="239" t="str">
        <f>IF(HomePage!C46&lt;&gt;"", REPLAYTODATA(HomePage!C46), "")</f>
        <v/>
      </c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/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4"/>
      <c r="BX35" s="244"/>
      <c r="BY35" s="244"/>
      <c r="BZ35" s="244"/>
      <c r="CA35" s="244"/>
      <c r="CB35" s="244"/>
      <c r="CC35" s="244"/>
      <c r="CD35" s="244"/>
      <c r="CE35" s="244"/>
      <c r="CF35" s="244"/>
      <c r="CG35" s="244"/>
      <c r="CH35" s="244"/>
      <c r="CI35" s="244"/>
      <c r="CJ35" s="244"/>
      <c r="CK35" s="244"/>
      <c r="CL35" s="244"/>
      <c r="CM35" s="244"/>
      <c r="CN35" s="244"/>
      <c r="CO35" s="244"/>
      <c r="CP35" s="244"/>
      <c r="CQ35" s="244"/>
      <c r="CR35" s="244"/>
      <c r="CS35" s="244"/>
      <c r="CT35" s="241" t="str">
        <f t="shared" si="3"/>
        <v/>
      </c>
      <c r="CU35" s="246" t="str">
        <f t="shared" si="4"/>
        <v/>
      </c>
      <c r="CV35" s="241" t="str">
        <f t="shared" si="5"/>
        <v/>
      </c>
      <c r="CW35" s="246" t="str">
        <f t="shared" si="6"/>
        <v/>
      </c>
      <c r="CX35" s="241" t="str">
        <f t="shared" si="7"/>
        <v/>
      </c>
      <c r="CY35" s="241" t="str">
        <f t="shared" si="8"/>
        <v/>
      </c>
      <c r="CZ35" s="241" t="str">
        <f t="shared" si="9"/>
        <v/>
      </c>
      <c r="DA35" s="246" t="str">
        <f t="shared" si="10"/>
        <v/>
      </c>
      <c r="DB35" s="246" t="str">
        <f t="shared" si="11"/>
        <v/>
      </c>
      <c r="DC35" s="246" t="str">
        <f t="shared" si="12"/>
        <v/>
      </c>
      <c r="DD35" s="241" t="str">
        <f t="shared" si="13"/>
        <v>1</v>
      </c>
      <c r="DE35" s="241" t="str">
        <f t="shared" si="14"/>
        <v/>
      </c>
      <c r="DF35" s="241" t="str">
        <f t="shared" si="15"/>
        <v/>
      </c>
      <c r="DG35" s="244" t="str">
        <f t="shared" si="16"/>
        <v/>
      </c>
      <c r="DH35" s="244" t="str">
        <f t="shared" si="17"/>
        <v/>
      </c>
      <c r="DI35" s="244" t="str">
        <f>IF(COUNTIF(PlayerAltNames,B35)&gt;0, B35, I35)</f>
        <v/>
      </c>
      <c r="DJ35" s="247" t="str">
        <f t="shared" ref="DJ35:DO35" si="89">IF(COUNTIF($I35,$DI35)&gt;0, J35, C35)</f>
        <v/>
      </c>
      <c r="DK35" s="247" t="str">
        <f t="shared" si="89"/>
        <v/>
      </c>
      <c r="DL35" s="247" t="str">
        <f t="shared" si="89"/>
        <v/>
      </c>
      <c r="DM35" s="247" t="str">
        <f t="shared" si="89"/>
        <v/>
      </c>
      <c r="DN35" s="247" t="str">
        <f t="shared" si="89"/>
        <v/>
      </c>
      <c r="DO35" s="247" t="str">
        <f t="shared" si="89"/>
        <v/>
      </c>
      <c r="DP35" s="244" t="str">
        <f t="shared" si="19"/>
        <v/>
      </c>
      <c r="DQ35" s="244" t="str">
        <f t="shared" ref="DQ35:DV35" si="90">IF(COUNTIF($I35,$DP35), J35, C35)</f>
        <v/>
      </c>
      <c r="DR35" s="244" t="str">
        <f t="shared" si="90"/>
        <v/>
      </c>
      <c r="DS35" s="244" t="str">
        <f t="shared" si="90"/>
        <v/>
      </c>
      <c r="DT35" s="244" t="str">
        <f t="shared" si="90"/>
        <v/>
      </c>
      <c r="DU35" s="244" t="str">
        <f t="shared" si="90"/>
        <v/>
      </c>
      <c r="DV35" s="244" t="str">
        <f t="shared" si="90"/>
        <v/>
      </c>
      <c r="DW35" s="241" t="str">
        <f>IF(HomePage!C46 &lt;&gt; "", IFS(AND(P35 = 1, COUNTIF(PlayerAltNames, B35)&gt;0), "Win", AND(P35 = 1, COUNTIF(PlayerAltNames, I35)&gt;0), "Loss", AND(P35 = 2, COUNTIF(PlayerAltNames, I35)&gt;0), "Win", AND(P35 = 2, COUNTIF(PlayerAltNames, B35)&gt;0), "Loss"), "")</f>
        <v/>
      </c>
      <c r="DX35" s="244"/>
      <c r="DY35" s="244" t="str">
        <f t="shared" si="21"/>
        <v>#N/A</v>
      </c>
      <c r="DZ35" s="244" t="str">
        <f t="shared" si="22"/>
        <v>#N/A</v>
      </c>
      <c r="EA35" s="244" t="str">
        <f t="shared" si="23"/>
        <v>#N/A</v>
      </c>
      <c r="EB35" s="244" t="str">
        <f t="shared" si="24"/>
        <v>#N/A</v>
      </c>
      <c r="EC35" s="244" t="str">
        <f t="shared" si="25"/>
        <v>#N/A</v>
      </c>
      <c r="ED35" s="244" t="str">
        <f t="shared" si="26"/>
        <v>#N/A</v>
      </c>
      <c r="EE35" s="244" t="str">
        <f t="shared" si="27"/>
        <v> -&gt; </v>
      </c>
      <c r="EF35" s="244" t="str">
        <f t="shared" si="28"/>
        <v/>
      </c>
      <c r="EG35" s="244"/>
      <c r="EH35" s="244"/>
      <c r="EI35" s="245"/>
    </row>
    <row r="36">
      <c r="A36" s="105"/>
      <c r="B36" s="239" t="str">
        <f>IF(HomePage!C47&lt;&gt;"", REPLAYTODATA(HomePage!C47), "")</f>
        <v/>
      </c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/>
      <c r="AT36" s="244"/>
      <c r="AU36" s="244"/>
      <c r="AV36" s="244"/>
      <c r="AW36" s="244"/>
      <c r="AX36" s="244"/>
      <c r="AY36" s="244"/>
      <c r="AZ36" s="244"/>
      <c r="BA36" s="244"/>
      <c r="BB36" s="244"/>
      <c r="BC36" s="244"/>
      <c r="BD36" s="244"/>
      <c r="BE36" s="244"/>
      <c r="BF36" s="244"/>
      <c r="BG36" s="244"/>
      <c r="BH36" s="244"/>
      <c r="BI36" s="244"/>
      <c r="BJ36" s="244"/>
      <c r="BK36" s="244"/>
      <c r="BL36" s="244"/>
      <c r="BM36" s="244"/>
      <c r="BN36" s="244"/>
      <c r="BO36" s="244"/>
      <c r="BP36" s="244"/>
      <c r="BQ36" s="244"/>
      <c r="BR36" s="244"/>
      <c r="BS36" s="244"/>
      <c r="BT36" s="244"/>
      <c r="BU36" s="244"/>
      <c r="BV36" s="244"/>
      <c r="BW36" s="244"/>
      <c r="BX36" s="244"/>
      <c r="BY36" s="244"/>
      <c r="BZ36" s="244"/>
      <c r="CA36" s="244"/>
      <c r="CB36" s="244"/>
      <c r="CC36" s="244"/>
      <c r="CD36" s="244"/>
      <c r="CE36" s="244"/>
      <c r="CF36" s="244"/>
      <c r="CG36" s="244"/>
      <c r="CH36" s="244"/>
      <c r="CI36" s="244"/>
      <c r="CJ36" s="244"/>
      <c r="CK36" s="244"/>
      <c r="CL36" s="244"/>
      <c r="CM36" s="244"/>
      <c r="CN36" s="244"/>
      <c r="CO36" s="244"/>
      <c r="CP36" s="244"/>
      <c r="CQ36" s="244"/>
      <c r="CR36" s="244"/>
      <c r="CS36" s="244"/>
      <c r="CT36" s="241" t="str">
        <f t="shared" si="3"/>
        <v/>
      </c>
      <c r="CU36" s="246" t="str">
        <f t="shared" si="4"/>
        <v/>
      </c>
      <c r="CV36" s="241" t="str">
        <f t="shared" si="5"/>
        <v/>
      </c>
      <c r="CW36" s="246" t="str">
        <f t="shared" si="6"/>
        <v/>
      </c>
      <c r="CX36" s="241" t="str">
        <f t="shared" si="7"/>
        <v/>
      </c>
      <c r="CY36" s="241" t="str">
        <f t="shared" si="8"/>
        <v/>
      </c>
      <c r="CZ36" s="241" t="str">
        <f t="shared" si="9"/>
        <v/>
      </c>
      <c r="DA36" s="246" t="str">
        <f t="shared" si="10"/>
        <v/>
      </c>
      <c r="DB36" s="246" t="str">
        <f t="shared" si="11"/>
        <v/>
      </c>
      <c r="DC36" s="246" t="str">
        <f t="shared" si="12"/>
        <v/>
      </c>
      <c r="DD36" s="241" t="str">
        <f t="shared" si="13"/>
        <v>1</v>
      </c>
      <c r="DE36" s="241" t="str">
        <f t="shared" si="14"/>
        <v/>
      </c>
      <c r="DF36" s="241" t="str">
        <f t="shared" si="15"/>
        <v/>
      </c>
      <c r="DG36" s="244" t="str">
        <f t="shared" si="16"/>
        <v/>
      </c>
      <c r="DH36" s="244" t="str">
        <f t="shared" si="17"/>
        <v/>
      </c>
      <c r="DI36" s="244" t="str">
        <f>IF(COUNTIF(PlayerAltNames,B36)&gt;0, B36, I36)</f>
        <v/>
      </c>
      <c r="DJ36" s="247" t="str">
        <f t="shared" ref="DJ36:DO36" si="91">IF(COUNTIF($I36,$DI36)&gt;0, J36, C36)</f>
        <v/>
      </c>
      <c r="DK36" s="247" t="str">
        <f t="shared" si="91"/>
        <v/>
      </c>
      <c r="DL36" s="247" t="str">
        <f t="shared" si="91"/>
        <v/>
      </c>
      <c r="DM36" s="247" t="str">
        <f t="shared" si="91"/>
        <v/>
      </c>
      <c r="DN36" s="247" t="str">
        <f t="shared" si="91"/>
        <v/>
      </c>
      <c r="DO36" s="247" t="str">
        <f t="shared" si="91"/>
        <v/>
      </c>
      <c r="DP36" s="244" t="str">
        <f t="shared" si="19"/>
        <v/>
      </c>
      <c r="DQ36" s="244" t="str">
        <f t="shared" ref="DQ36:DV36" si="92">IF(COUNTIF($I36,$DP36), J36, C36)</f>
        <v/>
      </c>
      <c r="DR36" s="244" t="str">
        <f t="shared" si="92"/>
        <v/>
      </c>
      <c r="DS36" s="244" t="str">
        <f t="shared" si="92"/>
        <v/>
      </c>
      <c r="DT36" s="244" t="str">
        <f t="shared" si="92"/>
        <v/>
      </c>
      <c r="DU36" s="244" t="str">
        <f t="shared" si="92"/>
        <v/>
      </c>
      <c r="DV36" s="244" t="str">
        <f t="shared" si="92"/>
        <v/>
      </c>
      <c r="DW36" s="241" t="str">
        <f>IF(HomePage!C47 &lt;&gt; "", IFS(AND(P36 = 1, COUNTIF(PlayerAltNames, B36)&gt;0), "Win", AND(P36 = 1, COUNTIF(PlayerAltNames, I36)&gt;0), "Loss", AND(P36 = 2, COUNTIF(PlayerAltNames, I36)&gt;0), "Win", AND(P36 = 2, COUNTIF(PlayerAltNames, B36)&gt;0), "Loss"), "")</f>
        <v/>
      </c>
      <c r="DX36" s="244"/>
      <c r="DY36" s="244" t="str">
        <f t="shared" si="21"/>
        <v>#N/A</v>
      </c>
      <c r="DZ36" s="244" t="str">
        <f t="shared" si="22"/>
        <v>#N/A</v>
      </c>
      <c r="EA36" s="244" t="str">
        <f t="shared" si="23"/>
        <v>#N/A</v>
      </c>
      <c r="EB36" s="244" t="str">
        <f t="shared" si="24"/>
        <v>#N/A</v>
      </c>
      <c r="EC36" s="244" t="str">
        <f t="shared" si="25"/>
        <v>#N/A</v>
      </c>
      <c r="ED36" s="244" t="str">
        <f t="shared" si="26"/>
        <v>#N/A</v>
      </c>
      <c r="EE36" s="244" t="str">
        <f t="shared" si="27"/>
        <v> -&gt; </v>
      </c>
      <c r="EF36" s="244" t="str">
        <f t="shared" si="28"/>
        <v/>
      </c>
      <c r="EG36" s="244"/>
      <c r="EH36" s="244"/>
      <c r="EI36" s="245"/>
    </row>
    <row r="37">
      <c r="A37" s="105"/>
      <c r="B37" s="239" t="str">
        <f>IF(HomePage!C48&lt;&gt;"", REPLAYTODATA(HomePage!C48), "")</f>
        <v/>
      </c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  <c r="AT37" s="244"/>
      <c r="AU37" s="244"/>
      <c r="AV37" s="244"/>
      <c r="AW37" s="244"/>
      <c r="AX37" s="244"/>
      <c r="AY37" s="244"/>
      <c r="AZ37" s="244"/>
      <c r="BA37" s="244"/>
      <c r="BB37" s="244"/>
      <c r="BC37" s="244"/>
      <c r="BD37" s="244"/>
      <c r="BE37" s="244"/>
      <c r="BF37" s="244"/>
      <c r="BG37" s="244"/>
      <c r="BH37" s="244"/>
      <c r="BI37" s="244"/>
      <c r="BJ37" s="244"/>
      <c r="BK37" s="244"/>
      <c r="BL37" s="244"/>
      <c r="BM37" s="244"/>
      <c r="BN37" s="244"/>
      <c r="BO37" s="244"/>
      <c r="BP37" s="244"/>
      <c r="BQ37" s="244"/>
      <c r="BR37" s="244"/>
      <c r="BS37" s="244"/>
      <c r="BT37" s="244"/>
      <c r="BU37" s="244"/>
      <c r="BV37" s="244"/>
      <c r="BW37" s="244"/>
      <c r="BX37" s="244"/>
      <c r="BY37" s="244"/>
      <c r="BZ37" s="244"/>
      <c r="CA37" s="244"/>
      <c r="CB37" s="244"/>
      <c r="CC37" s="244"/>
      <c r="CD37" s="244"/>
      <c r="CE37" s="244"/>
      <c r="CF37" s="244"/>
      <c r="CG37" s="244"/>
      <c r="CH37" s="244"/>
      <c r="CI37" s="244"/>
      <c r="CJ37" s="244"/>
      <c r="CK37" s="244"/>
      <c r="CL37" s="244"/>
      <c r="CM37" s="244"/>
      <c r="CN37" s="244"/>
      <c r="CO37" s="244"/>
      <c r="CP37" s="244"/>
      <c r="CQ37" s="244"/>
      <c r="CR37" s="244"/>
      <c r="CS37" s="244"/>
      <c r="CT37" s="241" t="str">
        <f t="shared" si="3"/>
        <v/>
      </c>
      <c r="CU37" s="246" t="str">
        <f t="shared" si="4"/>
        <v/>
      </c>
      <c r="CV37" s="241" t="str">
        <f t="shared" si="5"/>
        <v/>
      </c>
      <c r="CW37" s="246" t="str">
        <f t="shared" si="6"/>
        <v/>
      </c>
      <c r="CX37" s="241" t="str">
        <f t="shared" si="7"/>
        <v/>
      </c>
      <c r="CY37" s="241" t="str">
        <f t="shared" si="8"/>
        <v/>
      </c>
      <c r="CZ37" s="241" t="str">
        <f t="shared" si="9"/>
        <v/>
      </c>
      <c r="DA37" s="246" t="str">
        <f t="shared" si="10"/>
        <v/>
      </c>
      <c r="DB37" s="246" t="str">
        <f t="shared" si="11"/>
        <v/>
      </c>
      <c r="DC37" s="246" t="str">
        <f t="shared" si="12"/>
        <v/>
      </c>
      <c r="DD37" s="241" t="str">
        <f t="shared" si="13"/>
        <v>1</v>
      </c>
      <c r="DE37" s="241" t="str">
        <f t="shared" si="14"/>
        <v/>
      </c>
      <c r="DF37" s="241" t="str">
        <f t="shared" si="15"/>
        <v/>
      </c>
      <c r="DG37" s="244" t="str">
        <f t="shared" si="16"/>
        <v/>
      </c>
      <c r="DH37" s="244" t="str">
        <f t="shared" si="17"/>
        <v/>
      </c>
      <c r="DI37" s="244" t="str">
        <f>IF(COUNTIF(PlayerAltNames,B37)&gt;0, B37, I37)</f>
        <v/>
      </c>
      <c r="DJ37" s="247" t="str">
        <f t="shared" ref="DJ37:DO37" si="93">IF(COUNTIF($I37,$DI37)&gt;0, J37, C37)</f>
        <v/>
      </c>
      <c r="DK37" s="247" t="str">
        <f t="shared" si="93"/>
        <v/>
      </c>
      <c r="DL37" s="247" t="str">
        <f t="shared" si="93"/>
        <v/>
      </c>
      <c r="DM37" s="247" t="str">
        <f t="shared" si="93"/>
        <v/>
      </c>
      <c r="DN37" s="247" t="str">
        <f t="shared" si="93"/>
        <v/>
      </c>
      <c r="DO37" s="247" t="str">
        <f t="shared" si="93"/>
        <v/>
      </c>
      <c r="DP37" s="244" t="str">
        <f t="shared" si="19"/>
        <v/>
      </c>
      <c r="DQ37" s="244" t="str">
        <f t="shared" ref="DQ37:DV37" si="94">IF(COUNTIF($I37,$DP37), J37, C37)</f>
        <v/>
      </c>
      <c r="DR37" s="244" t="str">
        <f t="shared" si="94"/>
        <v/>
      </c>
      <c r="DS37" s="244" t="str">
        <f t="shared" si="94"/>
        <v/>
      </c>
      <c r="DT37" s="244" t="str">
        <f t="shared" si="94"/>
        <v/>
      </c>
      <c r="DU37" s="244" t="str">
        <f t="shared" si="94"/>
        <v/>
      </c>
      <c r="DV37" s="244" t="str">
        <f t="shared" si="94"/>
        <v/>
      </c>
      <c r="DW37" s="241" t="str">
        <f>IF(HomePage!C48 &lt;&gt; "", IFS(AND(P37 = 1, COUNTIF(PlayerAltNames, B37)&gt;0), "Win", AND(P37 = 1, COUNTIF(PlayerAltNames, I37)&gt;0), "Loss", AND(P37 = 2, COUNTIF(PlayerAltNames, I37)&gt;0), "Win", AND(P37 = 2, COUNTIF(PlayerAltNames, B37)&gt;0), "Loss"), "")</f>
        <v/>
      </c>
      <c r="DX37" s="244"/>
      <c r="DY37" s="244" t="str">
        <f t="shared" si="21"/>
        <v>#N/A</v>
      </c>
      <c r="DZ37" s="244" t="str">
        <f t="shared" si="22"/>
        <v>#N/A</v>
      </c>
      <c r="EA37" s="244" t="str">
        <f t="shared" si="23"/>
        <v>#N/A</v>
      </c>
      <c r="EB37" s="244" t="str">
        <f t="shared" si="24"/>
        <v>#N/A</v>
      </c>
      <c r="EC37" s="244" t="str">
        <f t="shared" si="25"/>
        <v>#N/A</v>
      </c>
      <c r="ED37" s="244" t="str">
        <f t="shared" si="26"/>
        <v>#N/A</v>
      </c>
      <c r="EE37" s="244" t="str">
        <f t="shared" si="27"/>
        <v> -&gt; </v>
      </c>
      <c r="EF37" s="244" t="str">
        <f t="shared" si="28"/>
        <v/>
      </c>
      <c r="EG37" s="244"/>
      <c r="EH37" s="244"/>
      <c r="EI37" s="245"/>
    </row>
    <row r="38">
      <c r="A38" s="105"/>
      <c r="B38" s="239" t="str">
        <f>IF(HomePage!C49&lt;&gt;"", REPLAYTODATA(HomePage!C49), "")</f>
        <v/>
      </c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4"/>
      <c r="AR38" s="244"/>
      <c r="AS38" s="244"/>
      <c r="AT38" s="244"/>
      <c r="AU38" s="244"/>
      <c r="AV38" s="244"/>
      <c r="AW38" s="244"/>
      <c r="AX38" s="244"/>
      <c r="AY38" s="244"/>
      <c r="AZ38" s="244"/>
      <c r="BA38" s="244"/>
      <c r="BB38" s="244"/>
      <c r="BC38" s="244"/>
      <c r="BD38" s="244"/>
      <c r="BE38" s="244"/>
      <c r="BF38" s="244"/>
      <c r="BG38" s="244"/>
      <c r="BH38" s="244"/>
      <c r="BI38" s="244"/>
      <c r="BJ38" s="244"/>
      <c r="BK38" s="244"/>
      <c r="BL38" s="244"/>
      <c r="BM38" s="244"/>
      <c r="BN38" s="244"/>
      <c r="BO38" s="244"/>
      <c r="BP38" s="244"/>
      <c r="BQ38" s="244"/>
      <c r="BR38" s="244"/>
      <c r="BS38" s="244"/>
      <c r="BT38" s="244"/>
      <c r="BU38" s="244"/>
      <c r="BV38" s="244"/>
      <c r="BW38" s="244"/>
      <c r="BX38" s="244"/>
      <c r="BY38" s="244"/>
      <c r="BZ38" s="244"/>
      <c r="CA38" s="244"/>
      <c r="CB38" s="244"/>
      <c r="CC38" s="244"/>
      <c r="CD38" s="244"/>
      <c r="CE38" s="244"/>
      <c r="CF38" s="244"/>
      <c r="CG38" s="244"/>
      <c r="CH38" s="244"/>
      <c r="CI38" s="244"/>
      <c r="CJ38" s="244"/>
      <c r="CK38" s="244"/>
      <c r="CL38" s="244"/>
      <c r="CM38" s="244"/>
      <c r="CN38" s="244"/>
      <c r="CO38" s="244"/>
      <c r="CP38" s="244"/>
      <c r="CQ38" s="244"/>
      <c r="CR38" s="244"/>
      <c r="CS38" s="244"/>
      <c r="CT38" s="241" t="str">
        <f t="shared" si="3"/>
        <v/>
      </c>
      <c r="CU38" s="246" t="str">
        <f t="shared" si="4"/>
        <v/>
      </c>
      <c r="CV38" s="241" t="str">
        <f t="shared" si="5"/>
        <v/>
      </c>
      <c r="CW38" s="246" t="str">
        <f t="shared" si="6"/>
        <v/>
      </c>
      <c r="CX38" s="241" t="str">
        <f t="shared" si="7"/>
        <v/>
      </c>
      <c r="CY38" s="241" t="str">
        <f t="shared" si="8"/>
        <v/>
      </c>
      <c r="CZ38" s="241" t="str">
        <f t="shared" si="9"/>
        <v/>
      </c>
      <c r="DA38" s="246" t="str">
        <f t="shared" si="10"/>
        <v/>
      </c>
      <c r="DB38" s="246" t="str">
        <f t="shared" si="11"/>
        <v/>
      </c>
      <c r="DC38" s="246" t="str">
        <f t="shared" si="12"/>
        <v/>
      </c>
      <c r="DD38" s="241" t="str">
        <f t="shared" si="13"/>
        <v>1</v>
      </c>
      <c r="DE38" s="241" t="str">
        <f t="shared" si="14"/>
        <v/>
      </c>
      <c r="DF38" s="241" t="str">
        <f t="shared" si="15"/>
        <v/>
      </c>
      <c r="DG38" s="244" t="str">
        <f t="shared" si="16"/>
        <v/>
      </c>
      <c r="DH38" s="244" t="str">
        <f t="shared" si="17"/>
        <v/>
      </c>
      <c r="DI38" s="244" t="str">
        <f>IF(COUNTIF(PlayerAltNames,B38)&gt;0, B38, I38)</f>
        <v/>
      </c>
      <c r="DJ38" s="247" t="str">
        <f t="shared" ref="DJ38:DO38" si="95">IF(COUNTIF($I38,$DI38)&gt;0, J38, C38)</f>
        <v/>
      </c>
      <c r="DK38" s="247" t="str">
        <f t="shared" si="95"/>
        <v/>
      </c>
      <c r="DL38" s="247" t="str">
        <f t="shared" si="95"/>
        <v/>
      </c>
      <c r="DM38" s="247" t="str">
        <f t="shared" si="95"/>
        <v/>
      </c>
      <c r="DN38" s="247" t="str">
        <f t="shared" si="95"/>
        <v/>
      </c>
      <c r="DO38" s="247" t="str">
        <f t="shared" si="95"/>
        <v/>
      </c>
      <c r="DP38" s="244" t="str">
        <f t="shared" si="19"/>
        <v/>
      </c>
      <c r="DQ38" s="244" t="str">
        <f t="shared" ref="DQ38:DV38" si="96">IF(COUNTIF($I38,$DP38), J38, C38)</f>
        <v/>
      </c>
      <c r="DR38" s="244" t="str">
        <f t="shared" si="96"/>
        <v/>
      </c>
      <c r="DS38" s="244" t="str">
        <f t="shared" si="96"/>
        <v/>
      </c>
      <c r="DT38" s="244" t="str">
        <f t="shared" si="96"/>
        <v/>
      </c>
      <c r="DU38" s="244" t="str">
        <f t="shared" si="96"/>
        <v/>
      </c>
      <c r="DV38" s="244" t="str">
        <f t="shared" si="96"/>
        <v/>
      </c>
      <c r="DW38" s="241" t="str">
        <f>IF(HomePage!C49 &lt;&gt; "", IFS(AND(P38 = 1, COUNTIF(PlayerAltNames, B38)&gt;0), "Win", AND(P38 = 1, COUNTIF(PlayerAltNames, I38)&gt;0), "Loss", AND(P38 = 2, COUNTIF(PlayerAltNames, I38)&gt;0), "Win", AND(P38 = 2, COUNTIF(PlayerAltNames, B38)&gt;0), "Loss"), "")</f>
        <v/>
      </c>
      <c r="DX38" s="244"/>
      <c r="DY38" s="244" t="str">
        <f t="shared" si="21"/>
        <v>#N/A</v>
      </c>
      <c r="DZ38" s="244" t="str">
        <f t="shared" si="22"/>
        <v>#N/A</v>
      </c>
      <c r="EA38" s="244" t="str">
        <f t="shared" si="23"/>
        <v>#N/A</v>
      </c>
      <c r="EB38" s="244" t="str">
        <f t="shared" si="24"/>
        <v>#N/A</v>
      </c>
      <c r="EC38" s="244" t="str">
        <f t="shared" si="25"/>
        <v>#N/A</v>
      </c>
      <c r="ED38" s="244" t="str">
        <f t="shared" si="26"/>
        <v>#N/A</v>
      </c>
      <c r="EE38" s="244" t="str">
        <f t="shared" si="27"/>
        <v> -&gt; </v>
      </c>
      <c r="EF38" s="244" t="str">
        <f t="shared" si="28"/>
        <v/>
      </c>
      <c r="EG38" s="244"/>
      <c r="EH38" s="244"/>
      <c r="EI38" s="245"/>
    </row>
    <row r="39">
      <c r="A39" s="105"/>
      <c r="B39" s="239" t="str">
        <f>IF(HomePage!C50&lt;&gt;"", REPLAYTODATA(HomePage!C50), "")</f>
        <v/>
      </c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  <c r="AS39" s="244"/>
      <c r="AT39" s="244"/>
      <c r="AU39" s="244"/>
      <c r="AV39" s="244"/>
      <c r="AW39" s="244"/>
      <c r="AX39" s="244"/>
      <c r="AY39" s="244"/>
      <c r="AZ39" s="244"/>
      <c r="BA39" s="244"/>
      <c r="BB39" s="244"/>
      <c r="BC39" s="244"/>
      <c r="BD39" s="244"/>
      <c r="BE39" s="244"/>
      <c r="BF39" s="244"/>
      <c r="BG39" s="244"/>
      <c r="BH39" s="244"/>
      <c r="BI39" s="244"/>
      <c r="BJ39" s="244"/>
      <c r="BK39" s="244"/>
      <c r="BL39" s="244"/>
      <c r="BM39" s="244"/>
      <c r="BN39" s="244"/>
      <c r="BO39" s="244"/>
      <c r="BP39" s="244"/>
      <c r="BQ39" s="244"/>
      <c r="BR39" s="244"/>
      <c r="BS39" s="244"/>
      <c r="BT39" s="244"/>
      <c r="BU39" s="244"/>
      <c r="BV39" s="244"/>
      <c r="BW39" s="244"/>
      <c r="BX39" s="244"/>
      <c r="BY39" s="244"/>
      <c r="BZ39" s="244"/>
      <c r="CA39" s="244"/>
      <c r="CB39" s="244"/>
      <c r="CC39" s="244"/>
      <c r="CD39" s="244"/>
      <c r="CE39" s="244"/>
      <c r="CF39" s="244"/>
      <c r="CG39" s="244"/>
      <c r="CH39" s="244"/>
      <c r="CI39" s="244"/>
      <c r="CJ39" s="244"/>
      <c r="CK39" s="244"/>
      <c r="CL39" s="244"/>
      <c r="CM39" s="244"/>
      <c r="CN39" s="244"/>
      <c r="CO39" s="244"/>
      <c r="CP39" s="244"/>
      <c r="CQ39" s="244"/>
      <c r="CR39" s="244"/>
      <c r="CS39" s="244"/>
      <c r="CT39" s="241" t="str">
        <f t="shared" si="3"/>
        <v/>
      </c>
      <c r="CU39" s="246" t="str">
        <f t="shared" si="4"/>
        <v/>
      </c>
      <c r="CV39" s="241" t="str">
        <f t="shared" si="5"/>
        <v/>
      </c>
      <c r="CW39" s="246" t="str">
        <f t="shared" si="6"/>
        <v/>
      </c>
      <c r="CX39" s="241" t="str">
        <f t="shared" si="7"/>
        <v/>
      </c>
      <c r="CY39" s="241" t="str">
        <f t="shared" si="8"/>
        <v/>
      </c>
      <c r="CZ39" s="241" t="str">
        <f t="shared" si="9"/>
        <v/>
      </c>
      <c r="DA39" s="246" t="str">
        <f t="shared" si="10"/>
        <v/>
      </c>
      <c r="DB39" s="246" t="str">
        <f t="shared" si="11"/>
        <v/>
      </c>
      <c r="DC39" s="246" t="str">
        <f t="shared" si="12"/>
        <v/>
      </c>
      <c r="DD39" s="241" t="str">
        <f t="shared" si="13"/>
        <v>1</v>
      </c>
      <c r="DE39" s="241" t="str">
        <f t="shared" si="14"/>
        <v/>
      </c>
      <c r="DF39" s="241" t="str">
        <f t="shared" si="15"/>
        <v/>
      </c>
      <c r="DG39" s="244" t="str">
        <f t="shared" si="16"/>
        <v/>
      </c>
      <c r="DH39" s="244" t="str">
        <f t="shared" si="17"/>
        <v/>
      </c>
      <c r="DI39" s="244" t="str">
        <f>IF(COUNTIF(PlayerAltNames,B39)&gt;0, B39, I39)</f>
        <v/>
      </c>
      <c r="DJ39" s="247" t="str">
        <f t="shared" ref="DJ39:DO39" si="97">IF(COUNTIF($I39,$DI39)&gt;0, J39, C39)</f>
        <v/>
      </c>
      <c r="DK39" s="247" t="str">
        <f t="shared" si="97"/>
        <v/>
      </c>
      <c r="DL39" s="247" t="str">
        <f t="shared" si="97"/>
        <v/>
      </c>
      <c r="DM39" s="247" t="str">
        <f t="shared" si="97"/>
        <v/>
      </c>
      <c r="DN39" s="247" t="str">
        <f t="shared" si="97"/>
        <v/>
      </c>
      <c r="DO39" s="247" t="str">
        <f t="shared" si="97"/>
        <v/>
      </c>
      <c r="DP39" s="244" t="str">
        <f t="shared" si="19"/>
        <v/>
      </c>
      <c r="DQ39" s="244" t="str">
        <f t="shared" ref="DQ39:DV39" si="98">IF(COUNTIF($I39,$DP39), J39, C39)</f>
        <v/>
      </c>
      <c r="DR39" s="244" t="str">
        <f t="shared" si="98"/>
        <v/>
      </c>
      <c r="DS39" s="244" t="str">
        <f t="shared" si="98"/>
        <v/>
      </c>
      <c r="DT39" s="244" t="str">
        <f t="shared" si="98"/>
        <v/>
      </c>
      <c r="DU39" s="244" t="str">
        <f t="shared" si="98"/>
        <v/>
      </c>
      <c r="DV39" s="244" t="str">
        <f t="shared" si="98"/>
        <v/>
      </c>
      <c r="DW39" s="241" t="str">
        <f>IF(HomePage!C50 &lt;&gt; "", IFS(AND(P39 = 1, COUNTIF(PlayerAltNames, B39)&gt;0), "Win", AND(P39 = 1, COUNTIF(PlayerAltNames, I39)&gt;0), "Loss", AND(P39 = 2, COUNTIF(PlayerAltNames, I39)&gt;0), "Win", AND(P39 = 2, COUNTIF(PlayerAltNames, B39)&gt;0), "Loss"), "")</f>
        <v/>
      </c>
      <c r="DX39" s="244"/>
      <c r="DY39" s="244" t="str">
        <f t="shared" si="21"/>
        <v>#N/A</v>
      </c>
      <c r="DZ39" s="244" t="str">
        <f t="shared" si="22"/>
        <v>#N/A</v>
      </c>
      <c r="EA39" s="244" t="str">
        <f t="shared" si="23"/>
        <v>#N/A</v>
      </c>
      <c r="EB39" s="244" t="str">
        <f t="shared" si="24"/>
        <v>#N/A</v>
      </c>
      <c r="EC39" s="244" t="str">
        <f t="shared" si="25"/>
        <v>#N/A</v>
      </c>
      <c r="ED39" s="244" t="str">
        <f t="shared" si="26"/>
        <v>#N/A</v>
      </c>
      <c r="EE39" s="244" t="str">
        <f t="shared" si="27"/>
        <v> -&gt; </v>
      </c>
      <c r="EF39" s="244" t="str">
        <f t="shared" si="28"/>
        <v/>
      </c>
      <c r="EG39" s="244"/>
      <c r="EH39" s="244"/>
      <c r="EI39" s="245"/>
    </row>
    <row r="40">
      <c r="A40" s="105"/>
      <c r="B40" s="239" t="str">
        <f>IF(HomePage!C51&lt;&gt;"", REPLAYTODATA(HomePage!C51), "")</f>
        <v/>
      </c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  <c r="AR40" s="244"/>
      <c r="AS40" s="244"/>
      <c r="AT40" s="244"/>
      <c r="AU40" s="244"/>
      <c r="AV40" s="244"/>
      <c r="AW40" s="244"/>
      <c r="AX40" s="244"/>
      <c r="AY40" s="244"/>
      <c r="AZ40" s="244"/>
      <c r="BA40" s="244"/>
      <c r="BB40" s="244"/>
      <c r="BC40" s="244"/>
      <c r="BD40" s="244"/>
      <c r="BE40" s="244"/>
      <c r="BF40" s="244"/>
      <c r="BG40" s="244"/>
      <c r="BH40" s="244"/>
      <c r="BI40" s="244"/>
      <c r="BJ40" s="244"/>
      <c r="BK40" s="244"/>
      <c r="BL40" s="244"/>
      <c r="BM40" s="244"/>
      <c r="BN40" s="244"/>
      <c r="BO40" s="244"/>
      <c r="BP40" s="244"/>
      <c r="BQ40" s="244"/>
      <c r="BR40" s="244"/>
      <c r="BS40" s="244"/>
      <c r="BT40" s="244"/>
      <c r="BU40" s="244"/>
      <c r="BV40" s="244"/>
      <c r="BW40" s="244"/>
      <c r="BX40" s="244"/>
      <c r="BY40" s="244"/>
      <c r="BZ40" s="244"/>
      <c r="CA40" s="244"/>
      <c r="CB40" s="244"/>
      <c r="CC40" s="244"/>
      <c r="CD40" s="244"/>
      <c r="CE40" s="244"/>
      <c r="CF40" s="244"/>
      <c r="CG40" s="244"/>
      <c r="CH40" s="244"/>
      <c r="CI40" s="244"/>
      <c r="CJ40" s="244"/>
      <c r="CK40" s="244"/>
      <c r="CL40" s="244"/>
      <c r="CM40" s="244"/>
      <c r="CN40" s="244"/>
      <c r="CO40" s="244"/>
      <c r="CP40" s="244"/>
      <c r="CQ40" s="244"/>
      <c r="CR40" s="244"/>
      <c r="CS40" s="244"/>
      <c r="CT40" s="241" t="str">
        <f t="shared" si="3"/>
        <v/>
      </c>
      <c r="CU40" s="246" t="str">
        <f t="shared" si="4"/>
        <v/>
      </c>
      <c r="CV40" s="241" t="str">
        <f t="shared" si="5"/>
        <v/>
      </c>
      <c r="CW40" s="246" t="str">
        <f t="shared" si="6"/>
        <v/>
      </c>
      <c r="CX40" s="241" t="str">
        <f t="shared" si="7"/>
        <v/>
      </c>
      <c r="CY40" s="241" t="str">
        <f t="shared" si="8"/>
        <v/>
      </c>
      <c r="CZ40" s="241" t="str">
        <f t="shared" si="9"/>
        <v/>
      </c>
      <c r="DA40" s="246" t="str">
        <f t="shared" si="10"/>
        <v/>
      </c>
      <c r="DB40" s="246" t="str">
        <f t="shared" si="11"/>
        <v/>
      </c>
      <c r="DC40" s="246" t="str">
        <f t="shared" si="12"/>
        <v/>
      </c>
      <c r="DD40" s="241" t="str">
        <f t="shared" si="13"/>
        <v>1</v>
      </c>
      <c r="DE40" s="241" t="str">
        <f t="shared" si="14"/>
        <v/>
      </c>
      <c r="DF40" s="241" t="str">
        <f t="shared" si="15"/>
        <v/>
      </c>
      <c r="DG40" s="244" t="str">
        <f t="shared" si="16"/>
        <v/>
      </c>
      <c r="DH40" s="244" t="str">
        <f t="shared" si="17"/>
        <v/>
      </c>
      <c r="DI40" s="244" t="str">
        <f>IF(COUNTIF(PlayerAltNames,B40)&gt;0, B40, I40)</f>
        <v/>
      </c>
      <c r="DJ40" s="247" t="str">
        <f t="shared" ref="DJ40:DO40" si="99">IF(COUNTIF($I40,$DI40)&gt;0, J40, C40)</f>
        <v/>
      </c>
      <c r="DK40" s="247" t="str">
        <f t="shared" si="99"/>
        <v/>
      </c>
      <c r="DL40" s="247" t="str">
        <f t="shared" si="99"/>
        <v/>
      </c>
      <c r="DM40" s="247" t="str">
        <f t="shared" si="99"/>
        <v/>
      </c>
      <c r="DN40" s="247" t="str">
        <f t="shared" si="99"/>
        <v/>
      </c>
      <c r="DO40" s="247" t="str">
        <f t="shared" si="99"/>
        <v/>
      </c>
      <c r="DP40" s="244" t="str">
        <f t="shared" si="19"/>
        <v/>
      </c>
      <c r="DQ40" s="244" t="str">
        <f t="shared" ref="DQ40:DV40" si="100">IF(COUNTIF($I40,$DP40), J40, C40)</f>
        <v/>
      </c>
      <c r="DR40" s="244" t="str">
        <f t="shared" si="100"/>
        <v/>
      </c>
      <c r="DS40" s="244" t="str">
        <f t="shared" si="100"/>
        <v/>
      </c>
      <c r="DT40" s="244" t="str">
        <f t="shared" si="100"/>
        <v/>
      </c>
      <c r="DU40" s="244" t="str">
        <f t="shared" si="100"/>
        <v/>
      </c>
      <c r="DV40" s="244" t="str">
        <f t="shared" si="100"/>
        <v/>
      </c>
      <c r="DW40" s="241" t="str">
        <f>IF(HomePage!C51 &lt;&gt; "", IFS(AND(P40 = 1, COUNTIF(PlayerAltNames, B40)&gt;0), "Win", AND(P40 = 1, COUNTIF(PlayerAltNames, I40)&gt;0), "Loss", AND(P40 = 2, COUNTIF(PlayerAltNames, I40)&gt;0), "Win", AND(P40 = 2, COUNTIF(PlayerAltNames, B40)&gt;0), "Loss"), "")</f>
        <v/>
      </c>
      <c r="DX40" s="244"/>
      <c r="DY40" s="244" t="str">
        <f t="shared" si="21"/>
        <v>#N/A</v>
      </c>
      <c r="DZ40" s="244" t="str">
        <f t="shared" si="22"/>
        <v>#N/A</v>
      </c>
      <c r="EA40" s="244" t="str">
        <f t="shared" si="23"/>
        <v>#N/A</v>
      </c>
      <c r="EB40" s="244" t="str">
        <f t="shared" si="24"/>
        <v>#N/A</v>
      </c>
      <c r="EC40" s="244" t="str">
        <f t="shared" si="25"/>
        <v>#N/A</v>
      </c>
      <c r="ED40" s="244" t="str">
        <f t="shared" si="26"/>
        <v>#N/A</v>
      </c>
      <c r="EE40" s="244" t="str">
        <f t="shared" si="27"/>
        <v> -&gt; </v>
      </c>
      <c r="EF40" s="244" t="str">
        <f t="shared" si="28"/>
        <v/>
      </c>
      <c r="EG40" s="244"/>
      <c r="EH40" s="244"/>
      <c r="EI40" s="245"/>
    </row>
    <row r="41">
      <c r="A41" s="105"/>
      <c r="B41" s="239" t="str">
        <f>IF(HomePage!C52&lt;&gt;"", REPLAYTODATA(HomePage!C52), "")</f>
        <v/>
      </c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  <c r="AL41" s="244"/>
      <c r="AM41" s="244"/>
      <c r="AN41" s="244"/>
      <c r="AO41" s="244"/>
      <c r="AP41" s="244"/>
      <c r="AQ41" s="244"/>
      <c r="AR41" s="244"/>
      <c r="AS41" s="244"/>
      <c r="AT41" s="244"/>
      <c r="AU41" s="244"/>
      <c r="AV41" s="244"/>
      <c r="AW41" s="244"/>
      <c r="AX41" s="244"/>
      <c r="AY41" s="244"/>
      <c r="AZ41" s="244"/>
      <c r="BA41" s="244"/>
      <c r="BB41" s="244"/>
      <c r="BC41" s="244"/>
      <c r="BD41" s="244"/>
      <c r="BE41" s="244"/>
      <c r="BF41" s="244"/>
      <c r="BG41" s="244"/>
      <c r="BH41" s="244"/>
      <c r="BI41" s="244"/>
      <c r="BJ41" s="244"/>
      <c r="BK41" s="244"/>
      <c r="BL41" s="244"/>
      <c r="BM41" s="244"/>
      <c r="BN41" s="244"/>
      <c r="BO41" s="244"/>
      <c r="BP41" s="244"/>
      <c r="BQ41" s="244"/>
      <c r="BR41" s="244"/>
      <c r="BS41" s="244"/>
      <c r="BT41" s="244"/>
      <c r="BU41" s="244"/>
      <c r="BV41" s="244"/>
      <c r="BW41" s="244"/>
      <c r="BX41" s="244"/>
      <c r="BY41" s="244"/>
      <c r="BZ41" s="244"/>
      <c r="CA41" s="244"/>
      <c r="CB41" s="244"/>
      <c r="CC41" s="244"/>
      <c r="CD41" s="244"/>
      <c r="CE41" s="244"/>
      <c r="CF41" s="244"/>
      <c r="CG41" s="244"/>
      <c r="CH41" s="244"/>
      <c r="CI41" s="244"/>
      <c r="CJ41" s="244"/>
      <c r="CK41" s="244"/>
      <c r="CL41" s="244"/>
      <c r="CM41" s="244"/>
      <c r="CN41" s="244"/>
      <c r="CO41" s="244"/>
      <c r="CP41" s="244"/>
      <c r="CQ41" s="244"/>
      <c r="CR41" s="244"/>
      <c r="CS41" s="244"/>
      <c r="CT41" s="241" t="str">
        <f t="shared" si="3"/>
        <v/>
      </c>
      <c r="CU41" s="246" t="str">
        <f t="shared" si="4"/>
        <v/>
      </c>
      <c r="CV41" s="241" t="str">
        <f t="shared" si="5"/>
        <v/>
      </c>
      <c r="CW41" s="246" t="str">
        <f t="shared" si="6"/>
        <v/>
      </c>
      <c r="CX41" s="241" t="str">
        <f t="shared" si="7"/>
        <v/>
      </c>
      <c r="CY41" s="241" t="str">
        <f t="shared" si="8"/>
        <v/>
      </c>
      <c r="CZ41" s="241" t="str">
        <f t="shared" si="9"/>
        <v/>
      </c>
      <c r="DA41" s="246" t="str">
        <f t="shared" si="10"/>
        <v/>
      </c>
      <c r="DB41" s="246" t="str">
        <f t="shared" si="11"/>
        <v/>
      </c>
      <c r="DC41" s="246" t="str">
        <f t="shared" si="12"/>
        <v/>
      </c>
      <c r="DD41" s="241" t="str">
        <f t="shared" si="13"/>
        <v>1</v>
      </c>
      <c r="DE41" s="241" t="str">
        <f t="shared" si="14"/>
        <v/>
      </c>
      <c r="DF41" s="241" t="str">
        <f t="shared" si="15"/>
        <v/>
      </c>
      <c r="DG41" s="244" t="str">
        <f t="shared" si="16"/>
        <v/>
      </c>
      <c r="DH41" s="244" t="str">
        <f t="shared" si="17"/>
        <v/>
      </c>
      <c r="DI41" s="244" t="str">
        <f>IF(COUNTIF(PlayerAltNames,B41)&gt;0, B41, I41)</f>
        <v/>
      </c>
      <c r="DJ41" s="247" t="str">
        <f t="shared" ref="DJ41:DO41" si="101">IF(COUNTIF($I41,$DI41)&gt;0, J41, C41)</f>
        <v/>
      </c>
      <c r="DK41" s="247" t="str">
        <f t="shared" si="101"/>
        <v/>
      </c>
      <c r="DL41" s="247" t="str">
        <f t="shared" si="101"/>
        <v/>
      </c>
      <c r="DM41" s="247" t="str">
        <f t="shared" si="101"/>
        <v/>
      </c>
      <c r="DN41" s="247" t="str">
        <f t="shared" si="101"/>
        <v/>
      </c>
      <c r="DO41" s="247" t="str">
        <f t="shared" si="101"/>
        <v/>
      </c>
      <c r="DP41" s="244" t="str">
        <f t="shared" si="19"/>
        <v/>
      </c>
      <c r="DQ41" s="244" t="str">
        <f t="shared" ref="DQ41:DV41" si="102">IF(COUNTIF($I41,$DP41), J41, C41)</f>
        <v/>
      </c>
      <c r="DR41" s="244" t="str">
        <f t="shared" si="102"/>
        <v/>
      </c>
      <c r="DS41" s="244" t="str">
        <f t="shared" si="102"/>
        <v/>
      </c>
      <c r="DT41" s="244" t="str">
        <f t="shared" si="102"/>
        <v/>
      </c>
      <c r="DU41" s="244" t="str">
        <f t="shared" si="102"/>
        <v/>
      </c>
      <c r="DV41" s="244" t="str">
        <f t="shared" si="102"/>
        <v/>
      </c>
      <c r="DW41" s="241" t="str">
        <f>IF(HomePage!C52 &lt;&gt; "", IFS(AND(P41 = 1, COUNTIF(PlayerAltNames, B41)&gt;0), "Win", AND(P41 = 1, COUNTIF(PlayerAltNames, I41)&gt;0), "Loss", AND(P41 = 2, COUNTIF(PlayerAltNames, I41)&gt;0), "Win", AND(P41 = 2, COUNTIF(PlayerAltNames, B41)&gt;0), "Loss"), "")</f>
        <v/>
      </c>
      <c r="DX41" s="244"/>
      <c r="DY41" s="244" t="str">
        <f t="shared" si="21"/>
        <v>#N/A</v>
      </c>
      <c r="DZ41" s="244" t="str">
        <f t="shared" si="22"/>
        <v>#N/A</v>
      </c>
      <c r="EA41" s="244" t="str">
        <f t="shared" si="23"/>
        <v>#N/A</v>
      </c>
      <c r="EB41" s="244" t="str">
        <f t="shared" si="24"/>
        <v>#N/A</v>
      </c>
      <c r="EC41" s="244" t="str">
        <f t="shared" si="25"/>
        <v>#N/A</v>
      </c>
      <c r="ED41" s="244" t="str">
        <f t="shared" si="26"/>
        <v>#N/A</v>
      </c>
      <c r="EE41" s="244" t="str">
        <f t="shared" si="27"/>
        <v> -&gt; </v>
      </c>
      <c r="EF41" s="244" t="str">
        <f t="shared" si="28"/>
        <v/>
      </c>
      <c r="EG41" s="244"/>
      <c r="EH41" s="244"/>
      <c r="EI41" s="245"/>
    </row>
    <row r="42">
      <c r="A42" s="105"/>
      <c r="B42" s="239" t="str">
        <f>IF(HomePage!C53&lt;&gt;"", REPLAYTODATA(HomePage!C53), "")</f>
        <v/>
      </c>
      <c r="C42" s="236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4"/>
      <c r="AQ42" s="244"/>
      <c r="AR42" s="244"/>
      <c r="AS42" s="244"/>
      <c r="AT42" s="244"/>
      <c r="AU42" s="244"/>
      <c r="AV42" s="244"/>
      <c r="AW42" s="244"/>
      <c r="AX42" s="244"/>
      <c r="AY42" s="244"/>
      <c r="AZ42" s="244"/>
      <c r="BA42" s="244"/>
      <c r="BB42" s="244"/>
      <c r="BC42" s="244"/>
      <c r="BD42" s="244"/>
      <c r="BE42" s="244"/>
      <c r="BF42" s="244"/>
      <c r="BG42" s="244"/>
      <c r="BH42" s="244"/>
      <c r="BI42" s="244"/>
      <c r="BJ42" s="244"/>
      <c r="BK42" s="244"/>
      <c r="BL42" s="244"/>
      <c r="BM42" s="244"/>
      <c r="BN42" s="244"/>
      <c r="BO42" s="244"/>
      <c r="BP42" s="244"/>
      <c r="BQ42" s="244"/>
      <c r="BR42" s="244"/>
      <c r="BS42" s="244"/>
      <c r="BT42" s="244"/>
      <c r="BU42" s="244"/>
      <c r="BV42" s="244"/>
      <c r="BW42" s="244"/>
      <c r="BX42" s="244"/>
      <c r="BY42" s="244"/>
      <c r="BZ42" s="244"/>
      <c r="CA42" s="244"/>
      <c r="CB42" s="244"/>
      <c r="CC42" s="244"/>
      <c r="CD42" s="244"/>
      <c r="CE42" s="244"/>
      <c r="CF42" s="244"/>
      <c r="CG42" s="244"/>
      <c r="CH42" s="244"/>
      <c r="CI42" s="244"/>
      <c r="CJ42" s="244"/>
      <c r="CK42" s="244"/>
      <c r="CL42" s="244"/>
      <c r="CM42" s="244"/>
      <c r="CN42" s="244"/>
      <c r="CO42" s="244"/>
      <c r="CP42" s="244"/>
      <c r="CQ42" s="244"/>
      <c r="CR42" s="244"/>
      <c r="CS42" s="244"/>
      <c r="CT42" s="241" t="str">
        <f t="shared" si="3"/>
        <v/>
      </c>
      <c r="CU42" s="246" t="str">
        <f t="shared" si="4"/>
        <v/>
      </c>
      <c r="CV42" s="241" t="str">
        <f t="shared" si="5"/>
        <v/>
      </c>
      <c r="CW42" s="246" t="str">
        <f t="shared" si="6"/>
        <v/>
      </c>
      <c r="CX42" s="241" t="str">
        <f t="shared" si="7"/>
        <v/>
      </c>
      <c r="CY42" s="241" t="str">
        <f t="shared" si="8"/>
        <v/>
      </c>
      <c r="CZ42" s="241" t="str">
        <f t="shared" si="9"/>
        <v/>
      </c>
      <c r="DA42" s="246" t="str">
        <f t="shared" si="10"/>
        <v/>
      </c>
      <c r="DB42" s="246" t="str">
        <f t="shared" si="11"/>
        <v/>
      </c>
      <c r="DC42" s="246" t="str">
        <f t="shared" si="12"/>
        <v/>
      </c>
      <c r="DD42" s="241" t="str">
        <f t="shared" si="13"/>
        <v>1</v>
      </c>
      <c r="DE42" s="241" t="str">
        <f t="shared" si="14"/>
        <v/>
      </c>
      <c r="DF42" s="241" t="str">
        <f t="shared" si="15"/>
        <v/>
      </c>
      <c r="DG42" s="244" t="str">
        <f t="shared" si="16"/>
        <v/>
      </c>
      <c r="DH42" s="244" t="str">
        <f t="shared" si="17"/>
        <v/>
      </c>
      <c r="DI42" s="244" t="str">
        <f>IF(COUNTIF(PlayerAltNames,B42)&gt;0, B42, I42)</f>
        <v/>
      </c>
      <c r="DJ42" s="247" t="str">
        <f t="shared" ref="DJ42:DO42" si="103">IF(COUNTIF($I42,$DI42)&gt;0, J42, C42)</f>
        <v/>
      </c>
      <c r="DK42" s="247" t="str">
        <f t="shared" si="103"/>
        <v/>
      </c>
      <c r="DL42" s="247" t="str">
        <f t="shared" si="103"/>
        <v/>
      </c>
      <c r="DM42" s="247" t="str">
        <f t="shared" si="103"/>
        <v/>
      </c>
      <c r="DN42" s="247" t="str">
        <f t="shared" si="103"/>
        <v/>
      </c>
      <c r="DO42" s="247" t="str">
        <f t="shared" si="103"/>
        <v/>
      </c>
      <c r="DP42" s="244" t="str">
        <f t="shared" si="19"/>
        <v/>
      </c>
      <c r="DQ42" s="244" t="str">
        <f t="shared" ref="DQ42:DV42" si="104">IF(COUNTIF($I42,$DP42), J42, C42)</f>
        <v/>
      </c>
      <c r="DR42" s="244" t="str">
        <f t="shared" si="104"/>
        <v/>
      </c>
      <c r="DS42" s="244" t="str">
        <f t="shared" si="104"/>
        <v/>
      </c>
      <c r="DT42" s="244" t="str">
        <f t="shared" si="104"/>
        <v/>
      </c>
      <c r="DU42" s="244" t="str">
        <f t="shared" si="104"/>
        <v/>
      </c>
      <c r="DV42" s="244" t="str">
        <f t="shared" si="104"/>
        <v/>
      </c>
      <c r="DW42" s="241" t="str">
        <f>IF(HomePage!C53 &lt;&gt; "", IFS(AND(P42 = 1, COUNTIF(PlayerAltNames, B42)&gt;0), "Win", AND(P42 = 1, COUNTIF(PlayerAltNames, I42)&gt;0), "Loss", AND(P42 = 2, COUNTIF(PlayerAltNames, I42)&gt;0), "Win", AND(P42 = 2, COUNTIF(PlayerAltNames, B42)&gt;0), "Loss"), "")</f>
        <v/>
      </c>
      <c r="DX42" s="244"/>
      <c r="DY42" s="244" t="str">
        <f t="shared" si="21"/>
        <v>#N/A</v>
      </c>
      <c r="DZ42" s="244" t="str">
        <f t="shared" si="22"/>
        <v>#N/A</v>
      </c>
      <c r="EA42" s="244" t="str">
        <f t="shared" si="23"/>
        <v>#N/A</v>
      </c>
      <c r="EB42" s="244" t="str">
        <f t="shared" si="24"/>
        <v>#N/A</v>
      </c>
      <c r="EC42" s="244" t="str">
        <f t="shared" si="25"/>
        <v>#N/A</v>
      </c>
      <c r="ED42" s="244" t="str">
        <f t="shared" si="26"/>
        <v>#N/A</v>
      </c>
      <c r="EE42" s="244" t="str">
        <f t="shared" si="27"/>
        <v> -&gt; </v>
      </c>
      <c r="EF42" s="244" t="str">
        <f t="shared" si="28"/>
        <v/>
      </c>
      <c r="EG42" s="244"/>
      <c r="EH42" s="244"/>
      <c r="EI42" s="245"/>
    </row>
    <row r="43">
      <c r="A43" s="105"/>
      <c r="B43" s="239" t="str">
        <f>IF(HomePage!C54&lt;&gt;"", REPLAYTODATA(HomePage!C54), "")</f>
        <v/>
      </c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4"/>
      <c r="AS43" s="244"/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4"/>
      <c r="BL43" s="244"/>
      <c r="BM43" s="244"/>
      <c r="BN43" s="244"/>
      <c r="BO43" s="244"/>
      <c r="BP43" s="244"/>
      <c r="BQ43" s="244"/>
      <c r="BR43" s="244"/>
      <c r="BS43" s="244"/>
      <c r="BT43" s="244"/>
      <c r="BU43" s="244"/>
      <c r="BV43" s="244"/>
      <c r="BW43" s="244"/>
      <c r="BX43" s="244"/>
      <c r="BY43" s="244"/>
      <c r="BZ43" s="244"/>
      <c r="CA43" s="244"/>
      <c r="CB43" s="244"/>
      <c r="CC43" s="244"/>
      <c r="CD43" s="244"/>
      <c r="CE43" s="244"/>
      <c r="CF43" s="244"/>
      <c r="CG43" s="244"/>
      <c r="CH43" s="244"/>
      <c r="CI43" s="244"/>
      <c r="CJ43" s="244"/>
      <c r="CK43" s="244"/>
      <c r="CL43" s="244"/>
      <c r="CM43" s="244"/>
      <c r="CN43" s="244"/>
      <c r="CO43" s="244"/>
      <c r="CP43" s="244"/>
      <c r="CQ43" s="244"/>
      <c r="CR43" s="244"/>
      <c r="CS43" s="244"/>
      <c r="CT43" s="241" t="str">
        <f t="shared" si="3"/>
        <v/>
      </c>
      <c r="CU43" s="246" t="str">
        <f t="shared" si="4"/>
        <v/>
      </c>
      <c r="CV43" s="241" t="str">
        <f t="shared" si="5"/>
        <v/>
      </c>
      <c r="CW43" s="246" t="str">
        <f t="shared" si="6"/>
        <v/>
      </c>
      <c r="CX43" s="241" t="str">
        <f t="shared" si="7"/>
        <v/>
      </c>
      <c r="CY43" s="241" t="str">
        <f t="shared" si="8"/>
        <v/>
      </c>
      <c r="CZ43" s="241" t="str">
        <f t="shared" si="9"/>
        <v/>
      </c>
      <c r="DA43" s="246" t="str">
        <f t="shared" si="10"/>
        <v/>
      </c>
      <c r="DB43" s="246" t="str">
        <f t="shared" si="11"/>
        <v/>
      </c>
      <c r="DC43" s="246" t="str">
        <f t="shared" si="12"/>
        <v/>
      </c>
      <c r="DD43" s="241" t="str">
        <f t="shared" si="13"/>
        <v>1</v>
      </c>
      <c r="DE43" s="241" t="str">
        <f t="shared" si="14"/>
        <v/>
      </c>
      <c r="DF43" s="241" t="str">
        <f t="shared" si="15"/>
        <v/>
      </c>
      <c r="DG43" s="244" t="str">
        <f t="shared" si="16"/>
        <v/>
      </c>
      <c r="DH43" s="244" t="str">
        <f t="shared" si="17"/>
        <v/>
      </c>
      <c r="DI43" s="244" t="str">
        <f>IF(COUNTIF(PlayerAltNames,B43)&gt;0, B43, I43)</f>
        <v/>
      </c>
      <c r="DJ43" s="247" t="str">
        <f t="shared" ref="DJ43:DO43" si="105">IF(COUNTIF($I43,$DI43)&gt;0, J43, C43)</f>
        <v/>
      </c>
      <c r="DK43" s="247" t="str">
        <f t="shared" si="105"/>
        <v/>
      </c>
      <c r="DL43" s="247" t="str">
        <f t="shared" si="105"/>
        <v/>
      </c>
      <c r="DM43" s="247" t="str">
        <f t="shared" si="105"/>
        <v/>
      </c>
      <c r="DN43" s="247" t="str">
        <f t="shared" si="105"/>
        <v/>
      </c>
      <c r="DO43" s="247" t="str">
        <f t="shared" si="105"/>
        <v/>
      </c>
      <c r="DP43" s="244" t="str">
        <f t="shared" si="19"/>
        <v/>
      </c>
      <c r="DQ43" s="244" t="str">
        <f t="shared" ref="DQ43:DV43" si="106">IF(COUNTIF($I43,$DP43), J43, C43)</f>
        <v/>
      </c>
      <c r="DR43" s="244" t="str">
        <f t="shared" si="106"/>
        <v/>
      </c>
      <c r="DS43" s="244" t="str">
        <f t="shared" si="106"/>
        <v/>
      </c>
      <c r="DT43" s="244" t="str">
        <f t="shared" si="106"/>
        <v/>
      </c>
      <c r="DU43" s="244" t="str">
        <f t="shared" si="106"/>
        <v/>
      </c>
      <c r="DV43" s="244" t="str">
        <f t="shared" si="106"/>
        <v/>
      </c>
      <c r="DW43" s="241" t="str">
        <f>IF(HomePage!C54 &lt;&gt; "", IFS(AND(P43 = 1, COUNTIF(PlayerAltNames, B43)&gt;0), "Win", AND(P43 = 1, COUNTIF(PlayerAltNames, I43)&gt;0), "Loss", AND(P43 = 2, COUNTIF(PlayerAltNames, I43)&gt;0), "Win", AND(P43 = 2, COUNTIF(PlayerAltNames, B43)&gt;0), "Loss"), "")</f>
        <v/>
      </c>
      <c r="DX43" s="244"/>
      <c r="DY43" s="244" t="str">
        <f t="shared" si="21"/>
        <v>#N/A</v>
      </c>
      <c r="DZ43" s="244" t="str">
        <f t="shared" si="22"/>
        <v>#N/A</v>
      </c>
      <c r="EA43" s="244" t="str">
        <f t="shared" si="23"/>
        <v>#N/A</v>
      </c>
      <c r="EB43" s="244" t="str">
        <f t="shared" si="24"/>
        <v>#N/A</v>
      </c>
      <c r="EC43" s="244" t="str">
        <f t="shared" si="25"/>
        <v>#N/A</v>
      </c>
      <c r="ED43" s="244" t="str">
        <f t="shared" si="26"/>
        <v>#N/A</v>
      </c>
      <c r="EE43" s="244" t="str">
        <f t="shared" si="27"/>
        <v> -&gt; </v>
      </c>
      <c r="EF43" s="244" t="str">
        <f t="shared" si="28"/>
        <v/>
      </c>
      <c r="EG43" s="244"/>
      <c r="EH43" s="244"/>
      <c r="EI43" s="245"/>
    </row>
    <row r="44">
      <c r="A44" s="105"/>
      <c r="B44" s="239" t="str">
        <f>IF(HomePage!C55&lt;&gt;"", REPLAYTODATA(HomePage!C55), "")</f>
        <v/>
      </c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44"/>
      <c r="AQ44" s="244"/>
      <c r="AR44" s="244"/>
      <c r="AS44" s="244"/>
      <c r="AT44" s="244"/>
      <c r="AU44" s="244"/>
      <c r="AV44" s="244"/>
      <c r="AW44" s="244"/>
      <c r="AX44" s="244"/>
      <c r="AY44" s="244"/>
      <c r="AZ44" s="244"/>
      <c r="BA44" s="244"/>
      <c r="BB44" s="244"/>
      <c r="BC44" s="244"/>
      <c r="BD44" s="244"/>
      <c r="BE44" s="244"/>
      <c r="BF44" s="244"/>
      <c r="BG44" s="244"/>
      <c r="BH44" s="244"/>
      <c r="BI44" s="244"/>
      <c r="BJ44" s="244"/>
      <c r="BK44" s="244"/>
      <c r="BL44" s="244"/>
      <c r="BM44" s="244"/>
      <c r="BN44" s="244"/>
      <c r="BO44" s="244"/>
      <c r="BP44" s="244"/>
      <c r="BQ44" s="244"/>
      <c r="BR44" s="244"/>
      <c r="BS44" s="244"/>
      <c r="BT44" s="244"/>
      <c r="BU44" s="244"/>
      <c r="BV44" s="244"/>
      <c r="BW44" s="244"/>
      <c r="BX44" s="244"/>
      <c r="BY44" s="244"/>
      <c r="BZ44" s="244"/>
      <c r="CA44" s="244"/>
      <c r="CB44" s="244"/>
      <c r="CC44" s="244"/>
      <c r="CD44" s="244"/>
      <c r="CE44" s="244"/>
      <c r="CF44" s="244"/>
      <c r="CG44" s="244"/>
      <c r="CH44" s="244"/>
      <c r="CI44" s="244"/>
      <c r="CJ44" s="244"/>
      <c r="CK44" s="244"/>
      <c r="CL44" s="244"/>
      <c r="CM44" s="244"/>
      <c r="CN44" s="244"/>
      <c r="CO44" s="244"/>
      <c r="CP44" s="244"/>
      <c r="CQ44" s="244"/>
      <c r="CR44" s="244"/>
      <c r="CS44" s="244"/>
      <c r="CT44" s="241" t="str">
        <f t="shared" si="3"/>
        <v/>
      </c>
      <c r="CU44" s="246" t="str">
        <f t="shared" si="4"/>
        <v/>
      </c>
      <c r="CV44" s="241" t="str">
        <f t="shared" si="5"/>
        <v/>
      </c>
      <c r="CW44" s="246" t="str">
        <f t="shared" si="6"/>
        <v/>
      </c>
      <c r="CX44" s="241" t="str">
        <f t="shared" si="7"/>
        <v/>
      </c>
      <c r="CY44" s="241" t="str">
        <f t="shared" si="8"/>
        <v/>
      </c>
      <c r="CZ44" s="241" t="str">
        <f t="shared" si="9"/>
        <v/>
      </c>
      <c r="DA44" s="246" t="str">
        <f t="shared" si="10"/>
        <v/>
      </c>
      <c r="DB44" s="246" t="str">
        <f t="shared" si="11"/>
        <v/>
      </c>
      <c r="DC44" s="246" t="str">
        <f t="shared" si="12"/>
        <v/>
      </c>
      <c r="DD44" s="241" t="str">
        <f t="shared" si="13"/>
        <v>1</v>
      </c>
      <c r="DE44" s="241" t="str">
        <f t="shared" si="14"/>
        <v/>
      </c>
      <c r="DF44" s="241" t="str">
        <f t="shared" si="15"/>
        <v/>
      </c>
      <c r="DG44" s="244" t="str">
        <f t="shared" si="16"/>
        <v/>
      </c>
      <c r="DH44" s="244" t="str">
        <f t="shared" si="17"/>
        <v/>
      </c>
      <c r="DI44" s="244" t="str">
        <f>IF(COUNTIF(PlayerAltNames,B44)&gt;0, B44, I44)</f>
        <v/>
      </c>
      <c r="DJ44" s="247" t="str">
        <f t="shared" ref="DJ44:DO44" si="107">IF(COUNTIF($I44,$DI44)&gt;0, J44, C44)</f>
        <v/>
      </c>
      <c r="DK44" s="247" t="str">
        <f t="shared" si="107"/>
        <v/>
      </c>
      <c r="DL44" s="247" t="str">
        <f t="shared" si="107"/>
        <v/>
      </c>
      <c r="DM44" s="247" t="str">
        <f t="shared" si="107"/>
        <v/>
      </c>
      <c r="DN44" s="247" t="str">
        <f t="shared" si="107"/>
        <v/>
      </c>
      <c r="DO44" s="247" t="str">
        <f t="shared" si="107"/>
        <v/>
      </c>
      <c r="DP44" s="244" t="str">
        <f t="shared" si="19"/>
        <v/>
      </c>
      <c r="DQ44" s="244" t="str">
        <f t="shared" ref="DQ44:DV44" si="108">IF(COUNTIF($I44,$DP44), J44, C44)</f>
        <v/>
      </c>
      <c r="DR44" s="244" t="str">
        <f t="shared" si="108"/>
        <v/>
      </c>
      <c r="DS44" s="244" t="str">
        <f t="shared" si="108"/>
        <v/>
      </c>
      <c r="DT44" s="244" t="str">
        <f t="shared" si="108"/>
        <v/>
      </c>
      <c r="DU44" s="244" t="str">
        <f t="shared" si="108"/>
        <v/>
      </c>
      <c r="DV44" s="244" t="str">
        <f t="shared" si="108"/>
        <v/>
      </c>
      <c r="DW44" s="241" t="str">
        <f>IF(HomePage!C55 &lt;&gt; "", IFS(AND(P44 = 1, COUNTIF(PlayerAltNames, B44)&gt;0), "Win", AND(P44 = 1, COUNTIF(PlayerAltNames, I44)&gt;0), "Loss", AND(P44 = 2, COUNTIF(PlayerAltNames, I44)&gt;0), "Win", AND(P44 = 2, COUNTIF(PlayerAltNames, B44)&gt;0), "Loss"), "")</f>
        <v/>
      </c>
      <c r="DX44" s="244"/>
      <c r="DY44" s="244" t="str">
        <f t="shared" si="21"/>
        <v>#N/A</v>
      </c>
      <c r="DZ44" s="244" t="str">
        <f t="shared" si="22"/>
        <v>#N/A</v>
      </c>
      <c r="EA44" s="244" t="str">
        <f t="shared" si="23"/>
        <v>#N/A</v>
      </c>
      <c r="EB44" s="244" t="str">
        <f t="shared" si="24"/>
        <v>#N/A</v>
      </c>
      <c r="EC44" s="244" t="str">
        <f t="shared" si="25"/>
        <v>#N/A</v>
      </c>
      <c r="ED44" s="244" t="str">
        <f t="shared" si="26"/>
        <v>#N/A</v>
      </c>
      <c r="EE44" s="244" t="str">
        <f t="shared" si="27"/>
        <v> -&gt; </v>
      </c>
      <c r="EF44" s="244" t="str">
        <f t="shared" si="28"/>
        <v/>
      </c>
      <c r="EG44" s="244"/>
      <c r="EH44" s="244"/>
      <c r="EI44" s="245"/>
    </row>
    <row r="45">
      <c r="A45" s="105"/>
      <c r="B45" s="239" t="str">
        <f>IF(HomePage!C56&lt;&gt;"", REPLAYTODATA(HomePage!C56), "")</f>
        <v/>
      </c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  <c r="AS45" s="244"/>
      <c r="AT45" s="244"/>
      <c r="AU45" s="244"/>
      <c r="AV45" s="244"/>
      <c r="AW45" s="244"/>
      <c r="AX45" s="244"/>
      <c r="AY45" s="244"/>
      <c r="AZ45" s="244"/>
      <c r="BA45" s="244"/>
      <c r="BB45" s="244"/>
      <c r="BC45" s="244"/>
      <c r="BD45" s="244"/>
      <c r="BE45" s="244"/>
      <c r="BF45" s="244"/>
      <c r="BG45" s="244"/>
      <c r="BH45" s="244"/>
      <c r="BI45" s="244"/>
      <c r="BJ45" s="244"/>
      <c r="BK45" s="244"/>
      <c r="BL45" s="244"/>
      <c r="BM45" s="244"/>
      <c r="BN45" s="244"/>
      <c r="BO45" s="244"/>
      <c r="BP45" s="244"/>
      <c r="BQ45" s="244"/>
      <c r="BR45" s="244"/>
      <c r="BS45" s="244"/>
      <c r="BT45" s="244"/>
      <c r="BU45" s="244"/>
      <c r="BV45" s="244"/>
      <c r="BW45" s="244"/>
      <c r="BX45" s="244"/>
      <c r="BY45" s="244"/>
      <c r="BZ45" s="244"/>
      <c r="CA45" s="244"/>
      <c r="CB45" s="244"/>
      <c r="CC45" s="244"/>
      <c r="CD45" s="244"/>
      <c r="CE45" s="244"/>
      <c r="CF45" s="244"/>
      <c r="CG45" s="244"/>
      <c r="CH45" s="244"/>
      <c r="CI45" s="244"/>
      <c r="CJ45" s="244"/>
      <c r="CK45" s="244"/>
      <c r="CL45" s="244"/>
      <c r="CM45" s="244"/>
      <c r="CN45" s="244"/>
      <c r="CO45" s="244"/>
      <c r="CP45" s="244"/>
      <c r="CQ45" s="244"/>
      <c r="CR45" s="244"/>
      <c r="CS45" s="244"/>
      <c r="CT45" s="241" t="str">
        <f t="shared" si="3"/>
        <v/>
      </c>
      <c r="CU45" s="246" t="str">
        <f t="shared" si="4"/>
        <v/>
      </c>
      <c r="CV45" s="241" t="str">
        <f t="shared" si="5"/>
        <v/>
      </c>
      <c r="CW45" s="246" t="str">
        <f t="shared" si="6"/>
        <v/>
      </c>
      <c r="CX45" s="241" t="str">
        <f t="shared" si="7"/>
        <v/>
      </c>
      <c r="CY45" s="241" t="str">
        <f t="shared" si="8"/>
        <v/>
      </c>
      <c r="CZ45" s="241" t="str">
        <f t="shared" si="9"/>
        <v/>
      </c>
      <c r="DA45" s="246" t="str">
        <f t="shared" si="10"/>
        <v/>
      </c>
      <c r="DB45" s="246" t="str">
        <f t="shared" si="11"/>
        <v/>
      </c>
      <c r="DC45" s="246" t="str">
        <f t="shared" si="12"/>
        <v/>
      </c>
      <c r="DD45" s="241" t="str">
        <f t="shared" si="13"/>
        <v>1</v>
      </c>
      <c r="DE45" s="241" t="str">
        <f t="shared" si="14"/>
        <v/>
      </c>
      <c r="DF45" s="241" t="str">
        <f t="shared" si="15"/>
        <v/>
      </c>
      <c r="DG45" s="244" t="str">
        <f t="shared" si="16"/>
        <v/>
      </c>
      <c r="DH45" s="244" t="str">
        <f t="shared" si="17"/>
        <v/>
      </c>
      <c r="DI45" s="244" t="str">
        <f>IF(COUNTIF(PlayerAltNames,B45)&gt;0, B45, I45)</f>
        <v/>
      </c>
      <c r="DJ45" s="247" t="str">
        <f t="shared" ref="DJ45:DO45" si="109">IF(COUNTIF($I45,$DI45)&gt;0, J45, C45)</f>
        <v/>
      </c>
      <c r="DK45" s="247" t="str">
        <f t="shared" si="109"/>
        <v/>
      </c>
      <c r="DL45" s="247" t="str">
        <f t="shared" si="109"/>
        <v/>
      </c>
      <c r="DM45" s="247" t="str">
        <f t="shared" si="109"/>
        <v/>
      </c>
      <c r="DN45" s="247" t="str">
        <f t="shared" si="109"/>
        <v/>
      </c>
      <c r="DO45" s="247" t="str">
        <f t="shared" si="109"/>
        <v/>
      </c>
      <c r="DP45" s="244" t="str">
        <f t="shared" si="19"/>
        <v/>
      </c>
      <c r="DQ45" s="244" t="str">
        <f t="shared" ref="DQ45:DV45" si="110">IF(COUNTIF($I45,$DP45), J45, C45)</f>
        <v/>
      </c>
      <c r="DR45" s="244" t="str">
        <f t="shared" si="110"/>
        <v/>
      </c>
      <c r="DS45" s="244" t="str">
        <f t="shared" si="110"/>
        <v/>
      </c>
      <c r="DT45" s="244" t="str">
        <f t="shared" si="110"/>
        <v/>
      </c>
      <c r="DU45" s="244" t="str">
        <f t="shared" si="110"/>
        <v/>
      </c>
      <c r="DV45" s="244" t="str">
        <f t="shared" si="110"/>
        <v/>
      </c>
      <c r="DW45" s="241" t="str">
        <f>IF(HomePage!C56 &lt;&gt; "", IFS(AND(P45 = 1, COUNTIF(PlayerAltNames, B45)&gt;0), "Win", AND(P45 = 1, COUNTIF(PlayerAltNames, I45)&gt;0), "Loss", AND(P45 = 2, COUNTIF(PlayerAltNames, I45)&gt;0), "Win", AND(P45 = 2, COUNTIF(PlayerAltNames, B45)&gt;0), "Loss"), "")</f>
        <v/>
      </c>
      <c r="DX45" s="244"/>
      <c r="DY45" s="244" t="str">
        <f t="shared" si="21"/>
        <v>#N/A</v>
      </c>
      <c r="DZ45" s="244" t="str">
        <f t="shared" si="22"/>
        <v>#N/A</v>
      </c>
      <c r="EA45" s="244" t="str">
        <f t="shared" si="23"/>
        <v>#N/A</v>
      </c>
      <c r="EB45" s="244" t="str">
        <f t="shared" si="24"/>
        <v>#N/A</v>
      </c>
      <c r="EC45" s="244" t="str">
        <f t="shared" si="25"/>
        <v>#N/A</v>
      </c>
      <c r="ED45" s="244" t="str">
        <f t="shared" si="26"/>
        <v>#N/A</v>
      </c>
      <c r="EE45" s="244" t="str">
        <f t="shared" si="27"/>
        <v> -&gt; </v>
      </c>
      <c r="EF45" s="244" t="str">
        <f t="shared" si="28"/>
        <v/>
      </c>
      <c r="EG45" s="244"/>
      <c r="EH45" s="244"/>
      <c r="EI45" s="245"/>
    </row>
    <row r="46">
      <c r="A46" s="105"/>
      <c r="B46" s="239" t="str">
        <f>IF(HomePage!C57&lt;&gt;"", REPLAYTODATA(HomePage!C57), "")</f>
        <v/>
      </c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  <c r="AU46" s="244"/>
      <c r="AV46" s="244"/>
      <c r="AW46" s="244"/>
      <c r="AX46" s="244"/>
      <c r="AY46" s="244"/>
      <c r="AZ46" s="244"/>
      <c r="BA46" s="244"/>
      <c r="BB46" s="244"/>
      <c r="BC46" s="244"/>
      <c r="BD46" s="244"/>
      <c r="BE46" s="244"/>
      <c r="BF46" s="244"/>
      <c r="BG46" s="244"/>
      <c r="BH46" s="244"/>
      <c r="BI46" s="244"/>
      <c r="BJ46" s="244"/>
      <c r="BK46" s="244"/>
      <c r="BL46" s="244"/>
      <c r="BM46" s="244"/>
      <c r="BN46" s="244"/>
      <c r="BO46" s="244"/>
      <c r="BP46" s="244"/>
      <c r="BQ46" s="244"/>
      <c r="BR46" s="244"/>
      <c r="BS46" s="244"/>
      <c r="BT46" s="244"/>
      <c r="BU46" s="244"/>
      <c r="BV46" s="244"/>
      <c r="BW46" s="244"/>
      <c r="BX46" s="244"/>
      <c r="BY46" s="244"/>
      <c r="BZ46" s="244"/>
      <c r="CA46" s="244"/>
      <c r="CB46" s="244"/>
      <c r="CC46" s="244"/>
      <c r="CD46" s="244"/>
      <c r="CE46" s="244"/>
      <c r="CF46" s="244"/>
      <c r="CG46" s="244"/>
      <c r="CH46" s="244"/>
      <c r="CI46" s="244"/>
      <c r="CJ46" s="244"/>
      <c r="CK46" s="244"/>
      <c r="CL46" s="244"/>
      <c r="CM46" s="244"/>
      <c r="CN46" s="244"/>
      <c r="CO46" s="244"/>
      <c r="CP46" s="244"/>
      <c r="CQ46" s="244"/>
      <c r="CR46" s="244"/>
      <c r="CS46" s="244"/>
      <c r="CT46" s="241" t="str">
        <f t="shared" si="3"/>
        <v/>
      </c>
      <c r="CU46" s="246" t="str">
        <f t="shared" si="4"/>
        <v/>
      </c>
      <c r="CV46" s="241" t="str">
        <f t="shared" si="5"/>
        <v/>
      </c>
      <c r="CW46" s="246" t="str">
        <f t="shared" si="6"/>
        <v/>
      </c>
      <c r="CX46" s="241" t="str">
        <f t="shared" si="7"/>
        <v/>
      </c>
      <c r="CY46" s="241" t="str">
        <f t="shared" si="8"/>
        <v/>
      </c>
      <c r="CZ46" s="241" t="str">
        <f t="shared" si="9"/>
        <v/>
      </c>
      <c r="DA46" s="246" t="str">
        <f t="shared" si="10"/>
        <v/>
      </c>
      <c r="DB46" s="246" t="str">
        <f t="shared" si="11"/>
        <v/>
      </c>
      <c r="DC46" s="246" t="str">
        <f t="shared" si="12"/>
        <v/>
      </c>
      <c r="DD46" s="241" t="str">
        <f t="shared" si="13"/>
        <v>1</v>
      </c>
      <c r="DE46" s="241" t="str">
        <f t="shared" si="14"/>
        <v/>
      </c>
      <c r="DF46" s="241" t="str">
        <f t="shared" si="15"/>
        <v/>
      </c>
      <c r="DG46" s="244" t="str">
        <f t="shared" si="16"/>
        <v/>
      </c>
      <c r="DH46" s="244" t="str">
        <f t="shared" si="17"/>
        <v/>
      </c>
      <c r="DI46" s="244" t="str">
        <f>IF(COUNTIF(PlayerAltNames,B46)&gt;0, B46, I46)</f>
        <v/>
      </c>
      <c r="DJ46" s="247" t="str">
        <f t="shared" ref="DJ46:DO46" si="111">IF(COUNTIF($I46,$DI46)&gt;0, J46, C46)</f>
        <v/>
      </c>
      <c r="DK46" s="247" t="str">
        <f t="shared" si="111"/>
        <v/>
      </c>
      <c r="DL46" s="247" t="str">
        <f t="shared" si="111"/>
        <v/>
      </c>
      <c r="DM46" s="247" t="str">
        <f t="shared" si="111"/>
        <v/>
      </c>
      <c r="DN46" s="247" t="str">
        <f t="shared" si="111"/>
        <v/>
      </c>
      <c r="DO46" s="247" t="str">
        <f t="shared" si="111"/>
        <v/>
      </c>
      <c r="DP46" s="244" t="str">
        <f t="shared" si="19"/>
        <v/>
      </c>
      <c r="DQ46" s="244" t="str">
        <f t="shared" ref="DQ46:DV46" si="112">IF(COUNTIF($I46,$DP46), J46, C46)</f>
        <v/>
      </c>
      <c r="DR46" s="244" t="str">
        <f t="shared" si="112"/>
        <v/>
      </c>
      <c r="DS46" s="244" t="str">
        <f t="shared" si="112"/>
        <v/>
      </c>
      <c r="DT46" s="244" t="str">
        <f t="shared" si="112"/>
        <v/>
      </c>
      <c r="DU46" s="244" t="str">
        <f t="shared" si="112"/>
        <v/>
      </c>
      <c r="DV46" s="244" t="str">
        <f t="shared" si="112"/>
        <v/>
      </c>
      <c r="DW46" s="241" t="str">
        <f>IF(HomePage!C57 &lt;&gt; "", IFS(AND(P46 = 1, COUNTIF(PlayerAltNames, B46)&gt;0), "Win", AND(P46 = 1, COUNTIF(PlayerAltNames, I46)&gt;0), "Loss", AND(P46 = 2, COUNTIF(PlayerAltNames, I46)&gt;0), "Win", AND(P46 = 2, COUNTIF(PlayerAltNames, B46)&gt;0), "Loss"), "")</f>
        <v/>
      </c>
      <c r="DX46" s="244"/>
      <c r="DY46" s="244" t="str">
        <f t="shared" si="21"/>
        <v>#N/A</v>
      </c>
      <c r="DZ46" s="244" t="str">
        <f t="shared" si="22"/>
        <v>#N/A</v>
      </c>
      <c r="EA46" s="244" t="str">
        <f t="shared" si="23"/>
        <v>#N/A</v>
      </c>
      <c r="EB46" s="244" t="str">
        <f t="shared" si="24"/>
        <v>#N/A</v>
      </c>
      <c r="EC46" s="244" t="str">
        <f t="shared" si="25"/>
        <v>#N/A</v>
      </c>
      <c r="ED46" s="244" t="str">
        <f t="shared" si="26"/>
        <v>#N/A</v>
      </c>
      <c r="EE46" s="244" t="str">
        <f t="shared" si="27"/>
        <v> -&gt; </v>
      </c>
      <c r="EF46" s="244" t="str">
        <f t="shared" si="28"/>
        <v/>
      </c>
      <c r="EG46" s="244"/>
      <c r="EH46" s="244"/>
      <c r="EI46" s="245"/>
    </row>
    <row r="47">
      <c r="A47" s="105"/>
      <c r="B47" s="239" t="str">
        <f>IF(HomePage!C58&lt;&gt;"", REPLAYTODATA(HomePage!C58), "")</f>
        <v/>
      </c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4"/>
      <c r="AQ47" s="244"/>
      <c r="AR47" s="244"/>
      <c r="AS47" s="244"/>
      <c r="AT47" s="244"/>
      <c r="AU47" s="244"/>
      <c r="AV47" s="244"/>
      <c r="AW47" s="244"/>
      <c r="AX47" s="244"/>
      <c r="AY47" s="244"/>
      <c r="AZ47" s="244"/>
      <c r="BA47" s="244"/>
      <c r="BB47" s="244"/>
      <c r="BC47" s="244"/>
      <c r="BD47" s="244"/>
      <c r="BE47" s="244"/>
      <c r="BF47" s="244"/>
      <c r="BG47" s="244"/>
      <c r="BH47" s="244"/>
      <c r="BI47" s="244"/>
      <c r="BJ47" s="244"/>
      <c r="BK47" s="244"/>
      <c r="BL47" s="244"/>
      <c r="BM47" s="244"/>
      <c r="BN47" s="244"/>
      <c r="BO47" s="244"/>
      <c r="BP47" s="244"/>
      <c r="BQ47" s="244"/>
      <c r="BR47" s="244"/>
      <c r="BS47" s="244"/>
      <c r="BT47" s="244"/>
      <c r="BU47" s="244"/>
      <c r="BV47" s="244"/>
      <c r="BW47" s="244"/>
      <c r="BX47" s="244"/>
      <c r="BY47" s="244"/>
      <c r="BZ47" s="244"/>
      <c r="CA47" s="244"/>
      <c r="CB47" s="244"/>
      <c r="CC47" s="244"/>
      <c r="CD47" s="244"/>
      <c r="CE47" s="244"/>
      <c r="CF47" s="244"/>
      <c r="CG47" s="244"/>
      <c r="CH47" s="244"/>
      <c r="CI47" s="244"/>
      <c r="CJ47" s="244"/>
      <c r="CK47" s="244"/>
      <c r="CL47" s="244"/>
      <c r="CM47" s="244"/>
      <c r="CN47" s="244"/>
      <c r="CO47" s="244"/>
      <c r="CP47" s="244"/>
      <c r="CQ47" s="244"/>
      <c r="CR47" s="244"/>
      <c r="CS47" s="244"/>
      <c r="CT47" s="241" t="str">
        <f t="shared" si="3"/>
        <v/>
      </c>
      <c r="CU47" s="246" t="str">
        <f t="shared" si="4"/>
        <v/>
      </c>
      <c r="CV47" s="241" t="str">
        <f t="shared" si="5"/>
        <v/>
      </c>
      <c r="CW47" s="246" t="str">
        <f t="shared" si="6"/>
        <v/>
      </c>
      <c r="CX47" s="241" t="str">
        <f t="shared" si="7"/>
        <v/>
      </c>
      <c r="CY47" s="241" t="str">
        <f t="shared" si="8"/>
        <v/>
      </c>
      <c r="CZ47" s="241" t="str">
        <f t="shared" si="9"/>
        <v/>
      </c>
      <c r="DA47" s="246" t="str">
        <f t="shared" si="10"/>
        <v/>
      </c>
      <c r="DB47" s="246" t="str">
        <f t="shared" si="11"/>
        <v/>
      </c>
      <c r="DC47" s="246" t="str">
        <f t="shared" si="12"/>
        <v/>
      </c>
      <c r="DD47" s="241" t="str">
        <f t="shared" si="13"/>
        <v>1</v>
      </c>
      <c r="DE47" s="241" t="str">
        <f t="shared" si="14"/>
        <v/>
      </c>
      <c r="DF47" s="241" t="str">
        <f t="shared" si="15"/>
        <v/>
      </c>
      <c r="DG47" s="244" t="str">
        <f t="shared" si="16"/>
        <v/>
      </c>
      <c r="DH47" s="244" t="str">
        <f t="shared" si="17"/>
        <v/>
      </c>
      <c r="DI47" s="244" t="str">
        <f>IF(COUNTIF(PlayerAltNames,B47)&gt;0, B47, I47)</f>
        <v/>
      </c>
      <c r="DJ47" s="247" t="str">
        <f t="shared" ref="DJ47:DO47" si="113">IF(COUNTIF($I47,$DI47)&gt;0, J47, C47)</f>
        <v/>
      </c>
      <c r="DK47" s="247" t="str">
        <f t="shared" si="113"/>
        <v/>
      </c>
      <c r="DL47" s="247" t="str">
        <f t="shared" si="113"/>
        <v/>
      </c>
      <c r="DM47" s="247" t="str">
        <f t="shared" si="113"/>
        <v/>
      </c>
      <c r="DN47" s="247" t="str">
        <f t="shared" si="113"/>
        <v/>
      </c>
      <c r="DO47" s="247" t="str">
        <f t="shared" si="113"/>
        <v/>
      </c>
      <c r="DP47" s="244" t="str">
        <f t="shared" si="19"/>
        <v/>
      </c>
      <c r="DQ47" s="244" t="str">
        <f t="shared" ref="DQ47:DV47" si="114">IF(COUNTIF($I47,$DP47), J47, C47)</f>
        <v/>
      </c>
      <c r="DR47" s="244" t="str">
        <f t="shared" si="114"/>
        <v/>
      </c>
      <c r="DS47" s="244" t="str">
        <f t="shared" si="114"/>
        <v/>
      </c>
      <c r="DT47" s="244" t="str">
        <f t="shared" si="114"/>
        <v/>
      </c>
      <c r="DU47" s="244" t="str">
        <f t="shared" si="114"/>
        <v/>
      </c>
      <c r="DV47" s="244" t="str">
        <f t="shared" si="114"/>
        <v/>
      </c>
      <c r="DW47" s="241" t="str">
        <f>IF(HomePage!C58 &lt;&gt; "", IFS(AND(P47 = 1, COUNTIF(PlayerAltNames, B47)&gt;0), "Win", AND(P47 = 1, COUNTIF(PlayerAltNames, I47)&gt;0), "Loss", AND(P47 = 2, COUNTIF(PlayerAltNames, I47)&gt;0), "Win", AND(P47 = 2, COUNTIF(PlayerAltNames, B47)&gt;0), "Loss"), "")</f>
        <v/>
      </c>
      <c r="DX47" s="244"/>
      <c r="DY47" s="244" t="str">
        <f t="shared" si="21"/>
        <v>#N/A</v>
      </c>
      <c r="DZ47" s="244" t="str">
        <f t="shared" si="22"/>
        <v>#N/A</v>
      </c>
      <c r="EA47" s="244" t="str">
        <f t="shared" si="23"/>
        <v>#N/A</v>
      </c>
      <c r="EB47" s="244" t="str">
        <f t="shared" si="24"/>
        <v>#N/A</v>
      </c>
      <c r="EC47" s="244" t="str">
        <f t="shared" si="25"/>
        <v>#N/A</v>
      </c>
      <c r="ED47" s="244" t="str">
        <f t="shared" si="26"/>
        <v>#N/A</v>
      </c>
      <c r="EE47" s="244" t="str">
        <f t="shared" si="27"/>
        <v> -&gt; </v>
      </c>
      <c r="EF47" s="244" t="str">
        <f t="shared" si="28"/>
        <v/>
      </c>
      <c r="EG47" s="244"/>
      <c r="EH47" s="244"/>
      <c r="EI47" s="245"/>
    </row>
    <row r="48">
      <c r="A48" s="105"/>
      <c r="B48" s="239" t="str">
        <f>IF(HomePage!C59&lt;&gt;"", REPLAYTODATA(HomePage!C59), "")</f>
        <v/>
      </c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4"/>
      <c r="BC48" s="244"/>
      <c r="BD48" s="244"/>
      <c r="BE48" s="244"/>
      <c r="BF48" s="244"/>
      <c r="BG48" s="244"/>
      <c r="BH48" s="244"/>
      <c r="BI48" s="244"/>
      <c r="BJ48" s="244"/>
      <c r="BK48" s="244"/>
      <c r="BL48" s="244"/>
      <c r="BM48" s="244"/>
      <c r="BN48" s="244"/>
      <c r="BO48" s="244"/>
      <c r="BP48" s="244"/>
      <c r="BQ48" s="244"/>
      <c r="BR48" s="244"/>
      <c r="BS48" s="244"/>
      <c r="BT48" s="244"/>
      <c r="BU48" s="244"/>
      <c r="BV48" s="244"/>
      <c r="BW48" s="244"/>
      <c r="BX48" s="244"/>
      <c r="BY48" s="244"/>
      <c r="BZ48" s="244"/>
      <c r="CA48" s="244"/>
      <c r="CB48" s="244"/>
      <c r="CC48" s="244"/>
      <c r="CD48" s="244"/>
      <c r="CE48" s="244"/>
      <c r="CF48" s="244"/>
      <c r="CG48" s="244"/>
      <c r="CH48" s="244"/>
      <c r="CI48" s="244"/>
      <c r="CJ48" s="244"/>
      <c r="CK48" s="244"/>
      <c r="CL48" s="244"/>
      <c r="CM48" s="244"/>
      <c r="CN48" s="244"/>
      <c r="CO48" s="244"/>
      <c r="CP48" s="244"/>
      <c r="CQ48" s="244"/>
      <c r="CR48" s="244"/>
      <c r="CS48" s="244"/>
      <c r="CT48" s="241" t="str">
        <f t="shared" si="3"/>
        <v/>
      </c>
      <c r="CU48" s="246" t="str">
        <f t="shared" si="4"/>
        <v/>
      </c>
      <c r="CV48" s="241" t="str">
        <f t="shared" si="5"/>
        <v/>
      </c>
      <c r="CW48" s="246" t="str">
        <f t="shared" si="6"/>
        <v/>
      </c>
      <c r="CX48" s="241" t="str">
        <f t="shared" si="7"/>
        <v/>
      </c>
      <c r="CY48" s="241" t="str">
        <f t="shared" si="8"/>
        <v/>
      </c>
      <c r="CZ48" s="241" t="str">
        <f t="shared" si="9"/>
        <v/>
      </c>
      <c r="DA48" s="246" t="str">
        <f t="shared" si="10"/>
        <v/>
      </c>
      <c r="DB48" s="246" t="str">
        <f t="shared" si="11"/>
        <v/>
      </c>
      <c r="DC48" s="246" t="str">
        <f t="shared" si="12"/>
        <v/>
      </c>
      <c r="DD48" s="241" t="str">
        <f t="shared" si="13"/>
        <v>1</v>
      </c>
      <c r="DE48" s="241" t="str">
        <f t="shared" si="14"/>
        <v/>
      </c>
      <c r="DF48" s="241" t="str">
        <f t="shared" si="15"/>
        <v/>
      </c>
      <c r="DG48" s="244" t="str">
        <f t="shared" si="16"/>
        <v/>
      </c>
      <c r="DH48" s="244" t="str">
        <f t="shared" si="17"/>
        <v/>
      </c>
      <c r="DI48" s="244" t="str">
        <f>IF(COUNTIF(PlayerAltNames,B48)&gt;0, B48, I48)</f>
        <v/>
      </c>
      <c r="DJ48" s="247" t="str">
        <f t="shared" ref="DJ48:DO48" si="115">IF(COUNTIF($I48,$DI48)&gt;0, J48, C48)</f>
        <v/>
      </c>
      <c r="DK48" s="247" t="str">
        <f t="shared" si="115"/>
        <v/>
      </c>
      <c r="DL48" s="247" t="str">
        <f t="shared" si="115"/>
        <v/>
      </c>
      <c r="DM48" s="247" t="str">
        <f t="shared" si="115"/>
        <v/>
      </c>
      <c r="DN48" s="247" t="str">
        <f t="shared" si="115"/>
        <v/>
      </c>
      <c r="DO48" s="247" t="str">
        <f t="shared" si="115"/>
        <v/>
      </c>
      <c r="DP48" s="244" t="str">
        <f t="shared" si="19"/>
        <v/>
      </c>
      <c r="DQ48" s="244" t="str">
        <f t="shared" ref="DQ48:DV48" si="116">IF(COUNTIF($I48,$DP48), J48, C48)</f>
        <v/>
      </c>
      <c r="DR48" s="244" t="str">
        <f t="shared" si="116"/>
        <v/>
      </c>
      <c r="DS48" s="244" t="str">
        <f t="shared" si="116"/>
        <v/>
      </c>
      <c r="DT48" s="244" t="str">
        <f t="shared" si="116"/>
        <v/>
      </c>
      <c r="DU48" s="244" t="str">
        <f t="shared" si="116"/>
        <v/>
      </c>
      <c r="DV48" s="244" t="str">
        <f t="shared" si="116"/>
        <v/>
      </c>
      <c r="DW48" s="241" t="str">
        <f>IF(HomePage!C59 &lt;&gt; "", IFS(AND(P48 = 1, COUNTIF(PlayerAltNames, B48)&gt;0), "Win", AND(P48 = 1, COUNTIF(PlayerAltNames, I48)&gt;0), "Loss", AND(P48 = 2, COUNTIF(PlayerAltNames, I48)&gt;0), "Win", AND(P48 = 2, COUNTIF(PlayerAltNames, B48)&gt;0), "Loss"), "")</f>
        <v/>
      </c>
      <c r="DX48" s="244"/>
      <c r="DY48" s="244" t="str">
        <f t="shared" si="21"/>
        <v>#N/A</v>
      </c>
      <c r="DZ48" s="244" t="str">
        <f t="shared" si="22"/>
        <v>#N/A</v>
      </c>
      <c r="EA48" s="244" t="str">
        <f t="shared" si="23"/>
        <v>#N/A</v>
      </c>
      <c r="EB48" s="244" t="str">
        <f t="shared" si="24"/>
        <v>#N/A</v>
      </c>
      <c r="EC48" s="244" t="str">
        <f t="shared" si="25"/>
        <v>#N/A</v>
      </c>
      <c r="ED48" s="244" t="str">
        <f t="shared" si="26"/>
        <v>#N/A</v>
      </c>
      <c r="EE48" s="244" t="str">
        <f t="shared" si="27"/>
        <v> -&gt; </v>
      </c>
      <c r="EF48" s="244" t="str">
        <f t="shared" si="28"/>
        <v/>
      </c>
      <c r="EG48" s="244"/>
      <c r="EH48" s="244"/>
      <c r="EI48" s="245"/>
    </row>
    <row r="49">
      <c r="A49" s="105"/>
      <c r="B49" s="239" t="str">
        <f>IF(HomePage!C60&lt;&gt;"", REPLAYTODATA(HomePage!C60), "")</f>
        <v/>
      </c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  <c r="AT49" s="244"/>
      <c r="AU49" s="244"/>
      <c r="AV49" s="244"/>
      <c r="AW49" s="244"/>
      <c r="AX49" s="244"/>
      <c r="AY49" s="244"/>
      <c r="AZ49" s="244"/>
      <c r="BA49" s="244"/>
      <c r="BB49" s="244"/>
      <c r="BC49" s="244"/>
      <c r="BD49" s="244"/>
      <c r="BE49" s="244"/>
      <c r="BF49" s="244"/>
      <c r="BG49" s="244"/>
      <c r="BH49" s="244"/>
      <c r="BI49" s="244"/>
      <c r="BJ49" s="244"/>
      <c r="BK49" s="244"/>
      <c r="BL49" s="244"/>
      <c r="BM49" s="244"/>
      <c r="BN49" s="244"/>
      <c r="BO49" s="244"/>
      <c r="BP49" s="244"/>
      <c r="BQ49" s="244"/>
      <c r="BR49" s="244"/>
      <c r="BS49" s="244"/>
      <c r="BT49" s="244"/>
      <c r="BU49" s="244"/>
      <c r="BV49" s="244"/>
      <c r="BW49" s="244"/>
      <c r="BX49" s="244"/>
      <c r="BY49" s="244"/>
      <c r="BZ49" s="244"/>
      <c r="CA49" s="244"/>
      <c r="CB49" s="244"/>
      <c r="CC49" s="244"/>
      <c r="CD49" s="244"/>
      <c r="CE49" s="244"/>
      <c r="CF49" s="244"/>
      <c r="CG49" s="244"/>
      <c r="CH49" s="244"/>
      <c r="CI49" s="244"/>
      <c r="CJ49" s="244"/>
      <c r="CK49" s="244"/>
      <c r="CL49" s="244"/>
      <c r="CM49" s="244"/>
      <c r="CN49" s="244"/>
      <c r="CO49" s="244"/>
      <c r="CP49" s="244"/>
      <c r="CQ49" s="244"/>
      <c r="CR49" s="244"/>
      <c r="CS49" s="244"/>
      <c r="CT49" s="241" t="str">
        <f t="shared" si="3"/>
        <v/>
      </c>
      <c r="CU49" s="246" t="str">
        <f t="shared" si="4"/>
        <v/>
      </c>
      <c r="CV49" s="241" t="str">
        <f t="shared" si="5"/>
        <v/>
      </c>
      <c r="CW49" s="246" t="str">
        <f t="shared" si="6"/>
        <v/>
      </c>
      <c r="CX49" s="241" t="str">
        <f t="shared" si="7"/>
        <v/>
      </c>
      <c r="CY49" s="241" t="str">
        <f t="shared" si="8"/>
        <v/>
      </c>
      <c r="CZ49" s="241" t="str">
        <f t="shared" si="9"/>
        <v/>
      </c>
      <c r="DA49" s="246" t="str">
        <f t="shared" si="10"/>
        <v/>
      </c>
      <c r="DB49" s="246" t="str">
        <f t="shared" si="11"/>
        <v/>
      </c>
      <c r="DC49" s="246" t="str">
        <f t="shared" si="12"/>
        <v/>
      </c>
      <c r="DD49" s="241" t="str">
        <f t="shared" si="13"/>
        <v>1</v>
      </c>
      <c r="DE49" s="241" t="str">
        <f t="shared" si="14"/>
        <v/>
      </c>
      <c r="DF49" s="241" t="str">
        <f t="shared" si="15"/>
        <v/>
      </c>
      <c r="DG49" s="244" t="str">
        <f t="shared" si="16"/>
        <v/>
      </c>
      <c r="DH49" s="244" t="str">
        <f t="shared" si="17"/>
        <v/>
      </c>
      <c r="DI49" s="244" t="str">
        <f>IF(COUNTIF(PlayerAltNames,B49)&gt;0, B49, I49)</f>
        <v/>
      </c>
      <c r="DJ49" s="247" t="str">
        <f t="shared" ref="DJ49:DO49" si="117">IF(COUNTIF($I49,$DI49)&gt;0, J49, C49)</f>
        <v/>
      </c>
      <c r="DK49" s="247" t="str">
        <f t="shared" si="117"/>
        <v/>
      </c>
      <c r="DL49" s="247" t="str">
        <f t="shared" si="117"/>
        <v/>
      </c>
      <c r="DM49" s="247" t="str">
        <f t="shared" si="117"/>
        <v/>
      </c>
      <c r="DN49" s="247" t="str">
        <f t="shared" si="117"/>
        <v/>
      </c>
      <c r="DO49" s="247" t="str">
        <f t="shared" si="117"/>
        <v/>
      </c>
      <c r="DP49" s="244" t="str">
        <f t="shared" si="19"/>
        <v/>
      </c>
      <c r="DQ49" s="244" t="str">
        <f t="shared" ref="DQ49:DV49" si="118">IF(COUNTIF($I49,$DP49), J49, C49)</f>
        <v/>
      </c>
      <c r="DR49" s="244" t="str">
        <f t="shared" si="118"/>
        <v/>
      </c>
      <c r="DS49" s="244" t="str">
        <f t="shared" si="118"/>
        <v/>
      </c>
      <c r="DT49" s="244" t="str">
        <f t="shared" si="118"/>
        <v/>
      </c>
      <c r="DU49" s="244" t="str">
        <f t="shared" si="118"/>
        <v/>
      </c>
      <c r="DV49" s="244" t="str">
        <f t="shared" si="118"/>
        <v/>
      </c>
      <c r="DW49" s="241" t="str">
        <f>IF(HomePage!C60 &lt;&gt; "", IFS(AND(P49 = 1, COUNTIF(PlayerAltNames, B49)&gt;0), "Win", AND(P49 = 1, COUNTIF(PlayerAltNames, I49)&gt;0), "Loss", AND(P49 = 2, COUNTIF(PlayerAltNames, I49)&gt;0), "Win", AND(P49 = 2, COUNTIF(PlayerAltNames, B49)&gt;0), "Loss"), "")</f>
        <v/>
      </c>
      <c r="DX49" s="244"/>
      <c r="DY49" s="244" t="str">
        <f t="shared" si="21"/>
        <v>#N/A</v>
      </c>
      <c r="DZ49" s="244" t="str">
        <f t="shared" si="22"/>
        <v>#N/A</v>
      </c>
      <c r="EA49" s="244" t="str">
        <f t="shared" si="23"/>
        <v>#N/A</v>
      </c>
      <c r="EB49" s="244" t="str">
        <f t="shared" si="24"/>
        <v>#N/A</v>
      </c>
      <c r="EC49" s="244" t="str">
        <f t="shared" si="25"/>
        <v>#N/A</v>
      </c>
      <c r="ED49" s="244" t="str">
        <f t="shared" si="26"/>
        <v>#N/A</v>
      </c>
      <c r="EE49" s="244" t="str">
        <f t="shared" si="27"/>
        <v> -&gt; </v>
      </c>
      <c r="EF49" s="244" t="str">
        <f t="shared" si="28"/>
        <v/>
      </c>
      <c r="EG49" s="244"/>
      <c r="EH49" s="244"/>
      <c r="EI49" s="245"/>
    </row>
    <row r="50">
      <c r="A50" s="105"/>
      <c r="B50" s="239" t="str">
        <f>IF(HomePage!C61&lt;&gt;"", REPLAYTODATA(HomePage!C61), "")</f>
        <v/>
      </c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  <c r="AT50" s="244"/>
      <c r="AU50" s="244"/>
      <c r="AV50" s="244"/>
      <c r="AW50" s="244"/>
      <c r="AX50" s="244"/>
      <c r="AY50" s="244"/>
      <c r="AZ50" s="244"/>
      <c r="BA50" s="244"/>
      <c r="BB50" s="244"/>
      <c r="BC50" s="244"/>
      <c r="BD50" s="244"/>
      <c r="BE50" s="244"/>
      <c r="BF50" s="244"/>
      <c r="BG50" s="244"/>
      <c r="BH50" s="244"/>
      <c r="BI50" s="244"/>
      <c r="BJ50" s="244"/>
      <c r="BK50" s="244"/>
      <c r="BL50" s="244"/>
      <c r="BM50" s="244"/>
      <c r="BN50" s="244"/>
      <c r="BO50" s="244"/>
      <c r="BP50" s="244"/>
      <c r="BQ50" s="244"/>
      <c r="BR50" s="244"/>
      <c r="BS50" s="244"/>
      <c r="BT50" s="244"/>
      <c r="BU50" s="244"/>
      <c r="BV50" s="244"/>
      <c r="BW50" s="244"/>
      <c r="BX50" s="244"/>
      <c r="BY50" s="244"/>
      <c r="BZ50" s="244"/>
      <c r="CA50" s="244"/>
      <c r="CB50" s="244"/>
      <c r="CC50" s="244"/>
      <c r="CD50" s="244"/>
      <c r="CE50" s="244"/>
      <c r="CF50" s="244"/>
      <c r="CG50" s="244"/>
      <c r="CH50" s="244"/>
      <c r="CI50" s="244"/>
      <c r="CJ50" s="244"/>
      <c r="CK50" s="244"/>
      <c r="CL50" s="244"/>
      <c r="CM50" s="244"/>
      <c r="CN50" s="244"/>
      <c r="CO50" s="244"/>
      <c r="CP50" s="244"/>
      <c r="CQ50" s="244"/>
      <c r="CR50" s="244"/>
      <c r="CS50" s="244"/>
      <c r="CT50" s="241" t="str">
        <f t="shared" si="3"/>
        <v/>
      </c>
      <c r="CU50" s="246" t="str">
        <f t="shared" si="4"/>
        <v/>
      </c>
      <c r="CV50" s="241" t="str">
        <f t="shared" si="5"/>
        <v/>
      </c>
      <c r="CW50" s="246" t="str">
        <f t="shared" si="6"/>
        <v/>
      </c>
      <c r="CX50" s="241" t="str">
        <f t="shared" si="7"/>
        <v/>
      </c>
      <c r="CY50" s="241" t="str">
        <f t="shared" si="8"/>
        <v/>
      </c>
      <c r="CZ50" s="241" t="str">
        <f t="shared" si="9"/>
        <v/>
      </c>
      <c r="DA50" s="246" t="str">
        <f t="shared" si="10"/>
        <v/>
      </c>
      <c r="DB50" s="246" t="str">
        <f t="shared" si="11"/>
        <v/>
      </c>
      <c r="DC50" s="246" t="str">
        <f t="shared" si="12"/>
        <v/>
      </c>
      <c r="DD50" s="241" t="str">
        <f t="shared" si="13"/>
        <v>1</v>
      </c>
      <c r="DE50" s="241" t="str">
        <f t="shared" si="14"/>
        <v/>
      </c>
      <c r="DF50" s="241" t="str">
        <f t="shared" si="15"/>
        <v/>
      </c>
      <c r="DG50" s="244" t="str">
        <f t="shared" si="16"/>
        <v/>
      </c>
      <c r="DH50" s="244" t="str">
        <f t="shared" si="17"/>
        <v/>
      </c>
      <c r="DI50" s="244" t="str">
        <f>IF(COUNTIF(PlayerAltNames,B50)&gt;0, B50, I50)</f>
        <v/>
      </c>
      <c r="DJ50" s="247" t="str">
        <f t="shared" ref="DJ50:DO50" si="119">IF(COUNTIF($I50,$DI50)&gt;0, J50, C50)</f>
        <v/>
      </c>
      <c r="DK50" s="247" t="str">
        <f t="shared" si="119"/>
        <v/>
      </c>
      <c r="DL50" s="247" t="str">
        <f t="shared" si="119"/>
        <v/>
      </c>
      <c r="DM50" s="247" t="str">
        <f t="shared" si="119"/>
        <v/>
      </c>
      <c r="DN50" s="247" t="str">
        <f t="shared" si="119"/>
        <v/>
      </c>
      <c r="DO50" s="247" t="str">
        <f t="shared" si="119"/>
        <v/>
      </c>
      <c r="DP50" s="244" t="str">
        <f t="shared" si="19"/>
        <v/>
      </c>
      <c r="DQ50" s="244" t="str">
        <f t="shared" ref="DQ50:DV50" si="120">IF(COUNTIF($I50,$DP50), J50, C50)</f>
        <v/>
      </c>
      <c r="DR50" s="244" t="str">
        <f t="shared" si="120"/>
        <v/>
      </c>
      <c r="DS50" s="244" t="str">
        <f t="shared" si="120"/>
        <v/>
      </c>
      <c r="DT50" s="244" t="str">
        <f t="shared" si="120"/>
        <v/>
      </c>
      <c r="DU50" s="244" t="str">
        <f t="shared" si="120"/>
        <v/>
      </c>
      <c r="DV50" s="244" t="str">
        <f t="shared" si="120"/>
        <v/>
      </c>
      <c r="DW50" s="241" t="str">
        <f>IF(HomePage!C61 &lt;&gt; "", IFS(AND(P50 = 1, COUNTIF(PlayerAltNames, B50)&gt;0), "Win", AND(P50 = 1, COUNTIF(PlayerAltNames, I50)&gt;0), "Loss", AND(P50 = 2, COUNTIF(PlayerAltNames, I50)&gt;0), "Win", AND(P50 = 2, COUNTIF(PlayerAltNames, B50)&gt;0), "Loss"), "")</f>
        <v/>
      </c>
      <c r="DX50" s="244"/>
      <c r="DY50" s="244" t="str">
        <f t="shared" si="21"/>
        <v>#N/A</v>
      </c>
      <c r="DZ50" s="244" t="str">
        <f t="shared" si="22"/>
        <v>#N/A</v>
      </c>
      <c r="EA50" s="244" t="str">
        <f t="shared" si="23"/>
        <v>#N/A</v>
      </c>
      <c r="EB50" s="244" t="str">
        <f t="shared" si="24"/>
        <v>#N/A</v>
      </c>
      <c r="EC50" s="244" t="str">
        <f t="shared" si="25"/>
        <v>#N/A</v>
      </c>
      <c r="ED50" s="244" t="str">
        <f t="shared" si="26"/>
        <v>#N/A</v>
      </c>
      <c r="EE50" s="244" t="str">
        <f t="shared" si="27"/>
        <v> -&gt; </v>
      </c>
      <c r="EF50" s="244" t="str">
        <f t="shared" si="28"/>
        <v/>
      </c>
      <c r="EG50" s="244"/>
      <c r="EH50" s="244"/>
      <c r="EI50" s="245"/>
    </row>
    <row r="51">
      <c r="A51" s="105"/>
      <c r="B51" s="239" t="str">
        <f>IF(HomePage!C62&lt;&gt;"", REPLAYTODATA(HomePage!C62), "")</f>
        <v/>
      </c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  <c r="AT51" s="244"/>
      <c r="AU51" s="244"/>
      <c r="AV51" s="244"/>
      <c r="AW51" s="244"/>
      <c r="AX51" s="244"/>
      <c r="AY51" s="244"/>
      <c r="AZ51" s="244"/>
      <c r="BA51" s="244"/>
      <c r="BB51" s="244"/>
      <c r="BC51" s="244"/>
      <c r="BD51" s="244"/>
      <c r="BE51" s="244"/>
      <c r="BF51" s="244"/>
      <c r="BG51" s="244"/>
      <c r="BH51" s="244"/>
      <c r="BI51" s="244"/>
      <c r="BJ51" s="244"/>
      <c r="BK51" s="244"/>
      <c r="BL51" s="244"/>
      <c r="BM51" s="244"/>
      <c r="BN51" s="244"/>
      <c r="BO51" s="244"/>
      <c r="BP51" s="244"/>
      <c r="BQ51" s="244"/>
      <c r="BR51" s="244"/>
      <c r="BS51" s="244"/>
      <c r="BT51" s="244"/>
      <c r="BU51" s="244"/>
      <c r="BV51" s="244"/>
      <c r="BW51" s="244"/>
      <c r="BX51" s="244"/>
      <c r="BY51" s="244"/>
      <c r="BZ51" s="244"/>
      <c r="CA51" s="244"/>
      <c r="CB51" s="244"/>
      <c r="CC51" s="244"/>
      <c r="CD51" s="244"/>
      <c r="CE51" s="244"/>
      <c r="CF51" s="244"/>
      <c r="CG51" s="244"/>
      <c r="CH51" s="244"/>
      <c r="CI51" s="244"/>
      <c r="CJ51" s="244"/>
      <c r="CK51" s="244"/>
      <c r="CL51" s="244"/>
      <c r="CM51" s="244"/>
      <c r="CN51" s="244"/>
      <c r="CO51" s="244"/>
      <c r="CP51" s="244"/>
      <c r="CQ51" s="244"/>
      <c r="CR51" s="244"/>
      <c r="CS51" s="244"/>
      <c r="CT51" s="241" t="str">
        <f t="shared" si="3"/>
        <v/>
      </c>
      <c r="CU51" s="246" t="str">
        <f t="shared" si="4"/>
        <v/>
      </c>
      <c r="CV51" s="241" t="str">
        <f t="shared" si="5"/>
        <v/>
      </c>
      <c r="CW51" s="246" t="str">
        <f t="shared" si="6"/>
        <v/>
      </c>
      <c r="CX51" s="241" t="str">
        <f t="shared" si="7"/>
        <v/>
      </c>
      <c r="CY51" s="241" t="str">
        <f t="shared" si="8"/>
        <v/>
      </c>
      <c r="CZ51" s="241" t="str">
        <f t="shared" si="9"/>
        <v/>
      </c>
      <c r="DA51" s="246" t="str">
        <f t="shared" si="10"/>
        <v/>
      </c>
      <c r="DB51" s="246" t="str">
        <f t="shared" si="11"/>
        <v/>
      </c>
      <c r="DC51" s="246" t="str">
        <f t="shared" si="12"/>
        <v/>
      </c>
      <c r="DD51" s="241" t="str">
        <f t="shared" si="13"/>
        <v>1</v>
      </c>
      <c r="DE51" s="241" t="str">
        <f t="shared" si="14"/>
        <v/>
      </c>
      <c r="DF51" s="241" t="str">
        <f t="shared" si="15"/>
        <v/>
      </c>
      <c r="DG51" s="244" t="str">
        <f t="shared" si="16"/>
        <v/>
      </c>
      <c r="DH51" s="244" t="str">
        <f t="shared" si="17"/>
        <v/>
      </c>
      <c r="DI51" s="244" t="str">
        <f>IF(COUNTIF(PlayerAltNames,B51)&gt;0, B51, I51)</f>
        <v/>
      </c>
      <c r="DJ51" s="247" t="str">
        <f t="shared" ref="DJ51:DO51" si="121">IF(COUNTIF($I51,$DI51)&gt;0, J51, C51)</f>
        <v/>
      </c>
      <c r="DK51" s="247" t="str">
        <f t="shared" si="121"/>
        <v/>
      </c>
      <c r="DL51" s="247" t="str">
        <f t="shared" si="121"/>
        <v/>
      </c>
      <c r="DM51" s="247" t="str">
        <f t="shared" si="121"/>
        <v/>
      </c>
      <c r="DN51" s="247" t="str">
        <f t="shared" si="121"/>
        <v/>
      </c>
      <c r="DO51" s="247" t="str">
        <f t="shared" si="121"/>
        <v/>
      </c>
      <c r="DP51" s="244" t="str">
        <f t="shared" si="19"/>
        <v/>
      </c>
      <c r="DQ51" s="244" t="str">
        <f t="shared" ref="DQ51:DV51" si="122">IF(COUNTIF($I51,$DP51), J51, C51)</f>
        <v/>
      </c>
      <c r="DR51" s="244" t="str">
        <f t="shared" si="122"/>
        <v/>
      </c>
      <c r="DS51" s="244" t="str">
        <f t="shared" si="122"/>
        <v/>
      </c>
      <c r="DT51" s="244" t="str">
        <f t="shared" si="122"/>
        <v/>
      </c>
      <c r="DU51" s="244" t="str">
        <f t="shared" si="122"/>
        <v/>
      </c>
      <c r="DV51" s="244" t="str">
        <f t="shared" si="122"/>
        <v/>
      </c>
      <c r="DW51" s="241" t="str">
        <f>IF(HomePage!C62 &lt;&gt; "", IFS(AND(P51 = 1, COUNTIF(PlayerAltNames, B51)&gt;0), "Win", AND(P51 = 1, COUNTIF(PlayerAltNames, I51)&gt;0), "Loss", AND(P51 = 2, COUNTIF(PlayerAltNames, I51)&gt;0), "Win", AND(P51 = 2, COUNTIF(PlayerAltNames, B51)&gt;0), "Loss"), "")</f>
        <v/>
      </c>
      <c r="DX51" s="244"/>
      <c r="DY51" s="244" t="str">
        <f t="shared" si="21"/>
        <v>#N/A</v>
      </c>
      <c r="DZ51" s="244" t="str">
        <f t="shared" si="22"/>
        <v>#N/A</v>
      </c>
      <c r="EA51" s="244" t="str">
        <f t="shared" si="23"/>
        <v>#N/A</v>
      </c>
      <c r="EB51" s="244" t="str">
        <f t="shared" si="24"/>
        <v>#N/A</v>
      </c>
      <c r="EC51" s="244" t="str">
        <f t="shared" si="25"/>
        <v>#N/A</v>
      </c>
      <c r="ED51" s="244" t="str">
        <f t="shared" si="26"/>
        <v>#N/A</v>
      </c>
      <c r="EE51" s="244" t="str">
        <f t="shared" si="27"/>
        <v> -&gt; </v>
      </c>
      <c r="EF51" s="244" t="str">
        <f t="shared" si="28"/>
        <v/>
      </c>
      <c r="EG51" s="244"/>
      <c r="EH51" s="244"/>
      <c r="EI51" s="245"/>
    </row>
    <row r="52">
      <c r="A52" s="105"/>
      <c r="B52" s="239" t="str">
        <f>IF(HomePage!C63&lt;&gt;"", REPLAYTODATA(HomePage!C63), "")</f>
        <v/>
      </c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  <c r="AT52" s="244"/>
      <c r="AU52" s="244"/>
      <c r="AV52" s="244"/>
      <c r="AW52" s="244"/>
      <c r="AX52" s="244"/>
      <c r="AY52" s="244"/>
      <c r="AZ52" s="244"/>
      <c r="BA52" s="244"/>
      <c r="BB52" s="244"/>
      <c r="BC52" s="244"/>
      <c r="BD52" s="244"/>
      <c r="BE52" s="244"/>
      <c r="BF52" s="244"/>
      <c r="BG52" s="244"/>
      <c r="BH52" s="244"/>
      <c r="BI52" s="244"/>
      <c r="BJ52" s="244"/>
      <c r="BK52" s="244"/>
      <c r="BL52" s="244"/>
      <c r="BM52" s="244"/>
      <c r="BN52" s="244"/>
      <c r="BO52" s="244"/>
      <c r="BP52" s="244"/>
      <c r="BQ52" s="244"/>
      <c r="BR52" s="244"/>
      <c r="BS52" s="244"/>
      <c r="BT52" s="244"/>
      <c r="BU52" s="244"/>
      <c r="BV52" s="244"/>
      <c r="BW52" s="244"/>
      <c r="BX52" s="244"/>
      <c r="BY52" s="244"/>
      <c r="BZ52" s="244"/>
      <c r="CA52" s="244"/>
      <c r="CB52" s="244"/>
      <c r="CC52" s="244"/>
      <c r="CD52" s="244"/>
      <c r="CE52" s="244"/>
      <c r="CF52" s="244"/>
      <c r="CG52" s="244"/>
      <c r="CH52" s="244"/>
      <c r="CI52" s="244"/>
      <c r="CJ52" s="244"/>
      <c r="CK52" s="244"/>
      <c r="CL52" s="244"/>
      <c r="CM52" s="244"/>
      <c r="CN52" s="244"/>
      <c r="CO52" s="244"/>
      <c r="CP52" s="244"/>
      <c r="CQ52" s="244"/>
      <c r="CR52" s="244"/>
      <c r="CS52" s="244"/>
      <c r="CT52" s="241" t="str">
        <f t="shared" si="3"/>
        <v/>
      </c>
      <c r="CU52" s="246" t="str">
        <f t="shared" si="4"/>
        <v/>
      </c>
      <c r="CV52" s="241" t="str">
        <f t="shared" si="5"/>
        <v/>
      </c>
      <c r="CW52" s="246" t="str">
        <f t="shared" si="6"/>
        <v/>
      </c>
      <c r="CX52" s="241" t="str">
        <f t="shared" si="7"/>
        <v/>
      </c>
      <c r="CY52" s="241" t="str">
        <f t="shared" si="8"/>
        <v/>
      </c>
      <c r="CZ52" s="241" t="str">
        <f t="shared" si="9"/>
        <v/>
      </c>
      <c r="DA52" s="246" t="str">
        <f t="shared" si="10"/>
        <v/>
      </c>
      <c r="DB52" s="246" t="str">
        <f t="shared" si="11"/>
        <v/>
      </c>
      <c r="DC52" s="246" t="str">
        <f t="shared" si="12"/>
        <v/>
      </c>
      <c r="DD52" s="241" t="str">
        <f t="shared" si="13"/>
        <v>1</v>
      </c>
      <c r="DE52" s="241" t="str">
        <f t="shared" si="14"/>
        <v/>
      </c>
      <c r="DF52" s="241" t="str">
        <f t="shared" si="15"/>
        <v/>
      </c>
      <c r="DG52" s="244" t="str">
        <f t="shared" si="16"/>
        <v/>
      </c>
      <c r="DH52" s="244" t="str">
        <f t="shared" si="17"/>
        <v/>
      </c>
      <c r="DI52" s="244" t="str">
        <f>IF(COUNTIF(PlayerAltNames,B52)&gt;0, B52, I52)</f>
        <v/>
      </c>
      <c r="DJ52" s="247" t="str">
        <f t="shared" ref="DJ52:DO52" si="123">IF(COUNTIF($I52,$DI52)&gt;0, J52, C52)</f>
        <v/>
      </c>
      <c r="DK52" s="247" t="str">
        <f t="shared" si="123"/>
        <v/>
      </c>
      <c r="DL52" s="247" t="str">
        <f t="shared" si="123"/>
        <v/>
      </c>
      <c r="DM52" s="247" t="str">
        <f t="shared" si="123"/>
        <v/>
      </c>
      <c r="DN52" s="247" t="str">
        <f t="shared" si="123"/>
        <v/>
      </c>
      <c r="DO52" s="247" t="str">
        <f t="shared" si="123"/>
        <v/>
      </c>
      <c r="DP52" s="244" t="str">
        <f t="shared" si="19"/>
        <v/>
      </c>
      <c r="DQ52" s="244" t="str">
        <f t="shared" ref="DQ52:DV52" si="124">IF(COUNTIF($I52,$DP52), J52, C52)</f>
        <v/>
      </c>
      <c r="DR52" s="244" t="str">
        <f t="shared" si="124"/>
        <v/>
      </c>
      <c r="DS52" s="244" t="str">
        <f t="shared" si="124"/>
        <v/>
      </c>
      <c r="DT52" s="244" t="str">
        <f t="shared" si="124"/>
        <v/>
      </c>
      <c r="DU52" s="244" t="str">
        <f t="shared" si="124"/>
        <v/>
      </c>
      <c r="DV52" s="244" t="str">
        <f t="shared" si="124"/>
        <v/>
      </c>
      <c r="DW52" s="241" t="str">
        <f>IF(HomePage!C63 &lt;&gt; "", IFS(AND(P52 = 1, COUNTIF(PlayerAltNames, B52)&gt;0), "Win", AND(P52 = 1, COUNTIF(PlayerAltNames, I52)&gt;0), "Loss", AND(P52 = 2, COUNTIF(PlayerAltNames, I52)&gt;0), "Win", AND(P52 = 2, COUNTIF(PlayerAltNames, B52)&gt;0), "Loss"), "")</f>
        <v/>
      </c>
      <c r="DX52" s="244"/>
      <c r="DY52" s="244" t="str">
        <f t="shared" si="21"/>
        <v>#N/A</v>
      </c>
      <c r="DZ52" s="244" t="str">
        <f t="shared" si="22"/>
        <v>#N/A</v>
      </c>
      <c r="EA52" s="244" t="str">
        <f t="shared" si="23"/>
        <v>#N/A</v>
      </c>
      <c r="EB52" s="244" t="str">
        <f t="shared" si="24"/>
        <v>#N/A</v>
      </c>
      <c r="EC52" s="244" t="str">
        <f t="shared" si="25"/>
        <v>#N/A</v>
      </c>
      <c r="ED52" s="244" t="str">
        <f t="shared" si="26"/>
        <v>#N/A</v>
      </c>
      <c r="EE52" s="244" t="str">
        <f t="shared" si="27"/>
        <v> -&gt; </v>
      </c>
      <c r="EF52" s="244" t="str">
        <f t="shared" si="28"/>
        <v/>
      </c>
      <c r="EG52" s="244"/>
      <c r="EH52" s="244"/>
      <c r="EI52" s="245"/>
    </row>
    <row r="53">
      <c r="A53" s="248"/>
      <c r="B53" s="239" t="str">
        <f>IF(HomePage!C64&lt;&gt;"", REPLAYTODATA(HomePage!C64), "")</f>
        <v/>
      </c>
      <c r="C53" s="249"/>
      <c r="D53" s="249"/>
      <c r="E53" s="249"/>
      <c r="F53" s="249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49"/>
      <c r="BE53" s="249"/>
      <c r="BF53" s="249"/>
      <c r="BG53" s="249"/>
      <c r="BH53" s="249"/>
      <c r="BI53" s="249"/>
      <c r="BJ53" s="249"/>
      <c r="BK53" s="249"/>
      <c r="BL53" s="249"/>
      <c r="BM53" s="249"/>
      <c r="BN53" s="249"/>
      <c r="BO53" s="249"/>
      <c r="BP53" s="249"/>
      <c r="BQ53" s="249"/>
      <c r="BR53" s="249"/>
      <c r="BS53" s="249"/>
      <c r="BT53" s="249"/>
      <c r="BU53" s="249"/>
      <c r="BV53" s="249"/>
      <c r="BW53" s="249"/>
      <c r="BX53" s="249"/>
      <c r="BY53" s="249"/>
      <c r="BZ53" s="249"/>
      <c r="CA53" s="249"/>
      <c r="CB53" s="249"/>
      <c r="CC53" s="249"/>
      <c r="CD53" s="249"/>
      <c r="CE53" s="249"/>
      <c r="CF53" s="249"/>
      <c r="CG53" s="249"/>
      <c r="CH53" s="249"/>
      <c r="CI53" s="249"/>
      <c r="CJ53" s="249"/>
      <c r="CK53" s="249"/>
      <c r="CL53" s="249"/>
      <c r="CM53" s="249"/>
      <c r="CN53" s="249"/>
      <c r="CO53" s="249"/>
      <c r="CP53" s="249"/>
      <c r="CQ53" s="249"/>
      <c r="CR53" s="249"/>
      <c r="CS53" s="249"/>
      <c r="CT53" s="250" t="str">
        <f t="shared" si="3"/>
        <v/>
      </c>
      <c r="CU53" s="251" t="str">
        <f t="shared" si="4"/>
        <v/>
      </c>
      <c r="CV53" s="250" t="str">
        <f t="shared" si="5"/>
        <v/>
      </c>
      <c r="CW53" s="251" t="str">
        <f t="shared" si="6"/>
        <v/>
      </c>
      <c r="CX53" s="250" t="str">
        <f t="shared" si="7"/>
        <v/>
      </c>
      <c r="CY53" s="250" t="str">
        <f t="shared" si="8"/>
        <v/>
      </c>
      <c r="CZ53" s="241" t="str">
        <f t="shared" si="9"/>
        <v/>
      </c>
      <c r="DA53" s="246" t="str">
        <f t="shared" si="10"/>
        <v/>
      </c>
      <c r="DB53" s="246" t="str">
        <f t="shared" si="11"/>
        <v/>
      </c>
      <c r="DC53" s="246" t="str">
        <f t="shared" si="12"/>
        <v/>
      </c>
      <c r="DD53" s="241" t="str">
        <f t="shared" si="13"/>
        <v>1</v>
      </c>
      <c r="DE53" s="241" t="str">
        <f t="shared" si="14"/>
        <v/>
      </c>
      <c r="DF53" s="241" t="str">
        <f t="shared" si="15"/>
        <v/>
      </c>
      <c r="DG53" s="244" t="str">
        <f t="shared" si="16"/>
        <v/>
      </c>
      <c r="DH53" s="244" t="str">
        <f t="shared" si="17"/>
        <v/>
      </c>
      <c r="DI53" s="244" t="str">
        <f>IF(COUNTIF(PlayerAltNames,B53)&gt;0, B53, I53)</f>
        <v/>
      </c>
      <c r="DJ53" s="252" t="str">
        <f t="shared" ref="DJ53:DO53" si="125">IF(COUNTIF($I53,$DI53)&gt;0, J53, C53)</f>
        <v/>
      </c>
      <c r="DK53" s="252" t="str">
        <f t="shared" si="125"/>
        <v/>
      </c>
      <c r="DL53" s="252" t="str">
        <f t="shared" si="125"/>
        <v/>
      </c>
      <c r="DM53" s="252" t="str">
        <f t="shared" si="125"/>
        <v/>
      </c>
      <c r="DN53" s="252" t="str">
        <f t="shared" si="125"/>
        <v/>
      </c>
      <c r="DO53" s="252" t="str">
        <f t="shared" si="125"/>
        <v/>
      </c>
      <c r="DP53" s="249" t="str">
        <f t="shared" si="19"/>
        <v/>
      </c>
      <c r="DQ53" s="249" t="str">
        <f t="shared" ref="DQ53:DV53" si="126">IF(COUNTIF($I53,$DP53), J53, C53)</f>
        <v/>
      </c>
      <c r="DR53" s="249" t="str">
        <f t="shared" si="126"/>
        <v/>
      </c>
      <c r="DS53" s="249" t="str">
        <f t="shared" si="126"/>
        <v/>
      </c>
      <c r="DT53" s="249" t="str">
        <f t="shared" si="126"/>
        <v/>
      </c>
      <c r="DU53" s="249" t="str">
        <f t="shared" si="126"/>
        <v/>
      </c>
      <c r="DV53" s="249" t="str">
        <f t="shared" si="126"/>
        <v/>
      </c>
      <c r="DW53" s="241" t="str">
        <f>IF(HomePage!C64 &lt;&gt; "", IFS(AND(P53 = 1, COUNTIF(PlayerAltNames, B53)&gt;0), "Win", AND(P53 = 1, COUNTIF(PlayerAltNames, I53)&gt;0), "Loss", AND(P53 = 2, COUNTIF(PlayerAltNames, I53)&gt;0), "Win", AND(P53 = 2, COUNTIF(PlayerAltNames, B53)&gt;0), "Loss"), "")</f>
        <v/>
      </c>
      <c r="DX53" s="249"/>
      <c r="DY53" s="244" t="str">
        <f t="shared" si="21"/>
        <v>#N/A</v>
      </c>
      <c r="DZ53" s="244" t="str">
        <f t="shared" si="22"/>
        <v>#N/A</v>
      </c>
      <c r="EA53" s="244" t="str">
        <f t="shared" si="23"/>
        <v>#N/A</v>
      </c>
      <c r="EB53" s="244" t="str">
        <f t="shared" si="24"/>
        <v>#N/A</v>
      </c>
      <c r="EC53" s="244" t="str">
        <f t="shared" si="25"/>
        <v>#N/A</v>
      </c>
      <c r="ED53" s="244" t="str">
        <f t="shared" si="26"/>
        <v>#N/A</v>
      </c>
      <c r="EE53" s="244" t="str">
        <f t="shared" si="27"/>
        <v> -&gt; </v>
      </c>
      <c r="EF53" s="244" t="str">
        <f t="shared" si="28"/>
        <v/>
      </c>
      <c r="EG53" s="249"/>
      <c r="EH53" s="249"/>
      <c r="EI53" s="245"/>
    </row>
    <row r="54">
      <c r="A54" s="248"/>
      <c r="B54" s="239" t="str">
        <f>IF(HomePage!C65&lt;&gt;"", REPLAYTODATA(HomePage!C65), "")</f>
        <v/>
      </c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4"/>
      <c r="AY54" s="244"/>
      <c r="AZ54" s="244"/>
      <c r="BA54" s="244"/>
      <c r="BB54" s="244"/>
      <c r="BC54" s="244"/>
      <c r="BD54" s="244"/>
      <c r="BE54" s="244"/>
      <c r="BF54" s="244"/>
      <c r="BG54" s="244"/>
      <c r="BH54" s="244"/>
      <c r="BI54" s="244"/>
      <c r="BJ54" s="244"/>
      <c r="BK54" s="244"/>
      <c r="BL54" s="244"/>
      <c r="BM54" s="244"/>
      <c r="BN54" s="244"/>
      <c r="BO54" s="244"/>
      <c r="BP54" s="244"/>
      <c r="BQ54" s="244"/>
      <c r="BR54" s="244"/>
      <c r="BS54" s="244"/>
      <c r="BT54" s="244"/>
      <c r="BU54" s="244"/>
      <c r="BV54" s="244"/>
      <c r="BW54" s="244"/>
      <c r="BX54" s="244"/>
      <c r="BY54" s="244"/>
      <c r="BZ54" s="244"/>
      <c r="CA54" s="244"/>
      <c r="CB54" s="244"/>
      <c r="CC54" s="244"/>
      <c r="CD54" s="244"/>
      <c r="CE54" s="244"/>
      <c r="CF54" s="244"/>
      <c r="CG54" s="244"/>
      <c r="CH54" s="244"/>
      <c r="CI54" s="244"/>
      <c r="CJ54" s="244"/>
      <c r="CK54" s="244"/>
      <c r="CL54" s="244"/>
      <c r="CM54" s="244"/>
      <c r="CN54" s="244"/>
      <c r="CO54" s="244"/>
      <c r="CP54" s="244"/>
      <c r="CQ54" s="244"/>
      <c r="CR54" s="244"/>
      <c r="CS54" s="244"/>
      <c r="CT54" s="241" t="str">
        <f t="shared" si="3"/>
        <v/>
      </c>
      <c r="CU54" s="246" t="str">
        <f t="shared" si="4"/>
        <v/>
      </c>
      <c r="CV54" s="241" t="str">
        <f t="shared" si="5"/>
        <v/>
      </c>
      <c r="CW54" s="246" t="str">
        <f t="shared" si="6"/>
        <v/>
      </c>
      <c r="CX54" s="241" t="str">
        <f t="shared" si="7"/>
        <v/>
      </c>
      <c r="CY54" s="241" t="str">
        <f t="shared" si="8"/>
        <v/>
      </c>
      <c r="CZ54" s="241" t="str">
        <f t="shared" si="9"/>
        <v/>
      </c>
      <c r="DA54" s="246" t="str">
        <f t="shared" si="10"/>
        <v/>
      </c>
      <c r="DB54" s="246" t="str">
        <f t="shared" si="11"/>
        <v/>
      </c>
      <c r="DC54" s="246" t="str">
        <f t="shared" si="12"/>
        <v/>
      </c>
      <c r="DD54" s="241" t="str">
        <f t="shared" si="13"/>
        <v>1</v>
      </c>
      <c r="DE54" s="241" t="str">
        <f t="shared" si="14"/>
        <v/>
      </c>
      <c r="DF54" s="241" t="str">
        <f t="shared" si="15"/>
        <v/>
      </c>
      <c r="DG54" s="244" t="str">
        <f t="shared" si="16"/>
        <v/>
      </c>
      <c r="DH54" s="244" t="str">
        <f t="shared" si="17"/>
        <v/>
      </c>
      <c r="DI54" s="244" t="str">
        <f>IF(COUNTIF(PlayerAltNames,B54)&gt;0, B54, I54)</f>
        <v/>
      </c>
      <c r="DJ54" s="247" t="str">
        <f t="shared" ref="DJ54:DO54" si="127">IF(COUNTIF($I54,$DI54)&gt;0, J54, C54)</f>
        <v/>
      </c>
      <c r="DK54" s="247" t="str">
        <f t="shared" si="127"/>
        <v/>
      </c>
      <c r="DL54" s="247" t="str">
        <f t="shared" si="127"/>
        <v/>
      </c>
      <c r="DM54" s="247" t="str">
        <f t="shared" si="127"/>
        <v/>
      </c>
      <c r="DN54" s="247" t="str">
        <f t="shared" si="127"/>
        <v/>
      </c>
      <c r="DO54" s="247" t="str">
        <f t="shared" si="127"/>
        <v/>
      </c>
      <c r="DP54" s="244" t="str">
        <f t="shared" si="19"/>
        <v/>
      </c>
      <c r="DQ54" s="244" t="str">
        <f t="shared" ref="DQ54:DV54" si="128">IF(COUNTIF($I54,$DP54), J54, C54)</f>
        <v/>
      </c>
      <c r="DR54" s="244" t="str">
        <f t="shared" si="128"/>
        <v/>
      </c>
      <c r="DS54" s="244" t="str">
        <f t="shared" si="128"/>
        <v/>
      </c>
      <c r="DT54" s="244" t="str">
        <f t="shared" si="128"/>
        <v/>
      </c>
      <c r="DU54" s="244" t="str">
        <f t="shared" si="128"/>
        <v/>
      </c>
      <c r="DV54" s="244" t="str">
        <f t="shared" si="128"/>
        <v/>
      </c>
      <c r="DW54" s="241" t="str">
        <f>IF(HomePage!C65 &lt;&gt; "", IFS(AND(P54 = 1, COUNTIF(PlayerAltNames, B54)&gt;0), "Win", AND(P54 = 1, COUNTIF(PlayerAltNames, I54)&gt;0), "Loss", AND(P54 = 2, COUNTIF(PlayerAltNames, I54)&gt;0), "Win", AND(P54 = 2, COUNTIF(PlayerAltNames, B54)&gt;0), "Loss"), "")</f>
        <v/>
      </c>
      <c r="DX54" s="244"/>
      <c r="DY54" s="244" t="str">
        <f t="shared" si="21"/>
        <v>#N/A</v>
      </c>
      <c r="DZ54" s="244" t="str">
        <f t="shared" si="22"/>
        <v>#N/A</v>
      </c>
      <c r="EA54" s="244" t="str">
        <f t="shared" si="23"/>
        <v>#N/A</v>
      </c>
      <c r="EB54" s="244" t="str">
        <f t="shared" si="24"/>
        <v>#N/A</v>
      </c>
      <c r="EC54" s="244" t="str">
        <f t="shared" si="25"/>
        <v>#N/A</v>
      </c>
      <c r="ED54" s="244" t="str">
        <f t="shared" si="26"/>
        <v>#N/A</v>
      </c>
      <c r="EE54" s="244" t="str">
        <f t="shared" si="27"/>
        <v> -&gt; </v>
      </c>
      <c r="EF54" s="244" t="str">
        <f t="shared" si="28"/>
        <v/>
      </c>
      <c r="EG54" s="244"/>
      <c r="EH54" s="244"/>
      <c r="EI54" s="245"/>
    </row>
    <row r="55">
      <c r="A55" s="248"/>
      <c r="B55" s="239" t="str">
        <f>IF(HomePage!C66&lt;&gt;"", REPLAYTODATA(HomePage!C66), "")</f>
        <v/>
      </c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  <c r="AS55" s="244"/>
      <c r="AT55" s="244"/>
      <c r="AU55" s="244"/>
      <c r="AV55" s="244"/>
      <c r="AW55" s="244"/>
      <c r="AX55" s="244"/>
      <c r="AY55" s="244"/>
      <c r="AZ55" s="244"/>
      <c r="BA55" s="244"/>
      <c r="BB55" s="244"/>
      <c r="BC55" s="244"/>
      <c r="BD55" s="244"/>
      <c r="BE55" s="244"/>
      <c r="BF55" s="244"/>
      <c r="BG55" s="244"/>
      <c r="BH55" s="244"/>
      <c r="BI55" s="244"/>
      <c r="BJ55" s="244"/>
      <c r="BK55" s="244"/>
      <c r="BL55" s="244"/>
      <c r="BM55" s="244"/>
      <c r="BN55" s="244"/>
      <c r="BO55" s="244"/>
      <c r="BP55" s="244"/>
      <c r="BQ55" s="244"/>
      <c r="BR55" s="244"/>
      <c r="BS55" s="244"/>
      <c r="BT55" s="244"/>
      <c r="BU55" s="244"/>
      <c r="BV55" s="244"/>
      <c r="BW55" s="244"/>
      <c r="BX55" s="244"/>
      <c r="BY55" s="244"/>
      <c r="BZ55" s="244"/>
      <c r="CA55" s="244"/>
      <c r="CB55" s="244"/>
      <c r="CC55" s="244"/>
      <c r="CD55" s="244"/>
      <c r="CE55" s="244"/>
      <c r="CF55" s="244"/>
      <c r="CG55" s="244"/>
      <c r="CH55" s="244"/>
      <c r="CI55" s="244"/>
      <c r="CJ55" s="244"/>
      <c r="CK55" s="244"/>
      <c r="CL55" s="244"/>
      <c r="CM55" s="244"/>
      <c r="CN55" s="244"/>
      <c r="CO55" s="244"/>
      <c r="CP55" s="244"/>
      <c r="CQ55" s="244"/>
      <c r="CR55" s="244"/>
      <c r="CS55" s="244"/>
      <c r="CT55" s="241" t="str">
        <f t="shared" si="3"/>
        <v/>
      </c>
      <c r="CU55" s="246" t="str">
        <f t="shared" si="4"/>
        <v/>
      </c>
      <c r="CV55" s="241" t="str">
        <f t="shared" si="5"/>
        <v/>
      </c>
      <c r="CW55" s="246" t="str">
        <f t="shared" si="6"/>
        <v/>
      </c>
      <c r="CX55" s="241" t="str">
        <f t="shared" si="7"/>
        <v/>
      </c>
      <c r="CY55" s="241" t="str">
        <f t="shared" si="8"/>
        <v/>
      </c>
      <c r="CZ55" s="241" t="str">
        <f t="shared" si="9"/>
        <v/>
      </c>
      <c r="DA55" s="246" t="str">
        <f t="shared" si="10"/>
        <v/>
      </c>
      <c r="DB55" s="246" t="str">
        <f t="shared" si="11"/>
        <v/>
      </c>
      <c r="DC55" s="246" t="str">
        <f t="shared" si="12"/>
        <v/>
      </c>
      <c r="DD55" s="241" t="str">
        <f t="shared" si="13"/>
        <v>1</v>
      </c>
      <c r="DE55" s="241" t="str">
        <f t="shared" si="14"/>
        <v/>
      </c>
      <c r="DF55" s="241" t="str">
        <f t="shared" si="15"/>
        <v/>
      </c>
      <c r="DG55" s="244" t="str">
        <f t="shared" si="16"/>
        <v/>
      </c>
      <c r="DH55" s="244" t="str">
        <f t="shared" si="17"/>
        <v/>
      </c>
      <c r="DI55" s="244" t="str">
        <f>IF(COUNTIF(PlayerAltNames,B55)&gt;0, B55, I55)</f>
        <v/>
      </c>
      <c r="DJ55" s="247" t="str">
        <f t="shared" ref="DJ55:DO55" si="129">IF(COUNTIF($I55,$DI55)&gt;0, J55, C55)</f>
        <v/>
      </c>
      <c r="DK55" s="247" t="str">
        <f t="shared" si="129"/>
        <v/>
      </c>
      <c r="DL55" s="247" t="str">
        <f t="shared" si="129"/>
        <v/>
      </c>
      <c r="DM55" s="247" t="str">
        <f t="shared" si="129"/>
        <v/>
      </c>
      <c r="DN55" s="247" t="str">
        <f t="shared" si="129"/>
        <v/>
      </c>
      <c r="DO55" s="247" t="str">
        <f t="shared" si="129"/>
        <v/>
      </c>
      <c r="DP55" s="244" t="str">
        <f t="shared" si="19"/>
        <v/>
      </c>
      <c r="DQ55" s="244" t="str">
        <f t="shared" ref="DQ55:DV55" si="130">IF(COUNTIF($I55,$DP55), J55, C55)</f>
        <v/>
      </c>
      <c r="DR55" s="244" t="str">
        <f t="shared" si="130"/>
        <v/>
      </c>
      <c r="DS55" s="244" t="str">
        <f t="shared" si="130"/>
        <v/>
      </c>
      <c r="DT55" s="244" t="str">
        <f t="shared" si="130"/>
        <v/>
      </c>
      <c r="DU55" s="244" t="str">
        <f t="shared" si="130"/>
        <v/>
      </c>
      <c r="DV55" s="244" t="str">
        <f t="shared" si="130"/>
        <v/>
      </c>
      <c r="DW55" s="241" t="str">
        <f>IF(HomePage!C66 &lt;&gt; "", IFS(AND(P55 = 1, COUNTIF(PlayerAltNames, B55)&gt;0), "Win", AND(P55 = 1, COUNTIF(PlayerAltNames, I55)&gt;0), "Loss", AND(P55 = 2, COUNTIF(PlayerAltNames, I55)&gt;0), "Win", AND(P55 = 2, COUNTIF(PlayerAltNames, B55)&gt;0), "Loss"), "")</f>
        <v/>
      </c>
      <c r="DX55" s="244"/>
      <c r="DY55" s="244" t="str">
        <f t="shared" si="21"/>
        <v>#N/A</v>
      </c>
      <c r="DZ55" s="244" t="str">
        <f t="shared" si="22"/>
        <v>#N/A</v>
      </c>
      <c r="EA55" s="244" t="str">
        <f t="shared" si="23"/>
        <v>#N/A</v>
      </c>
      <c r="EB55" s="244" t="str">
        <f t="shared" si="24"/>
        <v>#N/A</v>
      </c>
      <c r="EC55" s="244" t="str">
        <f t="shared" si="25"/>
        <v>#N/A</v>
      </c>
      <c r="ED55" s="244" t="str">
        <f t="shared" si="26"/>
        <v>#N/A</v>
      </c>
      <c r="EE55" s="244" t="str">
        <f t="shared" si="27"/>
        <v> -&gt; </v>
      </c>
      <c r="EF55" s="244" t="str">
        <f t="shared" si="28"/>
        <v/>
      </c>
      <c r="EG55" s="244"/>
      <c r="EH55" s="244"/>
      <c r="EI55" s="245"/>
    </row>
    <row r="56">
      <c r="A56" s="248"/>
      <c r="B56" s="239" t="str">
        <f>IF(HomePage!C67&lt;&gt;"", REPLAYTODATA(HomePage!C67), "")</f>
        <v/>
      </c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/>
      <c r="AT56" s="244"/>
      <c r="AU56" s="244"/>
      <c r="AV56" s="244"/>
      <c r="AW56" s="244"/>
      <c r="AX56" s="244"/>
      <c r="AY56" s="244"/>
      <c r="AZ56" s="244"/>
      <c r="BA56" s="244"/>
      <c r="BB56" s="244"/>
      <c r="BC56" s="244"/>
      <c r="BD56" s="244"/>
      <c r="BE56" s="244"/>
      <c r="BF56" s="244"/>
      <c r="BG56" s="244"/>
      <c r="BH56" s="244"/>
      <c r="BI56" s="244"/>
      <c r="BJ56" s="244"/>
      <c r="BK56" s="244"/>
      <c r="BL56" s="244"/>
      <c r="BM56" s="244"/>
      <c r="BN56" s="244"/>
      <c r="BO56" s="244"/>
      <c r="BP56" s="244"/>
      <c r="BQ56" s="244"/>
      <c r="BR56" s="244"/>
      <c r="BS56" s="244"/>
      <c r="BT56" s="244"/>
      <c r="BU56" s="244"/>
      <c r="BV56" s="244"/>
      <c r="BW56" s="244"/>
      <c r="BX56" s="244"/>
      <c r="BY56" s="244"/>
      <c r="BZ56" s="244"/>
      <c r="CA56" s="244"/>
      <c r="CB56" s="244"/>
      <c r="CC56" s="244"/>
      <c r="CD56" s="244"/>
      <c r="CE56" s="244"/>
      <c r="CF56" s="244"/>
      <c r="CG56" s="244"/>
      <c r="CH56" s="244"/>
      <c r="CI56" s="244"/>
      <c r="CJ56" s="244"/>
      <c r="CK56" s="244"/>
      <c r="CL56" s="244"/>
      <c r="CM56" s="244"/>
      <c r="CN56" s="244"/>
      <c r="CO56" s="244"/>
      <c r="CP56" s="244"/>
      <c r="CQ56" s="244"/>
      <c r="CR56" s="244"/>
      <c r="CS56" s="244"/>
      <c r="CT56" s="241" t="str">
        <f t="shared" si="3"/>
        <v/>
      </c>
      <c r="CU56" s="246" t="str">
        <f t="shared" si="4"/>
        <v/>
      </c>
      <c r="CV56" s="241" t="str">
        <f t="shared" si="5"/>
        <v/>
      </c>
      <c r="CW56" s="246" t="str">
        <f t="shared" si="6"/>
        <v/>
      </c>
      <c r="CX56" s="241" t="str">
        <f t="shared" si="7"/>
        <v/>
      </c>
      <c r="CY56" s="241" t="str">
        <f t="shared" si="8"/>
        <v/>
      </c>
      <c r="CZ56" s="241" t="str">
        <f t="shared" si="9"/>
        <v/>
      </c>
      <c r="DA56" s="246" t="str">
        <f t="shared" si="10"/>
        <v/>
      </c>
      <c r="DB56" s="246" t="str">
        <f t="shared" si="11"/>
        <v/>
      </c>
      <c r="DC56" s="246" t="str">
        <f t="shared" si="12"/>
        <v/>
      </c>
      <c r="DD56" s="241" t="str">
        <f t="shared" si="13"/>
        <v>1</v>
      </c>
      <c r="DE56" s="241" t="str">
        <f t="shared" si="14"/>
        <v/>
      </c>
      <c r="DF56" s="241" t="str">
        <f t="shared" si="15"/>
        <v/>
      </c>
      <c r="DG56" s="244" t="str">
        <f t="shared" si="16"/>
        <v/>
      </c>
      <c r="DH56" s="244" t="str">
        <f t="shared" si="17"/>
        <v/>
      </c>
      <c r="DI56" s="244" t="str">
        <f>IF(COUNTIF(PlayerAltNames,B56)&gt;0, B56, I56)</f>
        <v/>
      </c>
      <c r="DJ56" s="247" t="str">
        <f t="shared" ref="DJ56:DO56" si="131">IF(COUNTIF($I56,$DI56)&gt;0, J56, C56)</f>
        <v/>
      </c>
      <c r="DK56" s="247" t="str">
        <f t="shared" si="131"/>
        <v/>
      </c>
      <c r="DL56" s="247" t="str">
        <f t="shared" si="131"/>
        <v/>
      </c>
      <c r="DM56" s="247" t="str">
        <f t="shared" si="131"/>
        <v/>
      </c>
      <c r="DN56" s="247" t="str">
        <f t="shared" si="131"/>
        <v/>
      </c>
      <c r="DO56" s="247" t="str">
        <f t="shared" si="131"/>
        <v/>
      </c>
      <c r="DP56" s="244" t="str">
        <f t="shared" si="19"/>
        <v/>
      </c>
      <c r="DQ56" s="244" t="str">
        <f t="shared" ref="DQ56:DV56" si="132">IF(COUNTIF($I56,$DP56), J56, C56)</f>
        <v/>
      </c>
      <c r="DR56" s="244" t="str">
        <f t="shared" si="132"/>
        <v/>
      </c>
      <c r="DS56" s="244" t="str">
        <f t="shared" si="132"/>
        <v/>
      </c>
      <c r="DT56" s="244" t="str">
        <f t="shared" si="132"/>
        <v/>
      </c>
      <c r="DU56" s="244" t="str">
        <f t="shared" si="132"/>
        <v/>
      </c>
      <c r="DV56" s="244" t="str">
        <f t="shared" si="132"/>
        <v/>
      </c>
      <c r="DW56" s="241" t="str">
        <f>IF(HomePage!C67 &lt;&gt; "", IFS(AND(P56 = 1, COUNTIF(PlayerAltNames, B56)&gt;0), "Win", AND(P56 = 1, COUNTIF(PlayerAltNames, I56)&gt;0), "Loss", AND(P56 = 2, COUNTIF(PlayerAltNames, I56)&gt;0), "Win", AND(P56 = 2, COUNTIF(PlayerAltNames, B56)&gt;0), "Loss"), "")</f>
        <v/>
      </c>
      <c r="DX56" s="244"/>
      <c r="DY56" s="244" t="str">
        <f t="shared" si="21"/>
        <v>#N/A</v>
      </c>
      <c r="DZ56" s="244" t="str">
        <f t="shared" si="22"/>
        <v>#N/A</v>
      </c>
      <c r="EA56" s="244" t="str">
        <f t="shared" si="23"/>
        <v>#N/A</v>
      </c>
      <c r="EB56" s="244" t="str">
        <f t="shared" si="24"/>
        <v>#N/A</v>
      </c>
      <c r="EC56" s="244" t="str">
        <f t="shared" si="25"/>
        <v>#N/A</v>
      </c>
      <c r="ED56" s="244" t="str">
        <f t="shared" si="26"/>
        <v>#N/A</v>
      </c>
      <c r="EE56" s="244" t="str">
        <f t="shared" si="27"/>
        <v> -&gt; </v>
      </c>
      <c r="EF56" s="244" t="str">
        <f t="shared" si="28"/>
        <v/>
      </c>
      <c r="EG56" s="244"/>
      <c r="EH56" s="244"/>
      <c r="EI56" s="245"/>
    </row>
    <row r="57">
      <c r="A57" s="248"/>
      <c r="B57" s="239" t="str">
        <f>IF(HomePage!C68&lt;&gt;"", REPLAYTODATA(HomePage!C68), "")</f>
        <v/>
      </c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  <c r="AT57" s="244"/>
      <c r="AU57" s="244"/>
      <c r="AV57" s="244"/>
      <c r="AW57" s="244"/>
      <c r="AX57" s="244"/>
      <c r="AY57" s="244"/>
      <c r="AZ57" s="244"/>
      <c r="BA57" s="244"/>
      <c r="BB57" s="244"/>
      <c r="BC57" s="244"/>
      <c r="BD57" s="244"/>
      <c r="BE57" s="244"/>
      <c r="BF57" s="244"/>
      <c r="BG57" s="244"/>
      <c r="BH57" s="244"/>
      <c r="BI57" s="244"/>
      <c r="BJ57" s="244"/>
      <c r="BK57" s="244"/>
      <c r="BL57" s="244"/>
      <c r="BM57" s="244"/>
      <c r="BN57" s="244"/>
      <c r="BO57" s="244"/>
      <c r="BP57" s="244"/>
      <c r="BQ57" s="244"/>
      <c r="BR57" s="244"/>
      <c r="BS57" s="244"/>
      <c r="BT57" s="244"/>
      <c r="BU57" s="244"/>
      <c r="BV57" s="244"/>
      <c r="BW57" s="244"/>
      <c r="BX57" s="244"/>
      <c r="BY57" s="244"/>
      <c r="BZ57" s="244"/>
      <c r="CA57" s="244"/>
      <c r="CB57" s="244"/>
      <c r="CC57" s="244"/>
      <c r="CD57" s="244"/>
      <c r="CE57" s="244"/>
      <c r="CF57" s="244"/>
      <c r="CG57" s="244"/>
      <c r="CH57" s="244"/>
      <c r="CI57" s="244"/>
      <c r="CJ57" s="244"/>
      <c r="CK57" s="244"/>
      <c r="CL57" s="244"/>
      <c r="CM57" s="244"/>
      <c r="CN57" s="244"/>
      <c r="CO57" s="244"/>
      <c r="CP57" s="244"/>
      <c r="CQ57" s="244"/>
      <c r="CR57" s="244"/>
      <c r="CS57" s="244"/>
      <c r="CT57" s="241" t="str">
        <f t="shared" si="3"/>
        <v/>
      </c>
      <c r="CU57" s="246" t="str">
        <f t="shared" si="4"/>
        <v/>
      </c>
      <c r="CV57" s="241" t="str">
        <f t="shared" si="5"/>
        <v/>
      </c>
      <c r="CW57" s="246" t="str">
        <f t="shared" si="6"/>
        <v/>
      </c>
      <c r="CX57" s="241" t="str">
        <f t="shared" si="7"/>
        <v/>
      </c>
      <c r="CY57" s="241" t="str">
        <f t="shared" si="8"/>
        <v/>
      </c>
      <c r="CZ57" s="241" t="str">
        <f t="shared" si="9"/>
        <v/>
      </c>
      <c r="DA57" s="246" t="str">
        <f t="shared" si="10"/>
        <v/>
      </c>
      <c r="DB57" s="246" t="str">
        <f t="shared" si="11"/>
        <v/>
      </c>
      <c r="DC57" s="246" t="str">
        <f t="shared" si="12"/>
        <v/>
      </c>
      <c r="DD57" s="241" t="str">
        <f t="shared" si="13"/>
        <v>1</v>
      </c>
      <c r="DE57" s="241" t="str">
        <f t="shared" si="14"/>
        <v/>
      </c>
      <c r="DF57" s="241" t="str">
        <f t="shared" si="15"/>
        <v/>
      </c>
      <c r="DG57" s="244" t="str">
        <f t="shared" si="16"/>
        <v/>
      </c>
      <c r="DH57" s="244" t="str">
        <f t="shared" si="17"/>
        <v/>
      </c>
      <c r="DI57" s="244" t="str">
        <f>IF(COUNTIF(PlayerAltNames,B57)&gt;0, B57, I57)</f>
        <v/>
      </c>
      <c r="DJ57" s="247" t="str">
        <f t="shared" ref="DJ57:DO57" si="133">IF(COUNTIF($I57,$DI57)&gt;0, J57, C57)</f>
        <v/>
      </c>
      <c r="DK57" s="247" t="str">
        <f t="shared" si="133"/>
        <v/>
      </c>
      <c r="DL57" s="247" t="str">
        <f t="shared" si="133"/>
        <v/>
      </c>
      <c r="DM57" s="247" t="str">
        <f t="shared" si="133"/>
        <v/>
      </c>
      <c r="DN57" s="247" t="str">
        <f t="shared" si="133"/>
        <v/>
      </c>
      <c r="DO57" s="247" t="str">
        <f t="shared" si="133"/>
        <v/>
      </c>
      <c r="DP57" s="244" t="str">
        <f t="shared" si="19"/>
        <v/>
      </c>
      <c r="DQ57" s="244" t="str">
        <f t="shared" ref="DQ57:DV57" si="134">IF(COUNTIF($I57,$DP57), J57, C57)</f>
        <v/>
      </c>
      <c r="DR57" s="244" t="str">
        <f t="shared" si="134"/>
        <v/>
      </c>
      <c r="DS57" s="244" t="str">
        <f t="shared" si="134"/>
        <v/>
      </c>
      <c r="DT57" s="244" t="str">
        <f t="shared" si="134"/>
        <v/>
      </c>
      <c r="DU57" s="244" t="str">
        <f t="shared" si="134"/>
        <v/>
      </c>
      <c r="DV57" s="244" t="str">
        <f t="shared" si="134"/>
        <v/>
      </c>
      <c r="DW57" s="241" t="str">
        <f>IF(HomePage!C68 &lt;&gt; "", IFS(AND(P57 = 1, COUNTIF(PlayerAltNames, B57)&gt;0), "Win", AND(P57 = 1, COUNTIF(PlayerAltNames, I57)&gt;0), "Loss", AND(P57 = 2, COUNTIF(PlayerAltNames, I57)&gt;0), "Win", AND(P57 = 2, COUNTIF(PlayerAltNames, B57)&gt;0), "Loss"), "")</f>
        <v/>
      </c>
      <c r="DX57" s="244"/>
      <c r="DY57" s="244" t="str">
        <f t="shared" si="21"/>
        <v>#N/A</v>
      </c>
      <c r="DZ57" s="244" t="str">
        <f t="shared" si="22"/>
        <v>#N/A</v>
      </c>
      <c r="EA57" s="244" t="str">
        <f t="shared" si="23"/>
        <v>#N/A</v>
      </c>
      <c r="EB57" s="244" t="str">
        <f t="shared" si="24"/>
        <v>#N/A</v>
      </c>
      <c r="EC57" s="244" t="str">
        <f t="shared" si="25"/>
        <v>#N/A</v>
      </c>
      <c r="ED57" s="244" t="str">
        <f t="shared" si="26"/>
        <v>#N/A</v>
      </c>
      <c r="EE57" s="244" t="str">
        <f t="shared" si="27"/>
        <v> -&gt; </v>
      </c>
      <c r="EF57" s="244" t="str">
        <f t="shared" si="28"/>
        <v/>
      </c>
      <c r="EG57" s="244"/>
      <c r="EH57" s="244"/>
      <c r="EI57" s="245"/>
    </row>
    <row r="58">
      <c r="A58" s="248"/>
      <c r="B58" s="239" t="str">
        <f>IF(HomePage!C69&lt;&gt;"", REPLAYTODATA(HomePage!C69), "")</f>
        <v/>
      </c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  <c r="AT58" s="244"/>
      <c r="AU58" s="244"/>
      <c r="AV58" s="244"/>
      <c r="AW58" s="244"/>
      <c r="AX58" s="244"/>
      <c r="AY58" s="244"/>
      <c r="AZ58" s="244"/>
      <c r="BA58" s="244"/>
      <c r="BB58" s="244"/>
      <c r="BC58" s="244"/>
      <c r="BD58" s="244"/>
      <c r="BE58" s="244"/>
      <c r="BF58" s="244"/>
      <c r="BG58" s="244"/>
      <c r="BH58" s="244"/>
      <c r="BI58" s="244"/>
      <c r="BJ58" s="244"/>
      <c r="BK58" s="244"/>
      <c r="BL58" s="244"/>
      <c r="BM58" s="244"/>
      <c r="BN58" s="244"/>
      <c r="BO58" s="244"/>
      <c r="BP58" s="244"/>
      <c r="BQ58" s="244"/>
      <c r="BR58" s="244"/>
      <c r="BS58" s="244"/>
      <c r="BT58" s="244"/>
      <c r="BU58" s="244"/>
      <c r="BV58" s="244"/>
      <c r="BW58" s="244"/>
      <c r="BX58" s="244"/>
      <c r="BY58" s="244"/>
      <c r="BZ58" s="244"/>
      <c r="CA58" s="244"/>
      <c r="CB58" s="244"/>
      <c r="CC58" s="244"/>
      <c r="CD58" s="244"/>
      <c r="CE58" s="244"/>
      <c r="CF58" s="244"/>
      <c r="CG58" s="244"/>
      <c r="CH58" s="244"/>
      <c r="CI58" s="244"/>
      <c r="CJ58" s="244"/>
      <c r="CK58" s="244"/>
      <c r="CL58" s="244"/>
      <c r="CM58" s="244"/>
      <c r="CN58" s="244"/>
      <c r="CO58" s="244"/>
      <c r="CP58" s="244"/>
      <c r="CQ58" s="244"/>
      <c r="CR58" s="244"/>
      <c r="CS58" s="244"/>
      <c r="CT58" s="241" t="str">
        <f t="shared" si="3"/>
        <v/>
      </c>
      <c r="CU58" s="246" t="str">
        <f t="shared" si="4"/>
        <v/>
      </c>
      <c r="CV58" s="241" t="str">
        <f t="shared" si="5"/>
        <v/>
      </c>
      <c r="CW58" s="246" t="str">
        <f t="shared" si="6"/>
        <v/>
      </c>
      <c r="CX58" s="241" t="str">
        <f t="shared" si="7"/>
        <v/>
      </c>
      <c r="CY58" s="241" t="str">
        <f t="shared" si="8"/>
        <v/>
      </c>
      <c r="CZ58" s="241" t="str">
        <f t="shared" si="9"/>
        <v/>
      </c>
      <c r="DA58" s="246" t="str">
        <f t="shared" si="10"/>
        <v/>
      </c>
      <c r="DB58" s="246" t="str">
        <f t="shared" si="11"/>
        <v/>
      </c>
      <c r="DC58" s="246" t="str">
        <f t="shared" si="12"/>
        <v/>
      </c>
      <c r="DD58" s="241" t="str">
        <f t="shared" si="13"/>
        <v>1</v>
      </c>
      <c r="DE58" s="241" t="str">
        <f t="shared" si="14"/>
        <v/>
      </c>
      <c r="DF58" s="241" t="str">
        <f t="shared" si="15"/>
        <v/>
      </c>
      <c r="DG58" s="244" t="str">
        <f t="shared" si="16"/>
        <v/>
      </c>
      <c r="DH58" s="244" t="str">
        <f t="shared" si="17"/>
        <v/>
      </c>
      <c r="DI58" s="244" t="str">
        <f>IF(COUNTIF(PlayerAltNames,B58)&gt;0, B58, I58)</f>
        <v/>
      </c>
      <c r="DJ58" s="247" t="str">
        <f t="shared" ref="DJ58:DO58" si="135">IF(COUNTIF($I58,$DI58)&gt;0, J58, C58)</f>
        <v/>
      </c>
      <c r="DK58" s="247" t="str">
        <f t="shared" si="135"/>
        <v/>
      </c>
      <c r="DL58" s="247" t="str">
        <f t="shared" si="135"/>
        <v/>
      </c>
      <c r="DM58" s="247" t="str">
        <f t="shared" si="135"/>
        <v/>
      </c>
      <c r="DN58" s="247" t="str">
        <f t="shared" si="135"/>
        <v/>
      </c>
      <c r="DO58" s="247" t="str">
        <f t="shared" si="135"/>
        <v/>
      </c>
      <c r="DP58" s="244" t="str">
        <f t="shared" si="19"/>
        <v/>
      </c>
      <c r="DQ58" s="244" t="str">
        <f t="shared" ref="DQ58:DV58" si="136">IF(COUNTIF($I58,$DP58), J58, C58)</f>
        <v/>
      </c>
      <c r="DR58" s="244" t="str">
        <f t="shared" si="136"/>
        <v/>
      </c>
      <c r="DS58" s="244" t="str">
        <f t="shared" si="136"/>
        <v/>
      </c>
      <c r="DT58" s="244" t="str">
        <f t="shared" si="136"/>
        <v/>
      </c>
      <c r="DU58" s="244" t="str">
        <f t="shared" si="136"/>
        <v/>
      </c>
      <c r="DV58" s="244" t="str">
        <f t="shared" si="136"/>
        <v/>
      </c>
      <c r="DW58" s="241" t="str">
        <f>IF(HomePage!C69 &lt;&gt; "", IFS(AND(P58 = 1, COUNTIF(PlayerAltNames, B58)&gt;0), "Win", AND(P58 = 1, COUNTIF(PlayerAltNames, I58)&gt;0), "Loss", AND(P58 = 2, COUNTIF(PlayerAltNames, I58)&gt;0), "Win", AND(P58 = 2, COUNTIF(PlayerAltNames, B58)&gt;0), "Loss"), "")</f>
        <v/>
      </c>
      <c r="DX58" s="244"/>
      <c r="DY58" s="244" t="str">
        <f t="shared" si="21"/>
        <v>#N/A</v>
      </c>
      <c r="DZ58" s="244" t="str">
        <f t="shared" si="22"/>
        <v>#N/A</v>
      </c>
      <c r="EA58" s="244" t="str">
        <f t="shared" si="23"/>
        <v>#N/A</v>
      </c>
      <c r="EB58" s="244" t="str">
        <f t="shared" si="24"/>
        <v>#N/A</v>
      </c>
      <c r="EC58" s="244" t="str">
        <f t="shared" si="25"/>
        <v>#N/A</v>
      </c>
      <c r="ED58" s="244" t="str">
        <f t="shared" si="26"/>
        <v>#N/A</v>
      </c>
      <c r="EE58" s="244" t="str">
        <f t="shared" si="27"/>
        <v> -&gt; </v>
      </c>
      <c r="EF58" s="244" t="str">
        <f t="shared" si="28"/>
        <v/>
      </c>
      <c r="EG58" s="244"/>
      <c r="EH58" s="244"/>
      <c r="EI58" s="245"/>
    </row>
    <row r="59">
      <c r="A59" s="248"/>
      <c r="B59" s="239" t="str">
        <f>IF(HomePage!C70&lt;&gt;"", REPLAYTODATA(HomePage!C70), "")</f>
        <v/>
      </c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4"/>
      <c r="AU59" s="244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4"/>
      <c r="BG59" s="244"/>
      <c r="BH59" s="244"/>
      <c r="BI59" s="244"/>
      <c r="BJ59" s="244"/>
      <c r="BK59" s="244"/>
      <c r="BL59" s="244"/>
      <c r="BM59" s="244"/>
      <c r="BN59" s="244"/>
      <c r="BO59" s="244"/>
      <c r="BP59" s="244"/>
      <c r="BQ59" s="244"/>
      <c r="BR59" s="244"/>
      <c r="BS59" s="244"/>
      <c r="BT59" s="244"/>
      <c r="BU59" s="244"/>
      <c r="BV59" s="244"/>
      <c r="BW59" s="244"/>
      <c r="BX59" s="244"/>
      <c r="BY59" s="244"/>
      <c r="BZ59" s="244"/>
      <c r="CA59" s="244"/>
      <c r="CB59" s="244"/>
      <c r="CC59" s="244"/>
      <c r="CD59" s="244"/>
      <c r="CE59" s="244"/>
      <c r="CF59" s="244"/>
      <c r="CG59" s="244"/>
      <c r="CH59" s="244"/>
      <c r="CI59" s="244"/>
      <c r="CJ59" s="244"/>
      <c r="CK59" s="244"/>
      <c r="CL59" s="244"/>
      <c r="CM59" s="244"/>
      <c r="CN59" s="244"/>
      <c r="CO59" s="244"/>
      <c r="CP59" s="244"/>
      <c r="CQ59" s="244"/>
      <c r="CR59" s="244"/>
      <c r="CS59" s="244"/>
      <c r="CT59" s="241" t="str">
        <f t="shared" si="3"/>
        <v/>
      </c>
      <c r="CU59" s="246" t="str">
        <f t="shared" si="4"/>
        <v/>
      </c>
      <c r="CV59" s="241" t="str">
        <f t="shared" si="5"/>
        <v/>
      </c>
      <c r="CW59" s="246" t="str">
        <f t="shared" si="6"/>
        <v/>
      </c>
      <c r="CX59" s="241" t="str">
        <f t="shared" si="7"/>
        <v/>
      </c>
      <c r="CY59" s="241" t="str">
        <f t="shared" si="8"/>
        <v/>
      </c>
      <c r="CZ59" s="241" t="str">
        <f t="shared" si="9"/>
        <v/>
      </c>
      <c r="DA59" s="246" t="str">
        <f t="shared" si="10"/>
        <v/>
      </c>
      <c r="DB59" s="246" t="str">
        <f t="shared" si="11"/>
        <v/>
      </c>
      <c r="DC59" s="246" t="str">
        <f t="shared" si="12"/>
        <v/>
      </c>
      <c r="DD59" s="241" t="str">
        <f t="shared" si="13"/>
        <v>1</v>
      </c>
      <c r="DE59" s="241" t="str">
        <f t="shared" si="14"/>
        <v/>
      </c>
      <c r="DF59" s="241" t="str">
        <f t="shared" si="15"/>
        <v/>
      </c>
      <c r="DG59" s="244" t="str">
        <f t="shared" si="16"/>
        <v/>
      </c>
      <c r="DH59" s="244" t="str">
        <f t="shared" si="17"/>
        <v/>
      </c>
      <c r="DI59" s="244" t="str">
        <f>IF(COUNTIF(PlayerAltNames,B59)&gt;0, B59, I59)</f>
        <v/>
      </c>
      <c r="DJ59" s="247" t="str">
        <f t="shared" ref="DJ59:DO59" si="137">IF(COUNTIF($I59,$DI59)&gt;0, J59, C59)</f>
        <v/>
      </c>
      <c r="DK59" s="247" t="str">
        <f t="shared" si="137"/>
        <v/>
      </c>
      <c r="DL59" s="247" t="str">
        <f t="shared" si="137"/>
        <v/>
      </c>
      <c r="DM59" s="247" t="str">
        <f t="shared" si="137"/>
        <v/>
      </c>
      <c r="DN59" s="247" t="str">
        <f t="shared" si="137"/>
        <v/>
      </c>
      <c r="DO59" s="247" t="str">
        <f t="shared" si="137"/>
        <v/>
      </c>
      <c r="DP59" s="244" t="str">
        <f t="shared" si="19"/>
        <v/>
      </c>
      <c r="DQ59" s="244" t="str">
        <f t="shared" ref="DQ59:DV59" si="138">IF(COUNTIF($I59,$DP59), J59, C59)</f>
        <v/>
      </c>
      <c r="DR59" s="244" t="str">
        <f t="shared" si="138"/>
        <v/>
      </c>
      <c r="DS59" s="244" t="str">
        <f t="shared" si="138"/>
        <v/>
      </c>
      <c r="DT59" s="244" t="str">
        <f t="shared" si="138"/>
        <v/>
      </c>
      <c r="DU59" s="244" t="str">
        <f t="shared" si="138"/>
        <v/>
      </c>
      <c r="DV59" s="244" t="str">
        <f t="shared" si="138"/>
        <v/>
      </c>
      <c r="DW59" s="241" t="str">
        <f>IF(HomePage!C70 &lt;&gt; "", IFS(AND(P59 = 1, COUNTIF(PlayerAltNames, B59)&gt;0), "Win", AND(P59 = 1, COUNTIF(PlayerAltNames, I59)&gt;0), "Loss", AND(P59 = 2, COUNTIF(PlayerAltNames, I59)&gt;0), "Win", AND(P59 = 2, COUNTIF(PlayerAltNames, B59)&gt;0), "Loss"), "")</f>
        <v/>
      </c>
      <c r="DX59" s="244"/>
      <c r="DY59" s="244" t="str">
        <f t="shared" si="21"/>
        <v>#N/A</v>
      </c>
      <c r="DZ59" s="244" t="str">
        <f t="shared" si="22"/>
        <v>#N/A</v>
      </c>
      <c r="EA59" s="244" t="str">
        <f t="shared" si="23"/>
        <v>#N/A</v>
      </c>
      <c r="EB59" s="244" t="str">
        <f t="shared" si="24"/>
        <v>#N/A</v>
      </c>
      <c r="EC59" s="244" t="str">
        <f t="shared" si="25"/>
        <v>#N/A</v>
      </c>
      <c r="ED59" s="244" t="str">
        <f t="shared" si="26"/>
        <v>#N/A</v>
      </c>
      <c r="EE59" s="244" t="str">
        <f t="shared" si="27"/>
        <v> -&gt; </v>
      </c>
      <c r="EF59" s="244" t="str">
        <f t="shared" si="28"/>
        <v/>
      </c>
      <c r="EG59" s="244"/>
      <c r="EH59" s="244"/>
      <c r="EI59" s="245"/>
    </row>
    <row r="60">
      <c r="A60" s="248"/>
      <c r="B60" s="239" t="str">
        <f>IF(HomePage!C71&lt;&gt;"", REPLAYTODATA(HomePage!C71), "")</f>
        <v/>
      </c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4"/>
      <c r="AS60" s="244"/>
      <c r="AT60" s="244"/>
      <c r="AU60" s="244"/>
      <c r="AV60" s="244"/>
      <c r="AW60" s="244"/>
      <c r="AX60" s="244"/>
      <c r="AY60" s="244"/>
      <c r="AZ60" s="244"/>
      <c r="BA60" s="244"/>
      <c r="BB60" s="244"/>
      <c r="BC60" s="244"/>
      <c r="BD60" s="244"/>
      <c r="BE60" s="244"/>
      <c r="BF60" s="244"/>
      <c r="BG60" s="244"/>
      <c r="BH60" s="244"/>
      <c r="BI60" s="244"/>
      <c r="BJ60" s="244"/>
      <c r="BK60" s="244"/>
      <c r="BL60" s="244"/>
      <c r="BM60" s="244"/>
      <c r="BN60" s="244"/>
      <c r="BO60" s="244"/>
      <c r="BP60" s="244"/>
      <c r="BQ60" s="244"/>
      <c r="BR60" s="244"/>
      <c r="BS60" s="244"/>
      <c r="BT60" s="244"/>
      <c r="BU60" s="244"/>
      <c r="BV60" s="244"/>
      <c r="BW60" s="244"/>
      <c r="BX60" s="244"/>
      <c r="BY60" s="244"/>
      <c r="BZ60" s="244"/>
      <c r="CA60" s="244"/>
      <c r="CB60" s="244"/>
      <c r="CC60" s="244"/>
      <c r="CD60" s="244"/>
      <c r="CE60" s="244"/>
      <c r="CF60" s="244"/>
      <c r="CG60" s="244"/>
      <c r="CH60" s="244"/>
      <c r="CI60" s="244"/>
      <c r="CJ60" s="244"/>
      <c r="CK60" s="244"/>
      <c r="CL60" s="244"/>
      <c r="CM60" s="244"/>
      <c r="CN60" s="244"/>
      <c r="CO60" s="244"/>
      <c r="CP60" s="244"/>
      <c r="CQ60" s="244"/>
      <c r="CR60" s="244"/>
      <c r="CS60" s="244"/>
      <c r="CT60" s="241" t="str">
        <f t="shared" si="3"/>
        <v/>
      </c>
      <c r="CU60" s="246" t="str">
        <f t="shared" si="4"/>
        <v/>
      </c>
      <c r="CV60" s="241" t="str">
        <f t="shared" si="5"/>
        <v/>
      </c>
      <c r="CW60" s="246" t="str">
        <f t="shared" si="6"/>
        <v/>
      </c>
      <c r="CX60" s="241" t="str">
        <f t="shared" si="7"/>
        <v/>
      </c>
      <c r="CY60" s="241" t="str">
        <f t="shared" si="8"/>
        <v/>
      </c>
      <c r="CZ60" s="241" t="str">
        <f t="shared" si="9"/>
        <v/>
      </c>
      <c r="DA60" s="246" t="str">
        <f t="shared" si="10"/>
        <v/>
      </c>
      <c r="DB60" s="246" t="str">
        <f t="shared" si="11"/>
        <v/>
      </c>
      <c r="DC60" s="246" t="str">
        <f t="shared" si="12"/>
        <v/>
      </c>
      <c r="DD60" s="241" t="str">
        <f t="shared" si="13"/>
        <v>1</v>
      </c>
      <c r="DE60" s="241" t="str">
        <f t="shared" si="14"/>
        <v/>
      </c>
      <c r="DF60" s="241" t="str">
        <f t="shared" si="15"/>
        <v/>
      </c>
      <c r="DG60" s="244" t="str">
        <f t="shared" si="16"/>
        <v/>
      </c>
      <c r="DH60" s="244" t="str">
        <f t="shared" si="17"/>
        <v/>
      </c>
      <c r="DI60" s="244" t="str">
        <f>IF(COUNTIF(PlayerAltNames,B60)&gt;0, B60, I60)</f>
        <v/>
      </c>
      <c r="DJ60" s="247" t="str">
        <f t="shared" ref="DJ60:DO60" si="139">IF(COUNTIF($I60,$DI60)&gt;0, J60, C60)</f>
        <v/>
      </c>
      <c r="DK60" s="247" t="str">
        <f t="shared" si="139"/>
        <v/>
      </c>
      <c r="DL60" s="247" t="str">
        <f t="shared" si="139"/>
        <v/>
      </c>
      <c r="DM60" s="247" t="str">
        <f t="shared" si="139"/>
        <v/>
      </c>
      <c r="DN60" s="247" t="str">
        <f t="shared" si="139"/>
        <v/>
      </c>
      <c r="DO60" s="247" t="str">
        <f t="shared" si="139"/>
        <v/>
      </c>
      <c r="DP60" s="244" t="str">
        <f t="shared" si="19"/>
        <v/>
      </c>
      <c r="DQ60" s="244" t="str">
        <f t="shared" ref="DQ60:DV60" si="140">IF(COUNTIF($I60,$DP60), J60, C60)</f>
        <v/>
      </c>
      <c r="DR60" s="244" t="str">
        <f t="shared" si="140"/>
        <v/>
      </c>
      <c r="DS60" s="244" t="str">
        <f t="shared" si="140"/>
        <v/>
      </c>
      <c r="DT60" s="244" t="str">
        <f t="shared" si="140"/>
        <v/>
      </c>
      <c r="DU60" s="244" t="str">
        <f t="shared" si="140"/>
        <v/>
      </c>
      <c r="DV60" s="244" t="str">
        <f t="shared" si="140"/>
        <v/>
      </c>
      <c r="DW60" s="241" t="str">
        <f>IF(HomePage!C71 &lt;&gt; "", IFS(AND(P60 = 1, COUNTIF(PlayerAltNames, B60)&gt;0), "Win", AND(P60 = 1, COUNTIF(PlayerAltNames, I60)&gt;0), "Loss", AND(P60 = 2, COUNTIF(PlayerAltNames, I60)&gt;0), "Win", AND(P60 = 2, COUNTIF(PlayerAltNames, B60)&gt;0), "Loss"), "")</f>
        <v/>
      </c>
      <c r="DX60" s="244"/>
      <c r="DY60" s="244" t="str">
        <f t="shared" si="21"/>
        <v>#N/A</v>
      </c>
      <c r="DZ60" s="244" t="str">
        <f t="shared" si="22"/>
        <v>#N/A</v>
      </c>
      <c r="EA60" s="244" t="str">
        <f t="shared" si="23"/>
        <v>#N/A</v>
      </c>
      <c r="EB60" s="244" t="str">
        <f t="shared" si="24"/>
        <v>#N/A</v>
      </c>
      <c r="EC60" s="244" t="str">
        <f t="shared" si="25"/>
        <v>#N/A</v>
      </c>
      <c r="ED60" s="244" t="str">
        <f t="shared" si="26"/>
        <v>#N/A</v>
      </c>
      <c r="EE60" s="244" t="str">
        <f t="shared" si="27"/>
        <v> -&gt; </v>
      </c>
      <c r="EF60" s="244" t="str">
        <f t="shared" si="28"/>
        <v/>
      </c>
      <c r="EG60" s="244"/>
      <c r="EH60" s="244"/>
      <c r="EI60" s="245"/>
    </row>
    <row r="61">
      <c r="A61" s="248"/>
      <c r="B61" s="239" t="str">
        <f>IF(HomePage!C72&lt;&gt;"", REPLAYTODATA(HomePage!C72), "")</f>
        <v/>
      </c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L61" s="244"/>
      <c r="BM61" s="244"/>
      <c r="BN61" s="244"/>
      <c r="BO61" s="244"/>
      <c r="BP61" s="244"/>
      <c r="BQ61" s="244"/>
      <c r="BR61" s="244"/>
      <c r="BS61" s="244"/>
      <c r="BT61" s="244"/>
      <c r="BU61" s="244"/>
      <c r="BV61" s="244"/>
      <c r="BW61" s="244"/>
      <c r="BX61" s="244"/>
      <c r="BY61" s="244"/>
      <c r="BZ61" s="244"/>
      <c r="CA61" s="244"/>
      <c r="CB61" s="244"/>
      <c r="CC61" s="244"/>
      <c r="CD61" s="244"/>
      <c r="CE61" s="244"/>
      <c r="CF61" s="244"/>
      <c r="CG61" s="244"/>
      <c r="CH61" s="244"/>
      <c r="CI61" s="244"/>
      <c r="CJ61" s="244"/>
      <c r="CK61" s="244"/>
      <c r="CL61" s="244"/>
      <c r="CM61" s="244"/>
      <c r="CN61" s="244"/>
      <c r="CO61" s="244"/>
      <c r="CP61" s="244"/>
      <c r="CQ61" s="244"/>
      <c r="CR61" s="244"/>
      <c r="CS61" s="244"/>
      <c r="CT61" s="241" t="str">
        <f t="shared" si="3"/>
        <v/>
      </c>
      <c r="CU61" s="246" t="str">
        <f t="shared" si="4"/>
        <v/>
      </c>
      <c r="CV61" s="241" t="str">
        <f t="shared" si="5"/>
        <v/>
      </c>
      <c r="CW61" s="246" t="str">
        <f t="shared" si="6"/>
        <v/>
      </c>
      <c r="CX61" s="241" t="str">
        <f t="shared" si="7"/>
        <v/>
      </c>
      <c r="CY61" s="241" t="str">
        <f t="shared" si="8"/>
        <v/>
      </c>
      <c r="CZ61" s="241" t="str">
        <f t="shared" si="9"/>
        <v/>
      </c>
      <c r="DA61" s="246" t="str">
        <f t="shared" si="10"/>
        <v/>
      </c>
      <c r="DB61" s="246" t="str">
        <f t="shared" si="11"/>
        <v/>
      </c>
      <c r="DC61" s="246" t="str">
        <f t="shared" si="12"/>
        <v/>
      </c>
      <c r="DD61" s="241" t="str">
        <f t="shared" si="13"/>
        <v>1</v>
      </c>
      <c r="DE61" s="241" t="str">
        <f t="shared" si="14"/>
        <v/>
      </c>
      <c r="DF61" s="241" t="str">
        <f t="shared" si="15"/>
        <v/>
      </c>
      <c r="DG61" s="244" t="str">
        <f t="shared" si="16"/>
        <v/>
      </c>
      <c r="DH61" s="244" t="str">
        <f t="shared" si="17"/>
        <v/>
      </c>
      <c r="DI61" s="244" t="str">
        <f>IF(COUNTIF(PlayerAltNames,B61)&gt;0, B61, I61)</f>
        <v/>
      </c>
      <c r="DJ61" s="247" t="str">
        <f t="shared" ref="DJ61:DO61" si="141">IF(COUNTIF($I61,$DI61)&gt;0, J61, C61)</f>
        <v/>
      </c>
      <c r="DK61" s="247" t="str">
        <f t="shared" si="141"/>
        <v/>
      </c>
      <c r="DL61" s="247" t="str">
        <f t="shared" si="141"/>
        <v/>
      </c>
      <c r="DM61" s="247" t="str">
        <f t="shared" si="141"/>
        <v/>
      </c>
      <c r="DN61" s="247" t="str">
        <f t="shared" si="141"/>
        <v/>
      </c>
      <c r="DO61" s="247" t="str">
        <f t="shared" si="141"/>
        <v/>
      </c>
      <c r="DP61" s="244" t="str">
        <f t="shared" si="19"/>
        <v/>
      </c>
      <c r="DQ61" s="244" t="str">
        <f t="shared" ref="DQ61:DV61" si="142">IF(COUNTIF($I61,$DP61), J61, C61)</f>
        <v/>
      </c>
      <c r="DR61" s="244" t="str">
        <f t="shared" si="142"/>
        <v/>
      </c>
      <c r="DS61" s="244" t="str">
        <f t="shared" si="142"/>
        <v/>
      </c>
      <c r="DT61" s="244" t="str">
        <f t="shared" si="142"/>
        <v/>
      </c>
      <c r="DU61" s="244" t="str">
        <f t="shared" si="142"/>
        <v/>
      </c>
      <c r="DV61" s="244" t="str">
        <f t="shared" si="142"/>
        <v/>
      </c>
      <c r="DW61" s="241" t="str">
        <f>IF(HomePage!C72 &lt;&gt; "", IFS(AND(P61 = 1, COUNTIF(PlayerAltNames, B61)&gt;0), "Win", AND(P61 = 1, COUNTIF(PlayerAltNames, I61)&gt;0), "Loss", AND(P61 = 2, COUNTIF(PlayerAltNames, I61)&gt;0), "Win", AND(P61 = 2, COUNTIF(PlayerAltNames, B61)&gt;0), "Loss"), "")</f>
        <v/>
      </c>
      <c r="DX61" s="244"/>
      <c r="DY61" s="244" t="str">
        <f t="shared" si="21"/>
        <v>#N/A</v>
      </c>
      <c r="DZ61" s="244" t="str">
        <f t="shared" si="22"/>
        <v>#N/A</v>
      </c>
      <c r="EA61" s="244" t="str">
        <f t="shared" si="23"/>
        <v>#N/A</v>
      </c>
      <c r="EB61" s="244" t="str">
        <f t="shared" si="24"/>
        <v>#N/A</v>
      </c>
      <c r="EC61" s="244" t="str">
        <f t="shared" si="25"/>
        <v>#N/A</v>
      </c>
      <c r="ED61" s="244" t="str">
        <f t="shared" si="26"/>
        <v>#N/A</v>
      </c>
      <c r="EE61" s="244" t="str">
        <f t="shared" si="27"/>
        <v> -&gt; </v>
      </c>
      <c r="EF61" s="244" t="str">
        <f t="shared" si="28"/>
        <v/>
      </c>
      <c r="EG61" s="244"/>
      <c r="EH61" s="244"/>
      <c r="EI61" s="245"/>
    </row>
    <row r="62">
      <c r="A62" s="248"/>
      <c r="B62" s="239" t="str">
        <f>IF(HomePage!C73&lt;&gt;"", REPLAYTODATA(HomePage!C73), "")</f>
        <v/>
      </c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4"/>
      <c r="AS62" s="244"/>
      <c r="AT62" s="244"/>
      <c r="AU62" s="244"/>
      <c r="AV62" s="244"/>
      <c r="AW62" s="244"/>
      <c r="AX62" s="244"/>
      <c r="AY62" s="244"/>
      <c r="AZ62" s="244"/>
      <c r="BA62" s="244"/>
      <c r="BB62" s="244"/>
      <c r="BC62" s="244"/>
      <c r="BD62" s="244"/>
      <c r="BE62" s="244"/>
      <c r="BF62" s="244"/>
      <c r="BG62" s="244"/>
      <c r="BH62" s="244"/>
      <c r="BI62" s="244"/>
      <c r="BJ62" s="244"/>
      <c r="BK62" s="244"/>
      <c r="BL62" s="244"/>
      <c r="BM62" s="244"/>
      <c r="BN62" s="244"/>
      <c r="BO62" s="244"/>
      <c r="BP62" s="244"/>
      <c r="BQ62" s="244"/>
      <c r="BR62" s="244"/>
      <c r="BS62" s="244"/>
      <c r="BT62" s="244"/>
      <c r="BU62" s="244"/>
      <c r="BV62" s="244"/>
      <c r="BW62" s="244"/>
      <c r="BX62" s="244"/>
      <c r="BY62" s="244"/>
      <c r="BZ62" s="244"/>
      <c r="CA62" s="244"/>
      <c r="CB62" s="244"/>
      <c r="CC62" s="244"/>
      <c r="CD62" s="244"/>
      <c r="CE62" s="244"/>
      <c r="CF62" s="244"/>
      <c r="CG62" s="244"/>
      <c r="CH62" s="244"/>
      <c r="CI62" s="244"/>
      <c r="CJ62" s="244"/>
      <c r="CK62" s="244"/>
      <c r="CL62" s="244"/>
      <c r="CM62" s="244"/>
      <c r="CN62" s="244"/>
      <c r="CO62" s="244"/>
      <c r="CP62" s="244"/>
      <c r="CQ62" s="244"/>
      <c r="CR62" s="244"/>
      <c r="CS62" s="244"/>
      <c r="CT62" s="241" t="str">
        <f t="shared" si="3"/>
        <v/>
      </c>
      <c r="CU62" s="246" t="str">
        <f t="shared" si="4"/>
        <v/>
      </c>
      <c r="CV62" s="241" t="str">
        <f t="shared" si="5"/>
        <v/>
      </c>
      <c r="CW62" s="246" t="str">
        <f t="shared" si="6"/>
        <v/>
      </c>
      <c r="CX62" s="241" t="str">
        <f t="shared" si="7"/>
        <v/>
      </c>
      <c r="CY62" s="241" t="str">
        <f t="shared" si="8"/>
        <v/>
      </c>
      <c r="CZ62" s="241" t="str">
        <f t="shared" si="9"/>
        <v/>
      </c>
      <c r="DA62" s="246" t="str">
        <f t="shared" si="10"/>
        <v/>
      </c>
      <c r="DB62" s="246" t="str">
        <f t="shared" si="11"/>
        <v/>
      </c>
      <c r="DC62" s="246" t="str">
        <f t="shared" si="12"/>
        <v/>
      </c>
      <c r="DD62" s="241" t="str">
        <f t="shared" si="13"/>
        <v>1</v>
      </c>
      <c r="DE62" s="241" t="str">
        <f t="shared" si="14"/>
        <v/>
      </c>
      <c r="DF62" s="241" t="str">
        <f t="shared" si="15"/>
        <v/>
      </c>
      <c r="DG62" s="244" t="str">
        <f t="shared" si="16"/>
        <v/>
      </c>
      <c r="DH62" s="244" t="str">
        <f t="shared" si="17"/>
        <v/>
      </c>
      <c r="DI62" s="244" t="str">
        <f>IF(COUNTIF(PlayerAltNames,B62)&gt;0, B62, I62)</f>
        <v/>
      </c>
      <c r="DJ62" s="247" t="str">
        <f t="shared" ref="DJ62:DO62" si="143">IF(COUNTIF($I62,$DI62)&gt;0, J62, C62)</f>
        <v/>
      </c>
      <c r="DK62" s="247" t="str">
        <f t="shared" si="143"/>
        <v/>
      </c>
      <c r="DL62" s="247" t="str">
        <f t="shared" si="143"/>
        <v/>
      </c>
      <c r="DM62" s="247" t="str">
        <f t="shared" si="143"/>
        <v/>
      </c>
      <c r="DN62" s="247" t="str">
        <f t="shared" si="143"/>
        <v/>
      </c>
      <c r="DO62" s="247" t="str">
        <f t="shared" si="143"/>
        <v/>
      </c>
      <c r="DP62" s="244" t="str">
        <f t="shared" si="19"/>
        <v/>
      </c>
      <c r="DQ62" s="244" t="str">
        <f t="shared" ref="DQ62:DV62" si="144">IF(COUNTIF($I62,$DP62), J62, C62)</f>
        <v/>
      </c>
      <c r="DR62" s="244" t="str">
        <f t="shared" si="144"/>
        <v/>
      </c>
      <c r="DS62" s="244" t="str">
        <f t="shared" si="144"/>
        <v/>
      </c>
      <c r="DT62" s="244" t="str">
        <f t="shared" si="144"/>
        <v/>
      </c>
      <c r="DU62" s="244" t="str">
        <f t="shared" si="144"/>
        <v/>
      </c>
      <c r="DV62" s="244" t="str">
        <f t="shared" si="144"/>
        <v/>
      </c>
      <c r="DW62" s="241" t="str">
        <f>IF(HomePage!C73 &lt;&gt; "", IFS(AND(P62 = 1, COUNTIF(PlayerAltNames, B62)&gt;0), "Win", AND(P62 = 1, COUNTIF(PlayerAltNames, I62)&gt;0), "Loss", AND(P62 = 2, COUNTIF(PlayerAltNames, I62)&gt;0), "Win", AND(P62 = 2, COUNTIF(PlayerAltNames, B62)&gt;0), "Loss"), "")</f>
        <v/>
      </c>
      <c r="DX62" s="244"/>
      <c r="DY62" s="244" t="str">
        <f t="shared" si="21"/>
        <v>#N/A</v>
      </c>
      <c r="DZ62" s="244" t="str">
        <f t="shared" si="22"/>
        <v>#N/A</v>
      </c>
      <c r="EA62" s="244" t="str">
        <f t="shared" si="23"/>
        <v>#N/A</v>
      </c>
      <c r="EB62" s="244" t="str">
        <f t="shared" si="24"/>
        <v>#N/A</v>
      </c>
      <c r="EC62" s="244" t="str">
        <f t="shared" si="25"/>
        <v>#N/A</v>
      </c>
      <c r="ED62" s="244" t="str">
        <f t="shared" si="26"/>
        <v>#N/A</v>
      </c>
      <c r="EE62" s="244" t="str">
        <f t="shared" si="27"/>
        <v> -&gt; </v>
      </c>
      <c r="EF62" s="244" t="str">
        <f t="shared" si="28"/>
        <v/>
      </c>
      <c r="EG62" s="244"/>
      <c r="EH62" s="244"/>
      <c r="EI62" s="245"/>
    </row>
    <row r="63">
      <c r="A63" s="248"/>
      <c r="B63" s="239" t="str">
        <f>IF(HomePage!C74&lt;&gt;"", REPLAYTODATA(HomePage!C74), "")</f>
        <v/>
      </c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4"/>
      <c r="AS63" s="244"/>
      <c r="AT63" s="244"/>
      <c r="AU63" s="244"/>
      <c r="AV63" s="244"/>
      <c r="AW63" s="244"/>
      <c r="AX63" s="244"/>
      <c r="AY63" s="244"/>
      <c r="AZ63" s="244"/>
      <c r="BA63" s="244"/>
      <c r="BB63" s="244"/>
      <c r="BC63" s="244"/>
      <c r="BD63" s="244"/>
      <c r="BE63" s="244"/>
      <c r="BF63" s="244"/>
      <c r="BG63" s="244"/>
      <c r="BH63" s="244"/>
      <c r="BI63" s="244"/>
      <c r="BJ63" s="244"/>
      <c r="BK63" s="244"/>
      <c r="BL63" s="244"/>
      <c r="BM63" s="244"/>
      <c r="BN63" s="244"/>
      <c r="BO63" s="244"/>
      <c r="BP63" s="244"/>
      <c r="BQ63" s="244"/>
      <c r="BR63" s="244"/>
      <c r="BS63" s="244"/>
      <c r="BT63" s="244"/>
      <c r="BU63" s="244"/>
      <c r="BV63" s="244"/>
      <c r="BW63" s="244"/>
      <c r="BX63" s="244"/>
      <c r="BY63" s="244"/>
      <c r="BZ63" s="244"/>
      <c r="CA63" s="244"/>
      <c r="CB63" s="244"/>
      <c r="CC63" s="244"/>
      <c r="CD63" s="244"/>
      <c r="CE63" s="244"/>
      <c r="CF63" s="244"/>
      <c r="CG63" s="244"/>
      <c r="CH63" s="244"/>
      <c r="CI63" s="244"/>
      <c r="CJ63" s="244"/>
      <c r="CK63" s="244"/>
      <c r="CL63" s="244"/>
      <c r="CM63" s="244"/>
      <c r="CN63" s="244"/>
      <c r="CO63" s="244"/>
      <c r="CP63" s="244"/>
      <c r="CQ63" s="244"/>
      <c r="CR63" s="244"/>
      <c r="CS63" s="244"/>
      <c r="CT63" s="241" t="str">
        <f t="shared" si="3"/>
        <v/>
      </c>
      <c r="CU63" s="246" t="str">
        <f t="shared" si="4"/>
        <v/>
      </c>
      <c r="CV63" s="241" t="str">
        <f t="shared" si="5"/>
        <v/>
      </c>
      <c r="CW63" s="246" t="str">
        <f t="shared" si="6"/>
        <v/>
      </c>
      <c r="CX63" s="241" t="str">
        <f t="shared" si="7"/>
        <v/>
      </c>
      <c r="CY63" s="241" t="str">
        <f t="shared" si="8"/>
        <v/>
      </c>
      <c r="CZ63" s="241" t="str">
        <f t="shared" si="9"/>
        <v/>
      </c>
      <c r="DA63" s="246" t="str">
        <f t="shared" si="10"/>
        <v/>
      </c>
      <c r="DB63" s="246" t="str">
        <f t="shared" si="11"/>
        <v/>
      </c>
      <c r="DC63" s="246" t="str">
        <f t="shared" si="12"/>
        <v/>
      </c>
      <c r="DD63" s="241" t="str">
        <f t="shared" si="13"/>
        <v>1</v>
      </c>
      <c r="DE63" s="241" t="str">
        <f t="shared" si="14"/>
        <v/>
      </c>
      <c r="DF63" s="241" t="str">
        <f t="shared" si="15"/>
        <v/>
      </c>
      <c r="DG63" s="244" t="str">
        <f t="shared" si="16"/>
        <v/>
      </c>
      <c r="DH63" s="244" t="str">
        <f t="shared" si="17"/>
        <v/>
      </c>
      <c r="DI63" s="244" t="str">
        <f>IF(COUNTIF(PlayerAltNames,B63)&gt;0, B63, I63)</f>
        <v/>
      </c>
      <c r="DJ63" s="247" t="str">
        <f t="shared" ref="DJ63:DO63" si="145">IF(COUNTIF($I63,$DI63)&gt;0, J63, C63)</f>
        <v/>
      </c>
      <c r="DK63" s="247" t="str">
        <f t="shared" si="145"/>
        <v/>
      </c>
      <c r="DL63" s="247" t="str">
        <f t="shared" si="145"/>
        <v/>
      </c>
      <c r="DM63" s="247" t="str">
        <f t="shared" si="145"/>
        <v/>
      </c>
      <c r="DN63" s="247" t="str">
        <f t="shared" si="145"/>
        <v/>
      </c>
      <c r="DO63" s="247" t="str">
        <f t="shared" si="145"/>
        <v/>
      </c>
      <c r="DP63" s="244" t="str">
        <f t="shared" si="19"/>
        <v/>
      </c>
      <c r="DQ63" s="244" t="str">
        <f t="shared" ref="DQ63:DV63" si="146">IF(COUNTIF($I63,$DP63), J63, C63)</f>
        <v/>
      </c>
      <c r="DR63" s="244" t="str">
        <f t="shared" si="146"/>
        <v/>
      </c>
      <c r="DS63" s="244" t="str">
        <f t="shared" si="146"/>
        <v/>
      </c>
      <c r="DT63" s="244" t="str">
        <f t="shared" si="146"/>
        <v/>
      </c>
      <c r="DU63" s="244" t="str">
        <f t="shared" si="146"/>
        <v/>
      </c>
      <c r="DV63" s="244" t="str">
        <f t="shared" si="146"/>
        <v/>
      </c>
      <c r="DW63" s="241" t="str">
        <f>IF(HomePage!C74 &lt;&gt; "", IFS(AND(P63 = 1, COUNTIF(PlayerAltNames, B63)&gt;0), "Win", AND(P63 = 1, COUNTIF(PlayerAltNames, I63)&gt;0), "Loss", AND(P63 = 2, COUNTIF(PlayerAltNames, I63)&gt;0), "Win", AND(P63 = 2, COUNTIF(PlayerAltNames, B63)&gt;0), "Loss"), "")</f>
        <v/>
      </c>
      <c r="DX63" s="244"/>
      <c r="DY63" s="244" t="str">
        <f t="shared" si="21"/>
        <v>#N/A</v>
      </c>
      <c r="DZ63" s="244" t="str">
        <f t="shared" si="22"/>
        <v>#N/A</v>
      </c>
      <c r="EA63" s="244" t="str">
        <f t="shared" si="23"/>
        <v>#N/A</v>
      </c>
      <c r="EB63" s="244" t="str">
        <f t="shared" si="24"/>
        <v>#N/A</v>
      </c>
      <c r="EC63" s="244" t="str">
        <f t="shared" si="25"/>
        <v>#N/A</v>
      </c>
      <c r="ED63" s="244" t="str">
        <f t="shared" si="26"/>
        <v>#N/A</v>
      </c>
      <c r="EE63" s="244" t="str">
        <f t="shared" si="27"/>
        <v> -&gt; </v>
      </c>
      <c r="EF63" s="244" t="str">
        <f t="shared" si="28"/>
        <v/>
      </c>
      <c r="EG63" s="244"/>
      <c r="EH63" s="244"/>
      <c r="EI63" s="245"/>
    </row>
    <row r="64">
      <c r="A64" s="248"/>
      <c r="B64" s="239" t="str">
        <f>IF(HomePage!C75&lt;&gt;"", REPLAYTODATA(HomePage!C75), "")</f>
        <v/>
      </c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/>
      <c r="AT64" s="244"/>
      <c r="AU64" s="244"/>
      <c r="AV64" s="244"/>
      <c r="AW64" s="244"/>
      <c r="AX64" s="244"/>
      <c r="AY64" s="244"/>
      <c r="AZ64" s="244"/>
      <c r="BA64" s="244"/>
      <c r="BB64" s="244"/>
      <c r="BC64" s="244"/>
      <c r="BD64" s="244"/>
      <c r="BE64" s="244"/>
      <c r="BF64" s="244"/>
      <c r="BG64" s="244"/>
      <c r="BH64" s="244"/>
      <c r="BI64" s="244"/>
      <c r="BJ64" s="244"/>
      <c r="BK64" s="244"/>
      <c r="BL64" s="244"/>
      <c r="BM64" s="244"/>
      <c r="BN64" s="244"/>
      <c r="BO64" s="244"/>
      <c r="BP64" s="244"/>
      <c r="BQ64" s="244"/>
      <c r="BR64" s="244"/>
      <c r="BS64" s="244"/>
      <c r="BT64" s="244"/>
      <c r="BU64" s="244"/>
      <c r="BV64" s="244"/>
      <c r="BW64" s="244"/>
      <c r="BX64" s="244"/>
      <c r="BY64" s="244"/>
      <c r="BZ64" s="244"/>
      <c r="CA64" s="244"/>
      <c r="CB64" s="244"/>
      <c r="CC64" s="244"/>
      <c r="CD64" s="244"/>
      <c r="CE64" s="244"/>
      <c r="CF64" s="244"/>
      <c r="CG64" s="244"/>
      <c r="CH64" s="244"/>
      <c r="CI64" s="244"/>
      <c r="CJ64" s="244"/>
      <c r="CK64" s="244"/>
      <c r="CL64" s="244"/>
      <c r="CM64" s="244"/>
      <c r="CN64" s="244"/>
      <c r="CO64" s="244"/>
      <c r="CP64" s="244"/>
      <c r="CQ64" s="244"/>
      <c r="CR64" s="244"/>
      <c r="CS64" s="244"/>
      <c r="CT64" s="241" t="str">
        <f t="shared" si="3"/>
        <v/>
      </c>
      <c r="CU64" s="246" t="str">
        <f t="shared" si="4"/>
        <v/>
      </c>
      <c r="CV64" s="241" t="str">
        <f t="shared" si="5"/>
        <v/>
      </c>
      <c r="CW64" s="246" t="str">
        <f t="shared" si="6"/>
        <v/>
      </c>
      <c r="CX64" s="241" t="str">
        <f t="shared" si="7"/>
        <v/>
      </c>
      <c r="CY64" s="241" t="str">
        <f t="shared" si="8"/>
        <v/>
      </c>
      <c r="CZ64" s="241" t="str">
        <f t="shared" si="9"/>
        <v/>
      </c>
      <c r="DA64" s="246" t="str">
        <f t="shared" si="10"/>
        <v/>
      </c>
      <c r="DB64" s="246" t="str">
        <f t="shared" si="11"/>
        <v/>
      </c>
      <c r="DC64" s="246" t="str">
        <f t="shared" si="12"/>
        <v/>
      </c>
      <c r="DD64" s="241" t="str">
        <f t="shared" si="13"/>
        <v>1</v>
      </c>
      <c r="DE64" s="241" t="str">
        <f t="shared" si="14"/>
        <v/>
      </c>
      <c r="DF64" s="241" t="str">
        <f t="shared" si="15"/>
        <v/>
      </c>
      <c r="DG64" s="244" t="str">
        <f t="shared" si="16"/>
        <v/>
      </c>
      <c r="DH64" s="244" t="str">
        <f t="shared" si="17"/>
        <v/>
      </c>
      <c r="DI64" s="244" t="str">
        <f>IF(COUNTIF(PlayerAltNames,B64)&gt;0, B64, I64)</f>
        <v/>
      </c>
      <c r="DJ64" s="247" t="str">
        <f t="shared" ref="DJ64:DO64" si="147">IF(COUNTIF($I64,$DI64)&gt;0, J64, C64)</f>
        <v/>
      </c>
      <c r="DK64" s="247" t="str">
        <f t="shared" si="147"/>
        <v/>
      </c>
      <c r="DL64" s="247" t="str">
        <f t="shared" si="147"/>
        <v/>
      </c>
      <c r="DM64" s="247" t="str">
        <f t="shared" si="147"/>
        <v/>
      </c>
      <c r="DN64" s="247" t="str">
        <f t="shared" si="147"/>
        <v/>
      </c>
      <c r="DO64" s="247" t="str">
        <f t="shared" si="147"/>
        <v/>
      </c>
      <c r="DP64" s="244" t="str">
        <f t="shared" si="19"/>
        <v/>
      </c>
      <c r="DQ64" s="244" t="str">
        <f t="shared" ref="DQ64:DV64" si="148">IF(COUNTIF($I64,$DP64), J64, C64)</f>
        <v/>
      </c>
      <c r="DR64" s="244" t="str">
        <f t="shared" si="148"/>
        <v/>
      </c>
      <c r="DS64" s="244" t="str">
        <f t="shared" si="148"/>
        <v/>
      </c>
      <c r="DT64" s="244" t="str">
        <f t="shared" si="148"/>
        <v/>
      </c>
      <c r="DU64" s="244" t="str">
        <f t="shared" si="148"/>
        <v/>
      </c>
      <c r="DV64" s="244" t="str">
        <f t="shared" si="148"/>
        <v/>
      </c>
      <c r="DW64" s="241" t="str">
        <f>IF(HomePage!C75 &lt;&gt; "", IFS(AND(P64 = 1, COUNTIF(PlayerAltNames, B64)&gt;0), "Win", AND(P64 = 1, COUNTIF(PlayerAltNames, I64)&gt;0), "Loss", AND(P64 = 2, COUNTIF(PlayerAltNames, I64)&gt;0), "Win", AND(P64 = 2, COUNTIF(PlayerAltNames, B64)&gt;0), "Loss"), "")</f>
        <v/>
      </c>
      <c r="DX64" s="244"/>
      <c r="DY64" s="244" t="str">
        <f t="shared" si="21"/>
        <v>#N/A</v>
      </c>
      <c r="DZ64" s="244" t="str">
        <f t="shared" si="22"/>
        <v>#N/A</v>
      </c>
      <c r="EA64" s="244" t="str">
        <f t="shared" si="23"/>
        <v>#N/A</v>
      </c>
      <c r="EB64" s="244" t="str">
        <f t="shared" si="24"/>
        <v>#N/A</v>
      </c>
      <c r="EC64" s="244" t="str">
        <f t="shared" si="25"/>
        <v>#N/A</v>
      </c>
      <c r="ED64" s="244" t="str">
        <f t="shared" si="26"/>
        <v>#N/A</v>
      </c>
      <c r="EE64" s="244" t="str">
        <f t="shared" si="27"/>
        <v> -&gt; </v>
      </c>
      <c r="EF64" s="244" t="str">
        <f t="shared" si="28"/>
        <v/>
      </c>
      <c r="EG64" s="244"/>
      <c r="EH64" s="244"/>
      <c r="EI64" s="245"/>
    </row>
    <row r="65">
      <c r="A65" s="248"/>
      <c r="B65" s="239" t="str">
        <f>IF(HomePage!C76&lt;&gt;"", REPLAYTODATA(HomePage!C76), "")</f>
        <v/>
      </c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  <c r="AD65" s="244"/>
      <c r="AE65" s="244"/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  <c r="AP65" s="244"/>
      <c r="AQ65" s="244"/>
      <c r="AR65" s="244"/>
      <c r="AS65" s="244"/>
      <c r="AT65" s="244"/>
      <c r="AU65" s="244"/>
      <c r="AV65" s="244"/>
      <c r="AW65" s="244"/>
      <c r="AX65" s="244"/>
      <c r="AY65" s="244"/>
      <c r="AZ65" s="244"/>
      <c r="BA65" s="244"/>
      <c r="BB65" s="244"/>
      <c r="BC65" s="244"/>
      <c r="BD65" s="244"/>
      <c r="BE65" s="244"/>
      <c r="BF65" s="244"/>
      <c r="BG65" s="244"/>
      <c r="BH65" s="244"/>
      <c r="BI65" s="244"/>
      <c r="BJ65" s="244"/>
      <c r="BK65" s="244"/>
      <c r="BL65" s="244"/>
      <c r="BM65" s="244"/>
      <c r="BN65" s="244"/>
      <c r="BO65" s="244"/>
      <c r="BP65" s="244"/>
      <c r="BQ65" s="244"/>
      <c r="BR65" s="244"/>
      <c r="BS65" s="244"/>
      <c r="BT65" s="244"/>
      <c r="BU65" s="244"/>
      <c r="BV65" s="244"/>
      <c r="BW65" s="244"/>
      <c r="BX65" s="244"/>
      <c r="BY65" s="244"/>
      <c r="BZ65" s="244"/>
      <c r="CA65" s="244"/>
      <c r="CB65" s="244"/>
      <c r="CC65" s="244"/>
      <c r="CD65" s="244"/>
      <c r="CE65" s="244"/>
      <c r="CF65" s="244"/>
      <c r="CG65" s="244"/>
      <c r="CH65" s="244"/>
      <c r="CI65" s="244"/>
      <c r="CJ65" s="244"/>
      <c r="CK65" s="244"/>
      <c r="CL65" s="244"/>
      <c r="CM65" s="244"/>
      <c r="CN65" s="244"/>
      <c r="CO65" s="244"/>
      <c r="CP65" s="244"/>
      <c r="CQ65" s="244"/>
      <c r="CR65" s="244"/>
      <c r="CS65" s="244"/>
      <c r="CT65" s="241" t="str">
        <f t="shared" si="3"/>
        <v/>
      </c>
      <c r="CU65" s="246" t="str">
        <f t="shared" si="4"/>
        <v/>
      </c>
      <c r="CV65" s="241" t="str">
        <f t="shared" si="5"/>
        <v/>
      </c>
      <c r="CW65" s="246" t="str">
        <f t="shared" si="6"/>
        <v/>
      </c>
      <c r="CX65" s="241" t="str">
        <f t="shared" si="7"/>
        <v/>
      </c>
      <c r="CY65" s="241" t="str">
        <f t="shared" si="8"/>
        <v/>
      </c>
      <c r="CZ65" s="241" t="str">
        <f t="shared" si="9"/>
        <v/>
      </c>
      <c r="DA65" s="246" t="str">
        <f t="shared" si="10"/>
        <v/>
      </c>
      <c r="DB65" s="246" t="str">
        <f t="shared" si="11"/>
        <v/>
      </c>
      <c r="DC65" s="246" t="str">
        <f t="shared" si="12"/>
        <v/>
      </c>
      <c r="DD65" s="241" t="str">
        <f t="shared" si="13"/>
        <v>1</v>
      </c>
      <c r="DE65" s="241" t="str">
        <f t="shared" si="14"/>
        <v/>
      </c>
      <c r="DF65" s="241" t="str">
        <f t="shared" si="15"/>
        <v/>
      </c>
      <c r="DG65" s="244" t="str">
        <f t="shared" si="16"/>
        <v/>
      </c>
      <c r="DH65" s="244" t="str">
        <f t="shared" si="17"/>
        <v/>
      </c>
      <c r="DI65" s="244" t="str">
        <f>IF(COUNTIF(PlayerAltNames,B65)&gt;0, B65, I65)</f>
        <v/>
      </c>
      <c r="DJ65" s="247" t="str">
        <f t="shared" ref="DJ65:DO65" si="149">IF(COUNTIF($I65,$DI65)&gt;0, J65, C65)</f>
        <v/>
      </c>
      <c r="DK65" s="247" t="str">
        <f t="shared" si="149"/>
        <v/>
      </c>
      <c r="DL65" s="247" t="str">
        <f t="shared" si="149"/>
        <v/>
      </c>
      <c r="DM65" s="247" t="str">
        <f t="shared" si="149"/>
        <v/>
      </c>
      <c r="DN65" s="247" t="str">
        <f t="shared" si="149"/>
        <v/>
      </c>
      <c r="DO65" s="247" t="str">
        <f t="shared" si="149"/>
        <v/>
      </c>
      <c r="DP65" s="244" t="str">
        <f t="shared" si="19"/>
        <v/>
      </c>
      <c r="DQ65" s="244" t="str">
        <f t="shared" ref="DQ65:DV65" si="150">IF(COUNTIF($I65,$DP65), J65, C65)</f>
        <v/>
      </c>
      <c r="DR65" s="244" t="str">
        <f t="shared" si="150"/>
        <v/>
      </c>
      <c r="DS65" s="244" t="str">
        <f t="shared" si="150"/>
        <v/>
      </c>
      <c r="DT65" s="244" t="str">
        <f t="shared" si="150"/>
        <v/>
      </c>
      <c r="DU65" s="244" t="str">
        <f t="shared" si="150"/>
        <v/>
      </c>
      <c r="DV65" s="244" t="str">
        <f t="shared" si="150"/>
        <v/>
      </c>
      <c r="DW65" s="241" t="str">
        <f>IF(HomePage!C76 &lt;&gt; "", IFS(AND(P65 = 1, COUNTIF(PlayerAltNames, B65)&gt;0), "Win", AND(P65 = 1, COUNTIF(PlayerAltNames, I65)&gt;0), "Loss", AND(P65 = 2, COUNTIF(PlayerAltNames, I65)&gt;0), "Win", AND(P65 = 2, COUNTIF(PlayerAltNames, B65)&gt;0), "Loss"), "")</f>
        <v/>
      </c>
      <c r="DX65" s="244"/>
      <c r="DY65" s="244" t="str">
        <f t="shared" si="21"/>
        <v>#N/A</v>
      </c>
      <c r="DZ65" s="244" t="str">
        <f t="shared" si="22"/>
        <v>#N/A</v>
      </c>
      <c r="EA65" s="244" t="str">
        <f t="shared" si="23"/>
        <v>#N/A</v>
      </c>
      <c r="EB65" s="244" t="str">
        <f t="shared" si="24"/>
        <v>#N/A</v>
      </c>
      <c r="EC65" s="244" t="str">
        <f t="shared" si="25"/>
        <v>#N/A</v>
      </c>
      <c r="ED65" s="244" t="str">
        <f t="shared" si="26"/>
        <v>#N/A</v>
      </c>
      <c r="EE65" s="244" t="str">
        <f t="shared" si="27"/>
        <v> -&gt; </v>
      </c>
      <c r="EF65" s="244" t="str">
        <f t="shared" si="28"/>
        <v/>
      </c>
      <c r="EG65" s="244"/>
      <c r="EH65" s="244"/>
      <c r="EI65" s="245"/>
    </row>
    <row r="66">
      <c r="A66" s="248"/>
      <c r="B66" s="239" t="str">
        <f>IF(HomePage!C77&lt;&gt;"", REPLAYTODATA(HomePage!C77), "")</f>
        <v/>
      </c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244"/>
      <c r="AR66" s="244"/>
      <c r="AS66" s="244"/>
      <c r="AT66" s="244"/>
      <c r="AU66" s="244"/>
      <c r="AV66" s="244"/>
      <c r="AW66" s="244"/>
      <c r="AX66" s="244"/>
      <c r="AY66" s="244"/>
      <c r="AZ66" s="244"/>
      <c r="BA66" s="244"/>
      <c r="BB66" s="244"/>
      <c r="BC66" s="244"/>
      <c r="BD66" s="244"/>
      <c r="BE66" s="244"/>
      <c r="BF66" s="244"/>
      <c r="BG66" s="244"/>
      <c r="BH66" s="244"/>
      <c r="BI66" s="244"/>
      <c r="BJ66" s="244"/>
      <c r="BK66" s="244"/>
      <c r="BL66" s="244"/>
      <c r="BM66" s="244"/>
      <c r="BN66" s="244"/>
      <c r="BO66" s="244"/>
      <c r="BP66" s="244"/>
      <c r="BQ66" s="244"/>
      <c r="BR66" s="244"/>
      <c r="BS66" s="244"/>
      <c r="BT66" s="244"/>
      <c r="BU66" s="244"/>
      <c r="BV66" s="244"/>
      <c r="BW66" s="244"/>
      <c r="BX66" s="244"/>
      <c r="BY66" s="244"/>
      <c r="BZ66" s="244"/>
      <c r="CA66" s="244"/>
      <c r="CB66" s="244"/>
      <c r="CC66" s="244"/>
      <c r="CD66" s="244"/>
      <c r="CE66" s="244"/>
      <c r="CF66" s="244"/>
      <c r="CG66" s="244"/>
      <c r="CH66" s="244"/>
      <c r="CI66" s="244"/>
      <c r="CJ66" s="244"/>
      <c r="CK66" s="244"/>
      <c r="CL66" s="244"/>
      <c r="CM66" s="244"/>
      <c r="CN66" s="244"/>
      <c r="CO66" s="244"/>
      <c r="CP66" s="244"/>
      <c r="CQ66" s="244"/>
      <c r="CR66" s="244"/>
      <c r="CS66" s="244"/>
      <c r="CT66" s="241" t="str">
        <f t="shared" si="3"/>
        <v/>
      </c>
      <c r="CU66" s="246" t="str">
        <f t="shared" si="4"/>
        <v/>
      </c>
      <c r="CV66" s="241" t="str">
        <f t="shared" si="5"/>
        <v/>
      </c>
      <c r="CW66" s="246" t="str">
        <f t="shared" si="6"/>
        <v/>
      </c>
      <c r="CX66" s="241" t="str">
        <f t="shared" si="7"/>
        <v/>
      </c>
      <c r="CY66" s="241" t="str">
        <f t="shared" si="8"/>
        <v/>
      </c>
      <c r="CZ66" s="241" t="str">
        <f t="shared" si="9"/>
        <v/>
      </c>
      <c r="DA66" s="246" t="str">
        <f t="shared" si="10"/>
        <v/>
      </c>
      <c r="DB66" s="246" t="str">
        <f t="shared" si="11"/>
        <v/>
      </c>
      <c r="DC66" s="246" t="str">
        <f t="shared" si="12"/>
        <v/>
      </c>
      <c r="DD66" s="241" t="str">
        <f t="shared" si="13"/>
        <v>1</v>
      </c>
      <c r="DE66" s="241" t="str">
        <f t="shared" si="14"/>
        <v/>
      </c>
      <c r="DF66" s="241" t="str">
        <f t="shared" si="15"/>
        <v/>
      </c>
      <c r="DG66" s="244" t="str">
        <f t="shared" si="16"/>
        <v/>
      </c>
      <c r="DH66" s="244" t="str">
        <f t="shared" si="17"/>
        <v/>
      </c>
      <c r="DI66" s="244" t="str">
        <f>IF(COUNTIF(PlayerAltNames,B66)&gt;0, B66, I66)</f>
        <v/>
      </c>
      <c r="DJ66" s="247" t="str">
        <f t="shared" ref="DJ66:DO66" si="151">IF(COUNTIF($I66,$DI66)&gt;0, J66, C66)</f>
        <v/>
      </c>
      <c r="DK66" s="247" t="str">
        <f t="shared" si="151"/>
        <v/>
      </c>
      <c r="DL66" s="247" t="str">
        <f t="shared" si="151"/>
        <v/>
      </c>
      <c r="DM66" s="247" t="str">
        <f t="shared" si="151"/>
        <v/>
      </c>
      <c r="DN66" s="247" t="str">
        <f t="shared" si="151"/>
        <v/>
      </c>
      <c r="DO66" s="247" t="str">
        <f t="shared" si="151"/>
        <v/>
      </c>
      <c r="DP66" s="244" t="str">
        <f t="shared" si="19"/>
        <v/>
      </c>
      <c r="DQ66" s="244" t="str">
        <f t="shared" ref="DQ66:DV66" si="152">IF(COUNTIF($I66,$DP66), J66, C66)</f>
        <v/>
      </c>
      <c r="DR66" s="244" t="str">
        <f t="shared" si="152"/>
        <v/>
      </c>
      <c r="DS66" s="244" t="str">
        <f t="shared" si="152"/>
        <v/>
      </c>
      <c r="DT66" s="244" t="str">
        <f t="shared" si="152"/>
        <v/>
      </c>
      <c r="DU66" s="244" t="str">
        <f t="shared" si="152"/>
        <v/>
      </c>
      <c r="DV66" s="244" t="str">
        <f t="shared" si="152"/>
        <v/>
      </c>
      <c r="DW66" s="241" t="str">
        <f>IF(HomePage!C77 &lt;&gt; "", IFS(AND(P66 = 1, COUNTIF(PlayerAltNames, B66)&gt;0), "Win", AND(P66 = 1, COUNTIF(PlayerAltNames, I66)&gt;0), "Loss", AND(P66 = 2, COUNTIF(PlayerAltNames, I66)&gt;0), "Win", AND(P66 = 2, COUNTIF(PlayerAltNames, B66)&gt;0), "Loss"), "")</f>
        <v/>
      </c>
      <c r="DX66" s="244"/>
      <c r="DY66" s="244" t="str">
        <f t="shared" si="21"/>
        <v>#N/A</v>
      </c>
      <c r="DZ66" s="244" t="str">
        <f t="shared" si="22"/>
        <v>#N/A</v>
      </c>
      <c r="EA66" s="244" t="str">
        <f t="shared" si="23"/>
        <v>#N/A</v>
      </c>
      <c r="EB66" s="244" t="str">
        <f t="shared" si="24"/>
        <v>#N/A</v>
      </c>
      <c r="EC66" s="244" t="str">
        <f t="shared" si="25"/>
        <v>#N/A</v>
      </c>
      <c r="ED66" s="244" t="str">
        <f t="shared" si="26"/>
        <v>#N/A</v>
      </c>
      <c r="EE66" s="244" t="str">
        <f t="shared" si="27"/>
        <v> -&gt; </v>
      </c>
      <c r="EF66" s="244" t="str">
        <f t="shared" si="28"/>
        <v/>
      </c>
      <c r="EG66" s="244"/>
      <c r="EH66" s="244"/>
      <c r="EI66" s="245"/>
    </row>
    <row r="67">
      <c r="A67" s="248"/>
      <c r="B67" s="239" t="str">
        <f>IF(HomePage!C78&lt;&gt;"", REPLAYTODATA(HomePage!C78), "")</f>
        <v/>
      </c>
      <c r="C67" s="236"/>
      <c r="D67" s="236"/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  <c r="AN67" s="244"/>
      <c r="AO67" s="244"/>
      <c r="AP67" s="244"/>
      <c r="AQ67" s="244"/>
      <c r="AR67" s="244"/>
      <c r="AS67" s="244"/>
      <c r="AT67" s="244"/>
      <c r="AU67" s="244"/>
      <c r="AV67" s="244"/>
      <c r="AW67" s="244"/>
      <c r="AX67" s="244"/>
      <c r="AY67" s="244"/>
      <c r="AZ67" s="244"/>
      <c r="BA67" s="244"/>
      <c r="BB67" s="244"/>
      <c r="BC67" s="244"/>
      <c r="BD67" s="244"/>
      <c r="BE67" s="244"/>
      <c r="BF67" s="244"/>
      <c r="BG67" s="244"/>
      <c r="BH67" s="244"/>
      <c r="BI67" s="244"/>
      <c r="BJ67" s="244"/>
      <c r="BK67" s="244"/>
      <c r="BL67" s="244"/>
      <c r="BM67" s="244"/>
      <c r="BN67" s="244"/>
      <c r="BO67" s="244"/>
      <c r="BP67" s="244"/>
      <c r="BQ67" s="244"/>
      <c r="BR67" s="244"/>
      <c r="BS67" s="244"/>
      <c r="BT67" s="244"/>
      <c r="BU67" s="244"/>
      <c r="BV67" s="244"/>
      <c r="BW67" s="244"/>
      <c r="BX67" s="244"/>
      <c r="BY67" s="244"/>
      <c r="BZ67" s="244"/>
      <c r="CA67" s="244"/>
      <c r="CB67" s="244"/>
      <c r="CC67" s="244"/>
      <c r="CD67" s="244"/>
      <c r="CE67" s="244"/>
      <c r="CF67" s="244"/>
      <c r="CG67" s="244"/>
      <c r="CH67" s="244"/>
      <c r="CI67" s="244"/>
      <c r="CJ67" s="244"/>
      <c r="CK67" s="244"/>
      <c r="CL67" s="244"/>
      <c r="CM67" s="244"/>
      <c r="CN67" s="244"/>
      <c r="CO67" s="244"/>
      <c r="CP67" s="244"/>
      <c r="CQ67" s="244"/>
      <c r="CR67" s="244"/>
      <c r="CS67" s="244"/>
      <c r="CT67" s="241" t="str">
        <f t="shared" si="3"/>
        <v/>
      </c>
      <c r="CU67" s="246" t="str">
        <f t="shared" si="4"/>
        <v/>
      </c>
      <c r="CV67" s="241" t="str">
        <f t="shared" si="5"/>
        <v/>
      </c>
      <c r="CW67" s="246" t="str">
        <f t="shared" si="6"/>
        <v/>
      </c>
      <c r="CX67" s="241" t="str">
        <f t="shared" si="7"/>
        <v/>
      </c>
      <c r="CY67" s="241" t="str">
        <f t="shared" si="8"/>
        <v/>
      </c>
      <c r="CZ67" s="241" t="str">
        <f t="shared" si="9"/>
        <v/>
      </c>
      <c r="DA67" s="246" t="str">
        <f t="shared" si="10"/>
        <v/>
      </c>
      <c r="DB67" s="246" t="str">
        <f t="shared" si="11"/>
        <v/>
      </c>
      <c r="DC67" s="246" t="str">
        <f t="shared" si="12"/>
        <v/>
      </c>
      <c r="DD67" s="241" t="str">
        <f t="shared" si="13"/>
        <v>1</v>
      </c>
      <c r="DE67" s="241" t="str">
        <f t="shared" si="14"/>
        <v/>
      </c>
      <c r="DF67" s="241" t="str">
        <f t="shared" si="15"/>
        <v/>
      </c>
      <c r="DG67" s="244" t="str">
        <f t="shared" si="16"/>
        <v/>
      </c>
      <c r="DH67" s="244" t="str">
        <f t="shared" si="17"/>
        <v/>
      </c>
      <c r="DI67" s="244" t="str">
        <f>IF(COUNTIF(PlayerAltNames,B67)&gt;0, B67, I67)</f>
        <v/>
      </c>
      <c r="DJ67" s="247" t="str">
        <f t="shared" ref="DJ67:DO67" si="153">IF(COUNTIF($I67,$DI67)&gt;0, J67, C67)</f>
        <v/>
      </c>
      <c r="DK67" s="247" t="str">
        <f t="shared" si="153"/>
        <v/>
      </c>
      <c r="DL67" s="247" t="str">
        <f t="shared" si="153"/>
        <v/>
      </c>
      <c r="DM67" s="247" t="str">
        <f t="shared" si="153"/>
        <v/>
      </c>
      <c r="DN67" s="247" t="str">
        <f t="shared" si="153"/>
        <v/>
      </c>
      <c r="DO67" s="247" t="str">
        <f t="shared" si="153"/>
        <v/>
      </c>
      <c r="DP67" s="244" t="str">
        <f t="shared" si="19"/>
        <v/>
      </c>
      <c r="DQ67" s="244" t="str">
        <f t="shared" ref="DQ67:DV67" si="154">IF(COUNTIF($I67,$DP67), J67, C67)</f>
        <v/>
      </c>
      <c r="DR67" s="244" t="str">
        <f t="shared" si="154"/>
        <v/>
      </c>
      <c r="DS67" s="244" t="str">
        <f t="shared" si="154"/>
        <v/>
      </c>
      <c r="DT67" s="244" t="str">
        <f t="shared" si="154"/>
        <v/>
      </c>
      <c r="DU67" s="244" t="str">
        <f t="shared" si="154"/>
        <v/>
      </c>
      <c r="DV67" s="244" t="str">
        <f t="shared" si="154"/>
        <v/>
      </c>
      <c r="DW67" s="241" t="str">
        <f>IF(HomePage!C78 &lt;&gt; "", IFS(AND(P67 = 1, COUNTIF(PlayerAltNames, B67)&gt;0), "Win", AND(P67 = 1, COUNTIF(PlayerAltNames, I67)&gt;0), "Loss", AND(P67 = 2, COUNTIF(PlayerAltNames, I67)&gt;0), "Win", AND(P67 = 2, COUNTIF(PlayerAltNames, B67)&gt;0), "Loss"), "")</f>
        <v/>
      </c>
      <c r="DX67" s="244"/>
      <c r="DY67" s="244" t="str">
        <f t="shared" si="21"/>
        <v>#N/A</v>
      </c>
      <c r="DZ67" s="244" t="str">
        <f t="shared" si="22"/>
        <v>#N/A</v>
      </c>
      <c r="EA67" s="244" t="str">
        <f t="shared" si="23"/>
        <v>#N/A</v>
      </c>
      <c r="EB67" s="244" t="str">
        <f t="shared" si="24"/>
        <v>#N/A</v>
      </c>
      <c r="EC67" s="244" t="str">
        <f t="shared" si="25"/>
        <v>#N/A</v>
      </c>
      <c r="ED67" s="244" t="str">
        <f t="shared" si="26"/>
        <v>#N/A</v>
      </c>
      <c r="EE67" s="244" t="str">
        <f t="shared" si="27"/>
        <v> -&gt; </v>
      </c>
      <c r="EF67" s="244" t="str">
        <f t="shared" si="28"/>
        <v/>
      </c>
      <c r="EG67" s="244"/>
      <c r="EH67" s="244"/>
      <c r="EI67" s="245"/>
    </row>
    <row r="68">
      <c r="A68" s="248"/>
      <c r="B68" s="239" t="str">
        <f>IF(HomePage!C79&lt;&gt;"", REPLAYTODATA(HomePage!C79), "")</f>
        <v/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244"/>
      <c r="AR68" s="244"/>
      <c r="AS68" s="244"/>
      <c r="AT68" s="244"/>
      <c r="AU68" s="244"/>
      <c r="AV68" s="244"/>
      <c r="AW68" s="244"/>
      <c r="AX68" s="244"/>
      <c r="AY68" s="244"/>
      <c r="AZ68" s="244"/>
      <c r="BA68" s="244"/>
      <c r="BB68" s="244"/>
      <c r="BC68" s="244"/>
      <c r="BD68" s="244"/>
      <c r="BE68" s="244"/>
      <c r="BF68" s="244"/>
      <c r="BG68" s="244"/>
      <c r="BH68" s="244"/>
      <c r="BI68" s="244"/>
      <c r="BJ68" s="244"/>
      <c r="BK68" s="244"/>
      <c r="BL68" s="244"/>
      <c r="BM68" s="244"/>
      <c r="BN68" s="244"/>
      <c r="BO68" s="244"/>
      <c r="BP68" s="244"/>
      <c r="BQ68" s="244"/>
      <c r="BR68" s="244"/>
      <c r="BS68" s="244"/>
      <c r="BT68" s="244"/>
      <c r="BU68" s="244"/>
      <c r="BV68" s="244"/>
      <c r="BW68" s="244"/>
      <c r="BX68" s="244"/>
      <c r="BY68" s="244"/>
      <c r="BZ68" s="244"/>
      <c r="CA68" s="244"/>
      <c r="CB68" s="244"/>
      <c r="CC68" s="244"/>
      <c r="CD68" s="244"/>
      <c r="CE68" s="244"/>
      <c r="CF68" s="244"/>
      <c r="CG68" s="244"/>
      <c r="CH68" s="244"/>
      <c r="CI68" s="244"/>
      <c r="CJ68" s="244"/>
      <c r="CK68" s="244"/>
      <c r="CL68" s="244"/>
      <c r="CM68" s="244"/>
      <c r="CN68" s="244"/>
      <c r="CO68" s="244"/>
      <c r="CP68" s="244"/>
      <c r="CQ68" s="244"/>
      <c r="CR68" s="244"/>
      <c r="CS68" s="244"/>
      <c r="CT68" s="241" t="str">
        <f t="shared" si="3"/>
        <v/>
      </c>
      <c r="CU68" s="246" t="str">
        <f t="shared" si="4"/>
        <v/>
      </c>
      <c r="CV68" s="241" t="str">
        <f t="shared" si="5"/>
        <v/>
      </c>
      <c r="CW68" s="246" t="str">
        <f t="shared" si="6"/>
        <v/>
      </c>
      <c r="CX68" s="241" t="str">
        <f t="shared" si="7"/>
        <v/>
      </c>
      <c r="CY68" s="241" t="str">
        <f t="shared" si="8"/>
        <v/>
      </c>
      <c r="CZ68" s="241" t="str">
        <f t="shared" si="9"/>
        <v/>
      </c>
      <c r="DA68" s="246" t="str">
        <f t="shared" si="10"/>
        <v/>
      </c>
      <c r="DB68" s="246" t="str">
        <f t="shared" si="11"/>
        <v/>
      </c>
      <c r="DC68" s="246" t="str">
        <f t="shared" si="12"/>
        <v/>
      </c>
      <c r="DD68" s="241" t="str">
        <f t="shared" si="13"/>
        <v>1</v>
      </c>
      <c r="DE68" s="241" t="str">
        <f t="shared" si="14"/>
        <v/>
      </c>
      <c r="DF68" s="241" t="str">
        <f t="shared" si="15"/>
        <v/>
      </c>
      <c r="DG68" s="244" t="str">
        <f t="shared" si="16"/>
        <v/>
      </c>
      <c r="DH68" s="244" t="str">
        <f t="shared" si="17"/>
        <v/>
      </c>
      <c r="DI68" s="244" t="str">
        <f>IF(COUNTIF(PlayerAltNames,B68)&gt;0, B68, I68)</f>
        <v/>
      </c>
      <c r="DJ68" s="247" t="str">
        <f t="shared" ref="DJ68:DO68" si="155">IF(COUNTIF($I68,$DI68)&gt;0, J68, C68)</f>
        <v/>
      </c>
      <c r="DK68" s="247" t="str">
        <f t="shared" si="155"/>
        <v/>
      </c>
      <c r="DL68" s="247" t="str">
        <f t="shared" si="155"/>
        <v/>
      </c>
      <c r="DM68" s="247" t="str">
        <f t="shared" si="155"/>
        <v/>
      </c>
      <c r="DN68" s="247" t="str">
        <f t="shared" si="155"/>
        <v/>
      </c>
      <c r="DO68" s="247" t="str">
        <f t="shared" si="155"/>
        <v/>
      </c>
      <c r="DP68" s="244" t="str">
        <f t="shared" si="19"/>
        <v/>
      </c>
      <c r="DQ68" s="244" t="str">
        <f t="shared" ref="DQ68:DV68" si="156">IF(COUNTIF($I68,$DP68), J68, C68)</f>
        <v/>
      </c>
      <c r="DR68" s="244" t="str">
        <f t="shared" si="156"/>
        <v/>
      </c>
      <c r="DS68" s="244" t="str">
        <f t="shared" si="156"/>
        <v/>
      </c>
      <c r="DT68" s="244" t="str">
        <f t="shared" si="156"/>
        <v/>
      </c>
      <c r="DU68" s="244" t="str">
        <f t="shared" si="156"/>
        <v/>
      </c>
      <c r="DV68" s="244" t="str">
        <f t="shared" si="156"/>
        <v/>
      </c>
      <c r="DW68" s="241" t="str">
        <f>IF(HomePage!C79 &lt;&gt; "", IFS(AND(P68 = 1, COUNTIF(PlayerAltNames, B68)&gt;0), "Win", AND(P68 = 1, COUNTIF(PlayerAltNames, I68)&gt;0), "Loss", AND(P68 = 2, COUNTIF(PlayerAltNames, I68)&gt;0), "Win", AND(P68 = 2, COUNTIF(PlayerAltNames, B68)&gt;0), "Loss"), "")</f>
        <v/>
      </c>
      <c r="DX68" s="244"/>
      <c r="DY68" s="244" t="str">
        <f t="shared" si="21"/>
        <v>#N/A</v>
      </c>
      <c r="DZ68" s="244" t="str">
        <f t="shared" si="22"/>
        <v>#N/A</v>
      </c>
      <c r="EA68" s="244" t="str">
        <f t="shared" si="23"/>
        <v>#N/A</v>
      </c>
      <c r="EB68" s="244" t="str">
        <f t="shared" si="24"/>
        <v>#N/A</v>
      </c>
      <c r="EC68" s="244" t="str">
        <f t="shared" si="25"/>
        <v>#N/A</v>
      </c>
      <c r="ED68" s="244" t="str">
        <f t="shared" si="26"/>
        <v>#N/A</v>
      </c>
      <c r="EE68" s="244" t="str">
        <f t="shared" si="27"/>
        <v> -&gt; </v>
      </c>
      <c r="EF68" s="244" t="str">
        <f t="shared" si="28"/>
        <v/>
      </c>
      <c r="EG68" s="244"/>
      <c r="EH68" s="244"/>
      <c r="EI68" s="245"/>
    </row>
    <row r="69">
      <c r="A69" s="248"/>
      <c r="B69" s="239" t="str">
        <f>IF(HomePage!C80&lt;&gt;"", REPLAYTODATA(HomePage!C80), "")</f>
        <v/>
      </c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/>
      <c r="AT69" s="244"/>
      <c r="AU69" s="244"/>
      <c r="AV69" s="244"/>
      <c r="AW69" s="244"/>
      <c r="AX69" s="244"/>
      <c r="AY69" s="244"/>
      <c r="AZ69" s="244"/>
      <c r="BA69" s="244"/>
      <c r="BB69" s="244"/>
      <c r="BC69" s="244"/>
      <c r="BD69" s="244"/>
      <c r="BE69" s="244"/>
      <c r="BF69" s="244"/>
      <c r="BG69" s="244"/>
      <c r="BH69" s="244"/>
      <c r="BI69" s="244"/>
      <c r="BJ69" s="244"/>
      <c r="BK69" s="244"/>
      <c r="BL69" s="244"/>
      <c r="BM69" s="244"/>
      <c r="BN69" s="244"/>
      <c r="BO69" s="244"/>
      <c r="BP69" s="244"/>
      <c r="BQ69" s="244"/>
      <c r="BR69" s="244"/>
      <c r="BS69" s="244"/>
      <c r="BT69" s="244"/>
      <c r="BU69" s="244"/>
      <c r="BV69" s="244"/>
      <c r="BW69" s="244"/>
      <c r="BX69" s="244"/>
      <c r="BY69" s="244"/>
      <c r="BZ69" s="244"/>
      <c r="CA69" s="244"/>
      <c r="CB69" s="244"/>
      <c r="CC69" s="244"/>
      <c r="CD69" s="244"/>
      <c r="CE69" s="244"/>
      <c r="CF69" s="244"/>
      <c r="CG69" s="244"/>
      <c r="CH69" s="244"/>
      <c r="CI69" s="244"/>
      <c r="CJ69" s="244"/>
      <c r="CK69" s="244"/>
      <c r="CL69" s="244"/>
      <c r="CM69" s="244"/>
      <c r="CN69" s="244"/>
      <c r="CO69" s="244"/>
      <c r="CP69" s="244"/>
      <c r="CQ69" s="244"/>
      <c r="CR69" s="244"/>
      <c r="CS69" s="244"/>
      <c r="CT69" s="241" t="str">
        <f t="shared" si="3"/>
        <v/>
      </c>
      <c r="CU69" s="246" t="str">
        <f t="shared" si="4"/>
        <v/>
      </c>
      <c r="CV69" s="241" t="str">
        <f t="shared" si="5"/>
        <v/>
      </c>
      <c r="CW69" s="246" t="str">
        <f t="shared" si="6"/>
        <v/>
      </c>
      <c r="CX69" s="241" t="str">
        <f t="shared" si="7"/>
        <v/>
      </c>
      <c r="CY69" s="241" t="str">
        <f t="shared" si="8"/>
        <v/>
      </c>
      <c r="CZ69" s="241" t="str">
        <f t="shared" si="9"/>
        <v/>
      </c>
      <c r="DA69" s="246" t="str">
        <f t="shared" si="10"/>
        <v/>
      </c>
      <c r="DB69" s="246" t="str">
        <f t="shared" si="11"/>
        <v/>
      </c>
      <c r="DC69" s="246" t="str">
        <f t="shared" si="12"/>
        <v/>
      </c>
      <c r="DD69" s="241" t="str">
        <f t="shared" si="13"/>
        <v>1</v>
      </c>
      <c r="DE69" s="241" t="str">
        <f t="shared" si="14"/>
        <v/>
      </c>
      <c r="DF69" s="241" t="str">
        <f t="shared" si="15"/>
        <v/>
      </c>
      <c r="DG69" s="244" t="str">
        <f t="shared" si="16"/>
        <v/>
      </c>
      <c r="DH69" s="244" t="str">
        <f t="shared" si="17"/>
        <v/>
      </c>
      <c r="DI69" s="244" t="str">
        <f>IF(COUNTIF(PlayerAltNames,B69)&gt;0, B69, I69)</f>
        <v/>
      </c>
      <c r="DJ69" s="247" t="str">
        <f t="shared" ref="DJ69:DO69" si="157">IF(COUNTIF($I69,$DI69)&gt;0, J69, C69)</f>
        <v/>
      </c>
      <c r="DK69" s="247" t="str">
        <f t="shared" si="157"/>
        <v/>
      </c>
      <c r="DL69" s="247" t="str">
        <f t="shared" si="157"/>
        <v/>
      </c>
      <c r="DM69" s="247" t="str">
        <f t="shared" si="157"/>
        <v/>
      </c>
      <c r="DN69" s="247" t="str">
        <f t="shared" si="157"/>
        <v/>
      </c>
      <c r="DO69" s="247" t="str">
        <f t="shared" si="157"/>
        <v/>
      </c>
      <c r="DP69" s="244" t="str">
        <f t="shared" si="19"/>
        <v/>
      </c>
      <c r="DQ69" s="244" t="str">
        <f t="shared" ref="DQ69:DV69" si="158">IF(COUNTIF($I69,$DP69), J69, C69)</f>
        <v/>
      </c>
      <c r="DR69" s="244" t="str">
        <f t="shared" si="158"/>
        <v/>
      </c>
      <c r="DS69" s="244" t="str">
        <f t="shared" si="158"/>
        <v/>
      </c>
      <c r="DT69" s="244" t="str">
        <f t="shared" si="158"/>
        <v/>
      </c>
      <c r="DU69" s="244" t="str">
        <f t="shared" si="158"/>
        <v/>
      </c>
      <c r="DV69" s="244" t="str">
        <f t="shared" si="158"/>
        <v/>
      </c>
      <c r="DW69" s="241" t="str">
        <f>IF(HomePage!C80 &lt;&gt; "", IFS(AND(P69 = 1, COUNTIF(PlayerAltNames, B69)&gt;0), "Win", AND(P69 = 1, COUNTIF(PlayerAltNames, I69)&gt;0), "Loss", AND(P69 = 2, COUNTIF(PlayerAltNames, I69)&gt;0), "Win", AND(P69 = 2, COUNTIF(PlayerAltNames, B69)&gt;0), "Loss"), "")</f>
        <v/>
      </c>
      <c r="DX69" s="244"/>
      <c r="DY69" s="244" t="str">
        <f t="shared" si="21"/>
        <v>#N/A</v>
      </c>
      <c r="DZ69" s="244" t="str">
        <f t="shared" si="22"/>
        <v>#N/A</v>
      </c>
      <c r="EA69" s="244" t="str">
        <f t="shared" si="23"/>
        <v>#N/A</v>
      </c>
      <c r="EB69" s="244" t="str">
        <f t="shared" si="24"/>
        <v>#N/A</v>
      </c>
      <c r="EC69" s="244" t="str">
        <f t="shared" si="25"/>
        <v>#N/A</v>
      </c>
      <c r="ED69" s="244" t="str">
        <f t="shared" si="26"/>
        <v>#N/A</v>
      </c>
      <c r="EE69" s="244" t="str">
        <f t="shared" si="27"/>
        <v> -&gt; </v>
      </c>
      <c r="EF69" s="244" t="str">
        <f t="shared" si="28"/>
        <v/>
      </c>
      <c r="EG69" s="244"/>
      <c r="EH69" s="244"/>
      <c r="EI69" s="245"/>
    </row>
    <row r="70">
      <c r="A70" s="248"/>
      <c r="B70" s="239" t="str">
        <f>IF(HomePage!C81&lt;&gt;"", REPLAYTODATA(HomePage!C81), "")</f>
        <v/>
      </c>
      <c r="C70" s="236"/>
      <c r="D70" s="236"/>
      <c r="E70" s="236"/>
      <c r="F70" s="236"/>
      <c r="G70" s="236"/>
      <c r="H70" s="236"/>
      <c r="I70" s="236"/>
      <c r="J70" s="236"/>
      <c r="K70" s="236"/>
      <c r="L70" s="236"/>
      <c r="M70" s="236"/>
      <c r="N70" s="236"/>
      <c r="O70" s="236"/>
      <c r="P70" s="236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44"/>
      <c r="AE70" s="244"/>
      <c r="AF70" s="244"/>
      <c r="AG70" s="244"/>
      <c r="AH70" s="244"/>
      <c r="AI70" s="244"/>
      <c r="AJ70" s="244"/>
      <c r="AK70" s="244"/>
      <c r="AL70" s="244"/>
      <c r="AM70" s="244"/>
      <c r="AN70" s="244"/>
      <c r="AO70" s="244"/>
      <c r="AP70" s="244"/>
      <c r="AQ70" s="244"/>
      <c r="AR70" s="244"/>
      <c r="AS70" s="244"/>
      <c r="AT70" s="244"/>
      <c r="AU70" s="244"/>
      <c r="AV70" s="244"/>
      <c r="AW70" s="244"/>
      <c r="AX70" s="244"/>
      <c r="AY70" s="244"/>
      <c r="AZ70" s="244"/>
      <c r="BA70" s="244"/>
      <c r="BB70" s="244"/>
      <c r="BC70" s="244"/>
      <c r="BD70" s="244"/>
      <c r="BE70" s="244"/>
      <c r="BF70" s="244"/>
      <c r="BG70" s="244"/>
      <c r="BH70" s="244"/>
      <c r="BI70" s="244"/>
      <c r="BJ70" s="244"/>
      <c r="BK70" s="244"/>
      <c r="BL70" s="244"/>
      <c r="BM70" s="244"/>
      <c r="BN70" s="244"/>
      <c r="BO70" s="244"/>
      <c r="BP70" s="244"/>
      <c r="BQ70" s="244"/>
      <c r="BR70" s="244"/>
      <c r="BS70" s="244"/>
      <c r="BT70" s="244"/>
      <c r="BU70" s="244"/>
      <c r="BV70" s="244"/>
      <c r="BW70" s="244"/>
      <c r="BX70" s="244"/>
      <c r="BY70" s="244"/>
      <c r="BZ70" s="244"/>
      <c r="CA70" s="244"/>
      <c r="CB70" s="244"/>
      <c r="CC70" s="244"/>
      <c r="CD70" s="244"/>
      <c r="CE70" s="244"/>
      <c r="CF70" s="244"/>
      <c r="CG70" s="244"/>
      <c r="CH70" s="244"/>
      <c r="CI70" s="244"/>
      <c r="CJ70" s="244"/>
      <c r="CK70" s="244"/>
      <c r="CL70" s="244"/>
      <c r="CM70" s="244"/>
      <c r="CN70" s="244"/>
      <c r="CO70" s="244"/>
      <c r="CP70" s="244"/>
      <c r="CQ70" s="244"/>
      <c r="CR70" s="244"/>
      <c r="CS70" s="244"/>
      <c r="CT70" s="241" t="str">
        <f t="shared" si="3"/>
        <v/>
      </c>
      <c r="CU70" s="246" t="str">
        <f t="shared" si="4"/>
        <v/>
      </c>
      <c r="CV70" s="241" t="str">
        <f t="shared" si="5"/>
        <v/>
      </c>
      <c r="CW70" s="246" t="str">
        <f t="shared" si="6"/>
        <v/>
      </c>
      <c r="CX70" s="241" t="str">
        <f t="shared" si="7"/>
        <v/>
      </c>
      <c r="CY70" s="241" t="str">
        <f t="shared" si="8"/>
        <v/>
      </c>
      <c r="CZ70" s="241" t="str">
        <f t="shared" si="9"/>
        <v/>
      </c>
      <c r="DA70" s="246" t="str">
        <f t="shared" si="10"/>
        <v/>
      </c>
      <c r="DB70" s="246" t="str">
        <f t="shared" si="11"/>
        <v/>
      </c>
      <c r="DC70" s="246" t="str">
        <f t="shared" si="12"/>
        <v/>
      </c>
      <c r="DD70" s="241" t="str">
        <f t="shared" si="13"/>
        <v>1</v>
      </c>
      <c r="DE70" s="241" t="str">
        <f t="shared" si="14"/>
        <v/>
      </c>
      <c r="DF70" s="241" t="str">
        <f t="shared" si="15"/>
        <v/>
      </c>
      <c r="DG70" s="244" t="str">
        <f t="shared" si="16"/>
        <v/>
      </c>
      <c r="DH70" s="244" t="str">
        <f t="shared" si="17"/>
        <v/>
      </c>
      <c r="DI70" s="244" t="str">
        <f>IF(COUNTIF(PlayerAltNames,B70)&gt;0, B70, I70)</f>
        <v/>
      </c>
      <c r="DJ70" s="247" t="str">
        <f t="shared" ref="DJ70:DO70" si="159">IF(COUNTIF($I70,$DI70)&gt;0, J70, C70)</f>
        <v/>
      </c>
      <c r="DK70" s="247" t="str">
        <f t="shared" si="159"/>
        <v/>
      </c>
      <c r="DL70" s="247" t="str">
        <f t="shared" si="159"/>
        <v/>
      </c>
      <c r="DM70" s="247" t="str">
        <f t="shared" si="159"/>
        <v/>
      </c>
      <c r="DN70" s="247" t="str">
        <f t="shared" si="159"/>
        <v/>
      </c>
      <c r="DO70" s="247" t="str">
        <f t="shared" si="159"/>
        <v/>
      </c>
      <c r="DP70" s="244" t="str">
        <f t="shared" si="19"/>
        <v/>
      </c>
      <c r="DQ70" s="244" t="str">
        <f t="shared" ref="DQ70:DV70" si="160">IF(COUNTIF($I70,$DP70), J70, C70)</f>
        <v/>
      </c>
      <c r="DR70" s="244" t="str">
        <f t="shared" si="160"/>
        <v/>
      </c>
      <c r="DS70" s="244" t="str">
        <f t="shared" si="160"/>
        <v/>
      </c>
      <c r="DT70" s="244" t="str">
        <f t="shared" si="160"/>
        <v/>
      </c>
      <c r="DU70" s="244" t="str">
        <f t="shared" si="160"/>
        <v/>
      </c>
      <c r="DV70" s="244" t="str">
        <f t="shared" si="160"/>
        <v/>
      </c>
      <c r="DW70" s="241" t="str">
        <f>IF(HomePage!C81 &lt;&gt; "", IFS(AND(P70 = 1, COUNTIF(PlayerAltNames, B70)&gt;0), "Win", AND(P70 = 1, COUNTIF(PlayerAltNames, I70)&gt;0), "Loss", AND(P70 = 2, COUNTIF(PlayerAltNames, I70)&gt;0), "Win", AND(P70 = 2, COUNTIF(PlayerAltNames, B70)&gt;0), "Loss"), "")</f>
        <v/>
      </c>
      <c r="DX70" s="244"/>
      <c r="DY70" s="244" t="str">
        <f t="shared" si="21"/>
        <v>#N/A</v>
      </c>
      <c r="DZ70" s="244" t="str">
        <f t="shared" si="22"/>
        <v>#N/A</v>
      </c>
      <c r="EA70" s="244" t="str">
        <f t="shared" si="23"/>
        <v>#N/A</v>
      </c>
      <c r="EB70" s="244" t="str">
        <f t="shared" si="24"/>
        <v>#N/A</v>
      </c>
      <c r="EC70" s="244" t="str">
        <f t="shared" si="25"/>
        <v>#N/A</v>
      </c>
      <c r="ED70" s="244" t="str">
        <f t="shared" si="26"/>
        <v>#N/A</v>
      </c>
      <c r="EE70" s="244" t="str">
        <f t="shared" si="27"/>
        <v> -&gt; </v>
      </c>
      <c r="EF70" s="244" t="str">
        <f t="shared" si="28"/>
        <v/>
      </c>
      <c r="EG70" s="244"/>
      <c r="EH70" s="244"/>
      <c r="EI70" s="245"/>
    </row>
    <row r="71">
      <c r="A71" s="248"/>
      <c r="B71" s="239" t="str">
        <f>IF(HomePage!C82&lt;&gt;"", REPLAYTODATA(HomePage!C82), "")</f>
        <v/>
      </c>
      <c r="C71" s="236"/>
      <c r="D71" s="236"/>
      <c r="E71" s="236"/>
      <c r="F71" s="236"/>
      <c r="G71" s="236"/>
      <c r="H71" s="236"/>
      <c r="I71" s="236"/>
      <c r="J71" s="236"/>
      <c r="K71" s="236"/>
      <c r="L71" s="236"/>
      <c r="M71" s="236"/>
      <c r="N71" s="236"/>
      <c r="O71" s="236"/>
      <c r="P71" s="236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244"/>
      <c r="AR71" s="244"/>
      <c r="AS71" s="244"/>
      <c r="AT71" s="244"/>
      <c r="AU71" s="244"/>
      <c r="AV71" s="244"/>
      <c r="AW71" s="244"/>
      <c r="AX71" s="244"/>
      <c r="AY71" s="244"/>
      <c r="AZ71" s="244"/>
      <c r="BA71" s="244"/>
      <c r="BB71" s="244"/>
      <c r="BC71" s="244"/>
      <c r="BD71" s="244"/>
      <c r="BE71" s="244"/>
      <c r="BF71" s="244"/>
      <c r="BG71" s="244"/>
      <c r="BH71" s="244"/>
      <c r="BI71" s="244"/>
      <c r="BJ71" s="244"/>
      <c r="BK71" s="244"/>
      <c r="BL71" s="244"/>
      <c r="BM71" s="244"/>
      <c r="BN71" s="244"/>
      <c r="BO71" s="244"/>
      <c r="BP71" s="244"/>
      <c r="BQ71" s="244"/>
      <c r="BR71" s="244"/>
      <c r="BS71" s="244"/>
      <c r="BT71" s="244"/>
      <c r="BU71" s="244"/>
      <c r="BV71" s="244"/>
      <c r="BW71" s="244"/>
      <c r="BX71" s="244"/>
      <c r="BY71" s="244"/>
      <c r="BZ71" s="244"/>
      <c r="CA71" s="244"/>
      <c r="CB71" s="244"/>
      <c r="CC71" s="244"/>
      <c r="CD71" s="244"/>
      <c r="CE71" s="244"/>
      <c r="CF71" s="244"/>
      <c r="CG71" s="244"/>
      <c r="CH71" s="244"/>
      <c r="CI71" s="244"/>
      <c r="CJ71" s="244"/>
      <c r="CK71" s="244"/>
      <c r="CL71" s="244"/>
      <c r="CM71" s="244"/>
      <c r="CN71" s="244"/>
      <c r="CO71" s="244"/>
      <c r="CP71" s="244"/>
      <c r="CQ71" s="244"/>
      <c r="CR71" s="244"/>
      <c r="CS71" s="244"/>
      <c r="CT71" s="241" t="str">
        <f t="shared" si="3"/>
        <v/>
      </c>
      <c r="CU71" s="246" t="str">
        <f t="shared" si="4"/>
        <v/>
      </c>
      <c r="CV71" s="241" t="str">
        <f t="shared" si="5"/>
        <v/>
      </c>
      <c r="CW71" s="246" t="str">
        <f t="shared" si="6"/>
        <v/>
      </c>
      <c r="CX71" s="241" t="str">
        <f t="shared" si="7"/>
        <v/>
      </c>
      <c r="CY71" s="241" t="str">
        <f t="shared" si="8"/>
        <v/>
      </c>
      <c r="CZ71" s="241" t="str">
        <f t="shared" si="9"/>
        <v/>
      </c>
      <c r="DA71" s="246" t="str">
        <f t="shared" si="10"/>
        <v/>
      </c>
      <c r="DB71" s="246" t="str">
        <f t="shared" si="11"/>
        <v/>
      </c>
      <c r="DC71" s="246" t="str">
        <f t="shared" si="12"/>
        <v/>
      </c>
      <c r="DD71" s="241" t="str">
        <f t="shared" si="13"/>
        <v>1</v>
      </c>
      <c r="DE71" s="241" t="str">
        <f t="shared" si="14"/>
        <v/>
      </c>
      <c r="DF71" s="241" t="str">
        <f t="shared" si="15"/>
        <v/>
      </c>
      <c r="DG71" s="244" t="str">
        <f t="shared" si="16"/>
        <v/>
      </c>
      <c r="DH71" s="244" t="str">
        <f t="shared" si="17"/>
        <v/>
      </c>
      <c r="DI71" s="244" t="str">
        <f>IF(COUNTIF(PlayerAltNames,B71)&gt;0, B71, I71)</f>
        <v/>
      </c>
      <c r="DJ71" s="247" t="str">
        <f t="shared" ref="DJ71:DO71" si="161">IF(COUNTIF($I71,$DI71)&gt;0, J71, C71)</f>
        <v/>
      </c>
      <c r="DK71" s="247" t="str">
        <f t="shared" si="161"/>
        <v/>
      </c>
      <c r="DL71" s="247" t="str">
        <f t="shared" si="161"/>
        <v/>
      </c>
      <c r="DM71" s="247" t="str">
        <f t="shared" si="161"/>
        <v/>
      </c>
      <c r="DN71" s="247" t="str">
        <f t="shared" si="161"/>
        <v/>
      </c>
      <c r="DO71" s="247" t="str">
        <f t="shared" si="161"/>
        <v/>
      </c>
      <c r="DP71" s="244" t="str">
        <f t="shared" si="19"/>
        <v/>
      </c>
      <c r="DQ71" s="244" t="str">
        <f t="shared" ref="DQ71:DV71" si="162">IF(COUNTIF($I71,$DP71), J71, C71)</f>
        <v/>
      </c>
      <c r="DR71" s="244" t="str">
        <f t="shared" si="162"/>
        <v/>
      </c>
      <c r="DS71" s="244" t="str">
        <f t="shared" si="162"/>
        <v/>
      </c>
      <c r="DT71" s="244" t="str">
        <f t="shared" si="162"/>
        <v/>
      </c>
      <c r="DU71" s="244" t="str">
        <f t="shared" si="162"/>
        <v/>
      </c>
      <c r="DV71" s="244" t="str">
        <f t="shared" si="162"/>
        <v/>
      </c>
      <c r="DW71" s="241" t="str">
        <f>IF(HomePage!C82 &lt;&gt; "", IFS(AND(P71 = 1, COUNTIF(PlayerAltNames, B71)&gt;0), "Win", AND(P71 = 1, COUNTIF(PlayerAltNames, I71)&gt;0), "Loss", AND(P71 = 2, COUNTIF(PlayerAltNames, I71)&gt;0), "Win", AND(P71 = 2, COUNTIF(PlayerAltNames, B71)&gt;0), "Loss"), "")</f>
        <v/>
      </c>
      <c r="DX71" s="244"/>
      <c r="DY71" s="244" t="str">
        <f t="shared" si="21"/>
        <v>#N/A</v>
      </c>
      <c r="DZ71" s="244" t="str">
        <f t="shared" si="22"/>
        <v>#N/A</v>
      </c>
      <c r="EA71" s="244" t="str">
        <f t="shared" si="23"/>
        <v>#N/A</v>
      </c>
      <c r="EB71" s="244" t="str">
        <f t="shared" si="24"/>
        <v>#N/A</v>
      </c>
      <c r="EC71" s="244" t="str">
        <f t="shared" si="25"/>
        <v>#N/A</v>
      </c>
      <c r="ED71" s="244" t="str">
        <f t="shared" si="26"/>
        <v>#N/A</v>
      </c>
      <c r="EE71" s="244" t="str">
        <f t="shared" si="27"/>
        <v> -&gt; </v>
      </c>
      <c r="EF71" s="244" t="str">
        <f t="shared" si="28"/>
        <v/>
      </c>
      <c r="EG71" s="244"/>
      <c r="EH71" s="244"/>
      <c r="EI71" s="245"/>
    </row>
    <row r="72">
      <c r="A72" s="248"/>
      <c r="B72" s="239" t="str">
        <f>IF(HomePage!C83&lt;&gt;"", REPLAYTODATA(HomePage!C83), "")</f>
        <v/>
      </c>
      <c r="C72" s="236"/>
      <c r="D72" s="236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44"/>
      <c r="AT72" s="244"/>
      <c r="AU72" s="244"/>
      <c r="AV72" s="244"/>
      <c r="AW72" s="244"/>
      <c r="AX72" s="244"/>
      <c r="AY72" s="244"/>
      <c r="AZ72" s="244"/>
      <c r="BA72" s="244"/>
      <c r="BB72" s="244"/>
      <c r="BC72" s="244"/>
      <c r="BD72" s="244"/>
      <c r="BE72" s="244"/>
      <c r="BF72" s="244"/>
      <c r="BG72" s="244"/>
      <c r="BH72" s="244"/>
      <c r="BI72" s="244"/>
      <c r="BJ72" s="244"/>
      <c r="BK72" s="244"/>
      <c r="BL72" s="244"/>
      <c r="BM72" s="244"/>
      <c r="BN72" s="244"/>
      <c r="BO72" s="244"/>
      <c r="BP72" s="244"/>
      <c r="BQ72" s="244"/>
      <c r="BR72" s="244"/>
      <c r="BS72" s="244"/>
      <c r="BT72" s="244"/>
      <c r="BU72" s="244"/>
      <c r="BV72" s="244"/>
      <c r="BW72" s="244"/>
      <c r="BX72" s="244"/>
      <c r="BY72" s="244"/>
      <c r="BZ72" s="244"/>
      <c r="CA72" s="244"/>
      <c r="CB72" s="244"/>
      <c r="CC72" s="244"/>
      <c r="CD72" s="244"/>
      <c r="CE72" s="244"/>
      <c r="CF72" s="244"/>
      <c r="CG72" s="244"/>
      <c r="CH72" s="244"/>
      <c r="CI72" s="244"/>
      <c r="CJ72" s="244"/>
      <c r="CK72" s="244"/>
      <c r="CL72" s="244"/>
      <c r="CM72" s="244"/>
      <c r="CN72" s="244"/>
      <c r="CO72" s="244"/>
      <c r="CP72" s="244"/>
      <c r="CQ72" s="244"/>
      <c r="CR72" s="244"/>
      <c r="CS72" s="244"/>
      <c r="CT72" s="241" t="str">
        <f t="shared" si="3"/>
        <v/>
      </c>
      <c r="CU72" s="246" t="str">
        <f t="shared" si="4"/>
        <v/>
      </c>
      <c r="CV72" s="241" t="str">
        <f t="shared" si="5"/>
        <v/>
      </c>
      <c r="CW72" s="246" t="str">
        <f t="shared" si="6"/>
        <v/>
      </c>
      <c r="CX72" s="241" t="str">
        <f t="shared" si="7"/>
        <v/>
      </c>
      <c r="CY72" s="241" t="str">
        <f t="shared" si="8"/>
        <v/>
      </c>
      <c r="CZ72" s="241" t="str">
        <f t="shared" si="9"/>
        <v/>
      </c>
      <c r="DA72" s="246" t="str">
        <f t="shared" si="10"/>
        <v/>
      </c>
      <c r="DB72" s="246" t="str">
        <f t="shared" si="11"/>
        <v/>
      </c>
      <c r="DC72" s="246" t="str">
        <f t="shared" si="12"/>
        <v/>
      </c>
      <c r="DD72" s="241" t="str">
        <f t="shared" si="13"/>
        <v>1</v>
      </c>
      <c r="DE72" s="241" t="str">
        <f t="shared" si="14"/>
        <v/>
      </c>
      <c r="DF72" s="241" t="str">
        <f t="shared" si="15"/>
        <v/>
      </c>
      <c r="DG72" s="244" t="str">
        <f t="shared" si="16"/>
        <v/>
      </c>
      <c r="DH72" s="244" t="str">
        <f t="shared" si="17"/>
        <v/>
      </c>
      <c r="DI72" s="244" t="str">
        <f>IF(COUNTIF(PlayerAltNames,B72)&gt;0, B72, I72)</f>
        <v/>
      </c>
      <c r="DJ72" s="247" t="str">
        <f t="shared" ref="DJ72:DO72" si="163">IF(COUNTIF($I72,$DI72)&gt;0, J72, C72)</f>
        <v/>
      </c>
      <c r="DK72" s="247" t="str">
        <f t="shared" si="163"/>
        <v/>
      </c>
      <c r="DL72" s="247" t="str">
        <f t="shared" si="163"/>
        <v/>
      </c>
      <c r="DM72" s="247" t="str">
        <f t="shared" si="163"/>
        <v/>
      </c>
      <c r="DN72" s="247" t="str">
        <f t="shared" si="163"/>
        <v/>
      </c>
      <c r="DO72" s="247" t="str">
        <f t="shared" si="163"/>
        <v/>
      </c>
      <c r="DP72" s="244" t="str">
        <f t="shared" si="19"/>
        <v/>
      </c>
      <c r="DQ72" s="244" t="str">
        <f t="shared" ref="DQ72:DV72" si="164">IF(COUNTIF($I72,$DP72), J72, C72)</f>
        <v/>
      </c>
      <c r="DR72" s="244" t="str">
        <f t="shared" si="164"/>
        <v/>
      </c>
      <c r="DS72" s="244" t="str">
        <f t="shared" si="164"/>
        <v/>
      </c>
      <c r="DT72" s="244" t="str">
        <f t="shared" si="164"/>
        <v/>
      </c>
      <c r="DU72" s="244" t="str">
        <f t="shared" si="164"/>
        <v/>
      </c>
      <c r="DV72" s="244" t="str">
        <f t="shared" si="164"/>
        <v/>
      </c>
      <c r="DW72" s="241" t="str">
        <f>IF(HomePage!C83 &lt;&gt; "", IFS(AND(P72 = 1, COUNTIF(PlayerAltNames, B72)&gt;0), "Win", AND(P72 = 1, COUNTIF(PlayerAltNames, I72)&gt;0), "Loss", AND(P72 = 2, COUNTIF(PlayerAltNames, I72)&gt;0), "Win", AND(P72 = 2, COUNTIF(PlayerAltNames, B72)&gt;0), "Loss"), "")</f>
        <v/>
      </c>
      <c r="DX72" s="244"/>
      <c r="DY72" s="244" t="str">
        <f t="shared" si="21"/>
        <v>#N/A</v>
      </c>
      <c r="DZ72" s="244" t="str">
        <f t="shared" si="22"/>
        <v>#N/A</v>
      </c>
      <c r="EA72" s="244" t="str">
        <f t="shared" si="23"/>
        <v>#N/A</v>
      </c>
      <c r="EB72" s="244" t="str">
        <f t="shared" si="24"/>
        <v>#N/A</v>
      </c>
      <c r="EC72" s="244" t="str">
        <f t="shared" si="25"/>
        <v>#N/A</v>
      </c>
      <c r="ED72" s="244" t="str">
        <f t="shared" si="26"/>
        <v>#N/A</v>
      </c>
      <c r="EE72" s="244" t="str">
        <f t="shared" si="27"/>
        <v> -&gt; </v>
      </c>
      <c r="EF72" s="244" t="str">
        <f t="shared" si="28"/>
        <v/>
      </c>
      <c r="EG72" s="244"/>
      <c r="EH72" s="244"/>
      <c r="EI72" s="245"/>
    </row>
    <row r="73">
      <c r="A73" s="248"/>
      <c r="B73" s="239" t="str">
        <f>IF(HomePage!C84&lt;&gt;"", REPLAYTODATA(HomePage!C84), "")</f>
        <v/>
      </c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R73" s="244"/>
      <c r="AS73" s="244"/>
      <c r="AT73" s="244"/>
      <c r="AU73" s="244"/>
      <c r="AV73" s="244"/>
      <c r="AW73" s="244"/>
      <c r="AX73" s="244"/>
      <c r="AY73" s="244"/>
      <c r="AZ73" s="244"/>
      <c r="BA73" s="244"/>
      <c r="BB73" s="244"/>
      <c r="BC73" s="244"/>
      <c r="BD73" s="244"/>
      <c r="BE73" s="244"/>
      <c r="BF73" s="244"/>
      <c r="BG73" s="244"/>
      <c r="BH73" s="244"/>
      <c r="BI73" s="244"/>
      <c r="BJ73" s="244"/>
      <c r="BK73" s="244"/>
      <c r="BL73" s="244"/>
      <c r="BM73" s="244"/>
      <c r="BN73" s="244"/>
      <c r="BO73" s="244"/>
      <c r="BP73" s="244"/>
      <c r="BQ73" s="244"/>
      <c r="BR73" s="244"/>
      <c r="BS73" s="244"/>
      <c r="BT73" s="244"/>
      <c r="BU73" s="244"/>
      <c r="BV73" s="244"/>
      <c r="BW73" s="244"/>
      <c r="BX73" s="244"/>
      <c r="BY73" s="244"/>
      <c r="BZ73" s="244"/>
      <c r="CA73" s="244"/>
      <c r="CB73" s="244"/>
      <c r="CC73" s="244"/>
      <c r="CD73" s="244"/>
      <c r="CE73" s="244"/>
      <c r="CF73" s="244"/>
      <c r="CG73" s="244"/>
      <c r="CH73" s="244"/>
      <c r="CI73" s="244"/>
      <c r="CJ73" s="244"/>
      <c r="CK73" s="244"/>
      <c r="CL73" s="244"/>
      <c r="CM73" s="244"/>
      <c r="CN73" s="244"/>
      <c r="CO73" s="244"/>
      <c r="CP73" s="244"/>
      <c r="CQ73" s="244"/>
      <c r="CR73" s="244"/>
      <c r="CS73" s="244"/>
      <c r="CT73" s="241" t="str">
        <f t="shared" si="3"/>
        <v/>
      </c>
      <c r="CU73" s="246" t="str">
        <f t="shared" si="4"/>
        <v/>
      </c>
      <c r="CV73" s="241" t="str">
        <f t="shared" si="5"/>
        <v/>
      </c>
      <c r="CW73" s="246" t="str">
        <f t="shared" si="6"/>
        <v/>
      </c>
      <c r="CX73" s="241" t="str">
        <f t="shared" si="7"/>
        <v/>
      </c>
      <c r="CY73" s="241" t="str">
        <f t="shared" si="8"/>
        <v/>
      </c>
      <c r="CZ73" s="241" t="str">
        <f t="shared" si="9"/>
        <v/>
      </c>
      <c r="DA73" s="246" t="str">
        <f t="shared" si="10"/>
        <v/>
      </c>
      <c r="DB73" s="246" t="str">
        <f t="shared" si="11"/>
        <v/>
      </c>
      <c r="DC73" s="246" t="str">
        <f t="shared" si="12"/>
        <v/>
      </c>
      <c r="DD73" s="241" t="str">
        <f t="shared" si="13"/>
        <v>1</v>
      </c>
      <c r="DE73" s="241" t="str">
        <f t="shared" si="14"/>
        <v/>
      </c>
      <c r="DF73" s="241" t="str">
        <f t="shared" si="15"/>
        <v/>
      </c>
      <c r="DG73" s="244" t="str">
        <f t="shared" si="16"/>
        <v/>
      </c>
      <c r="DH73" s="244" t="str">
        <f t="shared" si="17"/>
        <v/>
      </c>
      <c r="DI73" s="244" t="str">
        <f>IF(COUNTIF(PlayerAltNames,B73)&gt;0, B73, I73)</f>
        <v/>
      </c>
      <c r="DJ73" s="247" t="str">
        <f t="shared" ref="DJ73:DO73" si="165">IF(COUNTIF($I73,$DI73)&gt;0, J73, C73)</f>
        <v/>
      </c>
      <c r="DK73" s="247" t="str">
        <f t="shared" si="165"/>
        <v/>
      </c>
      <c r="DL73" s="247" t="str">
        <f t="shared" si="165"/>
        <v/>
      </c>
      <c r="DM73" s="247" t="str">
        <f t="shared" si="165"/>
        <v/>
      </c>
      <c r="DN73" s="247" t="str">
        <f t="shared" si="165"/>
        <v/>
      </c>
      <c r="DO73" s="247" t="str">
        <f t="shared" si="165"/>
        <v/>
      </c>
      <c r="DP73" s="244" t="str">
        <f t="shared" si="19"/>
        <v/>
      </c>
      <c r="DQ73" s="244" t="str">
        <f t="shared" ref="DQ73:DV73" si="166">IF(COUNTIF($I73,$DP73), J73, C73)</f>
        <v/>
      </c>
      <c r="DR73" s="244" t="str">
        <f t="shared" si="166"/>
        <v/>
      </c>
      <c r="DS73" s="244" t="str">
        <f t="shared" si="166"/>
        <v/>
      </c>
      <c r="DT73" s="244" t="str">
        <f t="shared" si="166"/>
        <v/>
      </c>
      <c r="DU73" s="244" t="str">
        <f t="shared" si="166"/>
        <v/>
      </c>
      <c r="DV73" s="244" t="str">
        <f t="shared" si="166"/>
        <v/>
      </c>
      <c r="DW73" s="241" t="str">
        <f>IF(HomePage!C84 &lt;&gt; "", IFS(AND(P73 = 1, COUNTIF(PlayerAltNames, B73)&gt;0), "Win", AND(P73 = 1, COUNTIF(PlayerAltNames, I73)&gt;0), "Loss", AND(P73 = 2, COUNTIF(PlayerAltNames, I73)&gt;0), "Win", AND(P73 = 2, COUNTIF(PlayerAltNames, B73)&gt;0), "Loss"), "")</f>
        <v/>
      </c>
      <c r="DX73" s="244"/>
      <c r="DY73" s="244" t="str">
        <f t="shared" si="21"/>
        <v>#N/A</v>
      </c>
      <c r="DZ73" s="244" t="str">
        <f t="shared" si="22"/>
        <v>#N/A</v>
      </c>
      <c r="EA73" s="244" t="str">
        <f t="shared" si="23"/>
        <v>#N/A</v>
      </c>
      <c r="EB73" s="244" t="str">
        <f t="shared" si="24"/>
        <v>#N/A</v>
      </c>
      <c r="EC73" s="244" t="str">
        <f t="shared" si="25"/>
        <v>#N/A</v>
      </c>
      <c r="ED73" s="244" t="str">
        <f t="shared" si="26"/>
        <v>#N/A</v>
      </c>
      <c r="EE73" s="244" t="str">
        <f t="shared" si="27"/>
        <v> -&gt; </v>
      </c>
      <c r="EF73" s="244" t="str">
        <f t="shared" si="28"/>
        <v/>
      </c>
      <c r="EG73" s="244"/>
      <c r="EH73" s="244"/>
      <c r="EI73" s="245"/>
    </row>
    <row r="74">
      <c r="A74" s="248"/>
      <c r="B74" s="239" t="str">
        <f>IF(HomePage!C85&lt;&gt;"", REPLAYTODATA(HomePage!C85), "")</f>
        <v/>
      </c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R74" s="244"/>
      <c r="AS74" s="244"/>
      <c r="AT74" s="244"/>
      <c r="AU74" s="244"/>
      <c r="AV74" s="244"/>
      <c r="AW74" s="244"/>
      <c r="AX74" s="244"/>
      <c r="AY74" s="244"/>
      <c r="AZ74" s="244"/>
      <c r="BA74" s="244"/>
      <c r="BB74" s="244"/>
      <c r="BC74" s="244"/>
      <c r="BD74" s="244"/>
      <c r="BE74" s="244"/>
      <c r="BF74" s="244"/>
      <c r="BG74" s="244"/>
      <c r="BH74" s="244"/>
      <c r="BI74" s="244"/>
      <c r="BJ74" s="244"/>
      <c r="BK74" s="244"/>
      <c r="BL74" s="244"/>
      <c r="BM74" s="244"/>
      <c r="BN74" s="244"/>
      <c r="BO74" s="244"/>
      <c r="BP74" s="244"/>
      <c r="BQ74" s="244"/>
      <c r="BR74" s="244"/>
      <c r="BS74" s="244"/>
      <c r="BT74" s="244"/>
      <c r="BU74" s="244"/>
      <c r="BV74" s="244"/>
      <c r="BW74" s="244"/>
      <c r="BX74" s="244"/>
      <c r="BY74" s="244"/>
      <c r="BZ74" s="244"/>
      <c r="CA74" s="244"/>
      <c r="CB74" s="244"/>
      <c r="CC74" s="244"/>
      <c r="CD74" s="244"/>
      <c r="CE74" s="244"/>
      <c r="CF74" s="244"/>
      <c r="CG74" s="244"/>
      <c r="CH74" s="244"/>
      <c r="CI74" s="244"/>
      <c r="CJ74" s="244"/>
      <c r="CK74" s="244"/>
      <c r="CL74" s="244"/>
      <c r="CM74" s="244"/>
      <c r="CN74" s="244"/>
      <c r="CO74" s="244"/>
      <c r="CP74" s="244"/>
      <c r="CQ74" s="244"/>
      <c r="CR74" s="244"/>
      <c r="CS74" s="244"/>
      <c r="CT74" s="241" t="str">
        <f t="shared" si="3"/>
        <v/>
      </c>
      <c r="CU74" s="246" t="str">
        <f t="shared" si="4"/>
        <v/>
      </c>
      <c r="CV74" s="241" t="str">
        <f t="shared" si="5"/>
        <v/>
      </c>
      <c r="CW74" s="246" t="str">
        <f t="shared" si="6"/>
        <v/>
      </c>
      <c r="CX74" s="241" t="str">
        <f t="shared" si="7"/>
        <v/>
      </c>
      <c r="CY74" s="241" t="str">
        <f t="shared" si="8"/>
        <v/>
      </c>
      <c r="CZ74" s="241" t="str">
        <f t="shared" si="9"/>
        <v/>
      </c>
      <c r="DA74" s="246" t="str">
        <f t="shared" si="10"/>
        <v/>
      </c>
      <c r="DB74" s="246" t="str">
        <f t="shared" si="11"/>
        <v/>
      </c>
      <c r="DC74" s="246" t="str">
        <f t="shared" si="12"/>
        <v/>
      </c>
      <c r="DD74" s="241" t="str">
        <f t="shared" si="13"/>
        <v>1</v>
      </c>
      <c r="DE74" s="241" t="str">
        <f t="shared" si="14"/>
        <v/>
      </c>
      <c r="DF74" s="241" t="str">
        <f t="shared" si="15"/>
        <v/>
      </c>
      <c r="DG74" s="244" t="str">
        <f t="shared" si="16"/>
        <v/>
      </c>
      <c r="DH74" s="244" t="str">
        <f t="shared" si="17"/>
        <v/>
      </c>
      <c r="DI74" s="244" t="str">
        <f>IF(COUNTIF(PlayerAltNames,B74)&gt;0, B74, I74)</f>
        <v/>
      </c>
      <c r="DJ74" s="247" t="str">
        <f t="shared" ref="DJ74:DO74" si="167">IF(COUNTIF($I74,$DI74)&gt;0, J74, C74)</f>
        <v/>
      </c>
      <c r="DK74" s="247" t="str">
        <f t="shared" si="167"/>
        <v/>
      </c>
      <c r="DL74" s="247" t="str">
        <f t="shared" si="167"/>
        <v/>
      </c>
      <c r="DM74" s="247" t="str">
        <f t="shared" si="167"/>
        <v/>
      </c>
      <c r="DN74" s="247" t="str">
        <f t="shared" si="167"/>
        <v/>
      </c>
      <c r="DO74" s="247" t="str">
        <f t="shared" si="167"/>
        <v/>
      </c>
      <c r="DP74" s="244" t="str">
        <f t="shared" si="19"/>
        <v/>
      </c>
      <c r="DQ74" s="244" t="str">
        <f t="shared" ref="DQ74:DV74" si="168">IF(COUNTIF($I74,$DP74), J74, C74)</f>
        <v/>
      </c>
      <c r="DR74" s="244" t="str">
        <f t="shared" si="168"/>
        <v/>
      </c>
      <c r="DS74" s="244" t="str">
        <f t="shared" si="168"/>
        <v/>
      </c>
      <c r="DT74" s="244" t="str">
        <f t="shared" si="168"/>
        <v/>
      </c>
      <c r="DU74" s="244" t="str">
        <f t="shared" si="168"/>
        <v/>
      </c>
      <c r="DV74" s="244" t="str">
        <f t="shared" si="168"/>
        <v/>
      </c>
      <c r="DW74" s="241" t="str">
        <f>IF(HomePage!C85 &lt;&gt; "", IFS(AND(P74 = 1, COUNTIF(PlayerAltNames, B74)&gt;0), "Win", AND(P74 = 1, COUNTIF(PlayerAltNames, I74)&gt;0), "Loss", AND(P74 = 2, COUNTIF(PlayerAltNames, I74)&gt;0), "Win", AND(P74 = 2, COUNTIF(PlayerAltNames, B74)&gt;0), "Loss"), "")</f>
        <v/>
      </c>
      <c r="DX74" s="244"/>
      <c r="DY74" s="244" t="str">
        <f t="shared" si="21"/>
        <v>#N/A</v>
      </c>
      <c r="DZ74" s="244" t="str">
        <f t="shared" si="22"/>
        <v>#N/A</v>
      </c>
      <c r="EA74" s="244" t="str">
        <f t="shared" si="23"/>
        <v>#N/A</v>
      </c>
      <c r="EB74" s="244" t="str">
        <f t="shared" si="24"/>
        <v>#N/A</v>
      </c>
      <c r="EC74" s="244" t="str">
        <f t="shared" si="25"/>
        <v>#N/A</v>
      </c>
      <c r="ED74" s="244" t="str">
        <f t="shared" si="26"/>
        <v>#N/A</v>
      </c>
      <c r="EE74" s="244" t="str">
        <f t="shared" si="27"/>
        <v> -&gt; </v>
      </c>
      <c r="EF74" s="244" t="str">
        <f t="shared" si="28"/>
        <v/>
      </c>
      <c r="EG74" s="244"/>
      <c r="EH74" s="244"/>
      <c r="EI74" s="245"/>
    </row>
    <row r="75">
      <c r="A75" s="248"/>
      <c r="B75" s="239" t="str">
        <f>IF(HomePage!C86&lt;&gt;"", REPLAYTODATA(HomePage!C86), "")</f>
        <v/>
      </c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R75" s="244"/>
      <c r="AS75" s="244"/>
      <c r="AT75" s="244"/>
      <c r="AU75" s="244"/>
      <c r="AV75" s="244"/>
      <c r="AW75" s="244"/>
      <c r="AX75" s="244"/>
      <c r="AY75" s="244"/>
      <c r="AZ75" s="244"/>
      <c r="BA75" s="244"/>
      <c r="BB75" s="244"/>
      <c r="BC75" s="244"/>
      <c r="BD75" s="244"/>
      <c r="BE75" s="244"/>
      <c r="BF75" s="244"/>
      <c r="BG75" s="244"/>
      <c r="BH75" s="244"/>
      <c r="BI75" s="244"/>
      <c r="BJ75" s="244"/>
      <c r="BK75" s="244"/>
      <c r="BL75" s="244"/>
      <c r="BM75" s="244"/>
      <c r="BN75" s="244"/>
      <c r="BO75" s="244"/>
      <c r="BP75" s="244"/>
      <c r="BQ75" s="244"/>
      <c r="BR75" s="244"/>
      <c r="BS75" s="244"/>
      <c r="BT75" s="244"/>
      <c r="BU75" s="244"/>
      <c r="BV75" s="244"/>
      <c r="BW75" s="244"/>
      <c r="BX75" s="244"/>
      <c r="BY75" s="244"/>
      <c r="BZ75" s="244"/>
      <c r="CA75" s="244"/>
      <c r="CB75" s="244"/>
      <c r="CC75" s="244"/>
      <c r="CD75" s="244"/>
      <c r="CE75" s="244"/>
      <c r="CF75" s="244"/>
      <c r="CG75" s="244"/>
      <c r="CH75" s="244"/>
      <c r="CI75" s="244"/>
      <c r="CJ75" s="244"/>
      <c r="CK75" s="244"/>
      <c r="CL75" s="244"/>
      <c r="CM75" s="244"/>
      <c r="CN75" s="244"/>
      <c r="CO75" s="244"/>
      <c r="CP75" s="244"/>
      <c r="CQ75" s="244"/>
      <c r="CR75" s="244"/>
      <c r="CS75" s="244"/>
      <c r="CT75" s="241" t="str">
        <f t="shared" si="3"/>
        <v/>
      </c>
      <c r="CU75" s="246" t="str">
        <f t="shared" si="4"/>
        <v/>
      </c>
      <c r="CV75" s="241" t="str">
        <f t="shared" si="5"/>
        <v/>
      </c>
      <c r="CW75" s="246" t="str">
        <f t="shared" si="6"/>
        <v/>
      </c>
      <c r="CX75" s="241" t="str">
        <f t="shared" si="7"/>
        <v/>
      </c>
      <c r="CY75" s="241" t="str">
        <f t="shared" si="8"/>
        <v/>
      </c>
      <c r="CZ75" s="241" t="str">
        <f t="shared" si="9"/>
        <v/>
      </c>
      <c r="DA75" s="246" t="str">
        <f t="shared" si="10"/>
        <v/>
      </c>
      <c r="DB75" s="246" t="str">
        <f t="shared" si="11"/>
        <v/>
      </c>
      <c r="DC75" s="246" t="str">
        <f t="shared" si="12"/>
        <v/>
      </c>
      <c r="DD75" s="241" t="str">
        <f t="shared" si="13"/>
        <v>1</v>
      </c>
      <c r="DE75" s="241" t="str">
        <f t="shared" si="14"/>
        <v/>
      </c>
      <c r="DF75" s="241" t="str">
        <f t="shared" si="15"/>
        <v/>
      </c>
      <c r="DG75" s="244" t="str">
        <f t="shared" si="16"/>
        <v/>
      </c>
      <c r="DH75" s="244" t="str">
        <f t="shared" si="17"/>
        <v/>
      </c>
      <c r="DI75" s="244" t="str">
        <f>IF(COUNTIF(PlayerAltNames,B75)&gt;0, B75, I75)</f>
        <v/>
      </c>
      <c r="DJ75" s="247" t="str">
        <f t="shared" ref="DJ75:DO75" si="169">IF(COUNTIF($I75,$DI75)&gt;0, J75, C75)</f>
        <v/>
      </c>
      <c r="DK75" s="247" t="str">
        <f t="shared" si="169"/>
        <v/>
      </c>
      <c r="DL75" s="247" t="str">
        <f t="shared" si="169"/>
        <v/>
      </c>
      <c r="DM75" s="247" t="str">
        <f t="shared" si="169"/>
        <v/>
      </c>
      <c r="DN75" s="247" t="str">
        <f t="shared" si="169"/>
        <v/>
      </c>
      <c r="DO75" s="247" t="str">
        <f t="shared" si="169"/>
        <v/>
      </c>
      <c r="DP75" s="244" t="str">
        <f t="shared" si="19"/>
        <v/>
      </c>
      <c r="DQ75" s="244" t="str">
        <f t="shared" ref="DQ75:DV75" si="170">IF(COUNTIF($I75,$DP75), J75, C75)</f>
        <v/>
      </c>
      <c r="DR75" s="244" t="str">
        <f t="shared" si="170"/>
        <v/>
      </c>
      <c r="DS75" s="244" t="str">
        <f t="shared" si="170"/>
        <v/>
      </c>
      <c r="DT75" s="244" t="str">
        <f t="shared" si="170"/>
        <v/>
      </c>
      <c r="DU75" s="244" t="str">
        <f t="shared" si="170"/>
        <v/>
      </c>
      <c r="DV75" s="244" t="str">
        <f t="shared" si="170"/>
        <v/>
      </c>
      <c r="DW75" s="241" t="str">
        <f>IF(HomePage!C86 &lt;&gt; "", IFS(AND(P75 = 1, COUNTIF(PlayerAltNames, B75)&gt;0), "Win", AND(P75 = 1, COUNTIF(PlayerAltNames, I75)&gt;0), "Loss", AND(P75 = 2, COUNTIF(PlayerAltNames, I75)&gt;0), "Win", AND(P75 = 2, COUNTIF(PlayerAltNames, B75)&gt;0), "Loss"), "")</f>
        <v/>
      </c>
      <c r="DX75" s="244"/>
      <c r="DY75" s="244" t="str">
        <f t="shared" si="21"/>
        <v>#N/A</v>
      </c>
      <c r="DZ75" s="244" t="str">
        <f t="shared" si="22"/>
        <v>#N/A</v>
      </c>
      <c r="EA75" s="244" t="str">
        <f t="shared" si="23"/>
        <v>#N/A</v>
      </c>
      <c r="EB75" s="244" t="str">
        <f t="shared" si="24"/>
        <v>#N/A</v>
      </c>
      <c r="EC75" s="244" t="str">
        <f t="shared" si="25"/>
        <v>#N/A</v>
      </c>
      <c r="ED75" s="244" t="str">
        <f t="shared" si="26"/>
        <v>#N/A</v>
      </c>
      <c r="EE75" s="244" t="str">
        <f t="shared" si="27"/>
        <v> -&gt; </v>
      </c>
      <c r="EF75" s="244" t="str">
        <f t="shared" si="28"/>
        <v/>
      </c>
      <c r="EG75" s="244"/>
      <c r="EH75" s="244"/>
      <c r="EI75" s="245"/>
    </row>
    <row r="76">
      <c r="A76" s="248"/>
      <c r="B76" s="239" t="str">
        <f>IF(HomePage!C87&lt;&gt;"", REPLAYTODATA(HomePage!C87), "")</f>
        <v/>
      </c>
      <c r="C76" s="236"/>
      <c r="D76" s="236"/>
      <c r="E76" s="236"/>
      <c r="F76" s="236"/>
      <c r="G76" s="236"/>
      <c r="H76" s="236"/>
      <c r="I76" s="236"/>
      <c r="J76" s="236"/>
      <c r="K76" s="236"/>
      <c r="L76" s="236"/>
      <c r="M76" s="236"/>
      <c r="N76" s="236"/>
      <c r="O76" s="236"/>
      <c r="P76" s="236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S76" s="244"/>
      <c r="AT76" s="244"/>
      <c r="AU76" s="244"/>
      <c r="AV76" s="244"/>
      <c r="AW76" s="244"/>
      <c r="AX76" s="244"/>
      <c r="AY76" s="244"/>
      <c r="AZ76" s="244"/>
      <c r="BA76" s="244"/>
      <c r="BB76" s="244"/>
      <c r="BC76" s="244"/>
      <c r="BD76" s="244"/>
      <c r="BE76" s="244"/>
      <c r="BF76" s="244"/>
      <c r="BG76" s="244"/>
      <c r="BH76" s="244"/>
      <c r="BI76" s="244"/>
      <c r="BJ76" s="244"/>
      <c r="BK76" s="244"/>
      <c r="BL76" s="244"/>
      <c r="BM76" s="244"/>
      <c r="BN76" s="244"/>
      <c r="BO76" s="244"/>
      <c r="BP76" s="244"/>
      <c r="BQ76" s="244"/>
      <c r="BR76" s="244"/>
      <c r="BS76" s="244"/>
      <c r="BT76" s="244"/>
      <c r="BU76" s="244"/>
      <c r="BV76" s="244"/>
      <c r="BW76" s="244"/>
      <c r="BX76" s="244"/>
      <c r="BY76" s="244"/>
      <c r="BZ76" s="244"/>
      <c r="CA76" s="244"/>
      <c r="CB76" s="244"/>
      <c r="CC76" s="244"/>
      <c r="CD76" s="244"/>
      <c r="CE76" s="244"/>
      <c r="CF76" s="244"/>
      <c r="CG76" s="244"/>
      <c r="CH76" s="244"/>
      <c r="CI76" s="244"/>
      <c r="CJ76" s="244"/>
      <c r="CK76" s="244"/>
      <c r="CL76" s="244"/>
      <c r="CM76" s="244"/>
      <c r="CN76" s="244"/>
      <c r="CO76" s="244"/>
      <c r="CP76" s="244"/>
      <c r="CQ76" s="244"/>
      <c r="CR76" s="244"/>
      <c r="CS76" s="244"/>
      <c r="CT76" s="241" t="str">
        <f t="shared" si="3"/>
        <v/>
      </c>
      <c r="CU76" s="246" t="str">
        <f t="shared" si="4"/>
        <v/>
      </c>
      <c r="CV76" s="241" t="str">
        <f t="shared" si="5"/>
        <v/>
      </c>
      <c r="CW76" s="246" t="str">
        <f t="shared" si="6"/>
        <v/>
      </c>
      <c r="CX76" s="241" t="str">
        <f t="shared" si="7"/>
        <v/>
      </c>
      <c r="CY76" s="241" t="str">
        <f t="shared" si="8"/>
        <v/>
      </c>
      <c r="CZ76" s="241" t="str">
        <f t="shared" si="9"/>
        <v/>
      </c>
      <c r="DA76" s="246" t="str">
        <f t="shared" si="10"/>
        <v/>
      </c>
      <c r="DB76" s="246" t="str">
        <f t="shared" si="11"/>
        <v/>
      </c>
      <c r="DC76" s="246" t="str">
        <f t="shared" si="12"/>
        <v/>
      </c>
      <c r="DD76" s="241" t="str">
        <f t="shared" si="13"/>
        <v>1</v>
      </c>
      <c r="DE76" s="241" t="str">
        <f t="shared" si="14"/>
        <v/>
      </c>
      <c r="DF76" s="241" t="str">
        <f t="shared" si="15"/>
        <v/>
      </c>
      <c r="DG76" s="244" t="str">
        <f t="shared" si="16"/>
        <v/>
      </c>
      <c r="DH76" s="244" t="str">
        <f t="shared" si="17"/>
        <v/>
      </c>
      <c r="DI76" s="244" t="str">
        <f>IF(COUNTIF(PlayerAltNames,B76)&gt;0, B76, I76)</f>
        <v/>
      </c>
      <c r="DJ76" s="247" t="str">
        <f t="shared" ref="DJ76:DO76" si="171">IF(COUNTIF($I76,$DI76)&gt;0, J76, C76)</f>
        <v/>
      </c>
      <c r="DK76" s="247" t="str">
        <f t="shared" si="171"/>
        <v/>
      </c>
      <c r="DL76" s="247" t="str">
        <f t="shared" si="171"/>
        <v/>
      </c>
      <c r="DM76" s="247" t="str">
        <f t="shared" si="171"/>
        <v/>
      </c>
      <c r="DN76" s="247" t="str">
        <f t="shared" si="171"/>
        <v/>
      </c>
      <c r="DO76" s="247" t="str">
        <f t="shared" si="171"/>
        <v/>
      </c>
      <c r="DP76" s="244" t="str">
        <f t="shared" si="19"/>
        <v/>
      </c>
      <c r="DQ76" s="244" t="str">
        <f t="shared" ref="DQ76:DV76" si="172">IF(COUNTIF($I76,$DP76), J76, C76)</f>
        <v/>
      </c>
      <c r="DR76" s="244" t="str">
        <f t="shared" si="172"/>
        <v/>
      </c>
      <c r="DS76" s="244" t="str">
        <f t="shared" si="172"/>
        <v/>
      </c>
      <c r="DT76" s="244" t="str">
        <f t="shared" si="172"/>
        <v/>
      </c>
      <c r="DU76" s="244" t="str">
        <f t="shared" si="172"/>
        <v/>
      </c>
      <c r="DV76" s="244" t="str">
        <f t="shared" si="172"/>
        <v/>
      </c>
      <c r="DW76" s="241" t="str">
        <f>IF(HomePage!C87 &lt;&gt; "", IFS(AND(P76 = 1, COUNTIF(PlayerAltNames, B76)&gt;0), "Win", AND(P76 = 1, COUNTIF(PlayerAltNames, I76)&gt;0), "Loss", AND(P76 = 2, COUNTIF(PlayerAltNames, I76)&gt;0), "Win", AND(P76 = 2, COUNTIF(PlayerAltNames, B76)&gt;0), "Loss"), "")</f>
        <v/>
      </c>
      <c r="DX76" s="244"/>
      <c r="DY76" s="244" t="str">
        <f t="shared" si="21"/>
        <v>#N/A</v>
      </c>
      <c r="DZ76" s="244" t="str">
        <f t="shared" si="22"/>
        <v>#N/A</v>
      </c>
      <c r="EA76" s="244" t="str">
        <f t="shared" si="23"/>
        <v>#N/A</v>
      </c>
      <c r="EB76" s="244" t="str">
        <f t="shared" si="24"/>
        <v>#N/A</v>
      </c>
      <c r="EC76" s="244" t="str">
        <f t="shared" si="25"/>
        <v>#N/A</v>
      </c>
      <c r="ED76" s="244" t="str">
        <f t="shared" si="26"/>
        <v>#N/A</v>
      </c>
      <c r="EE76" s="244" t="str">
        <f t="shared" si="27"/>
        <v> -&gt; </v>
      </c>
      <c r="EF76" s="244" t="str">
        <f t="shared" si="28"/>
        <v/>
      </c>
      <c r="EG76" s="244"/>
      <c r="EH76" s="244"/>
      <c r="EI76" s="245"/>
    </row>
    <row r="77">
      <c r="A77" s="248"/>
      <c r="B77" s="239" t="str">
        <f>IF(HomePage!C88&lt;&gt;"", REPLAYTODATA(HomePage!C88), "")</f>
        <v/>
      </c>
      <c r="C77" s="236"/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44"/>
      <c r="AP77" s="244"/>
      <c r="AQ77" s="244"/>
      <c r="AR77" s="244"/>
      <c r="AS77" s="244"/>
      <c r="AT77" s="244"/>
      <c r="AU77" s="244"/>
      <c r="AV77" s="244"/>
      <c r="AW77" s="244"/>
      <c r="AX77" s="244"/>
      <c r="AY77" s="244"/>
      <c r="AZ77" s="244"/>
      <c r="BA77" s="244"/>
      <c r="BB77" s="244"/>
      <c r="BC77" s="244"/>
      <c r="BD77" s="244"/>
      <c r="BE77" s="244"/>
      <c r="BF77" s="244"/>
      <c r="BG77" s="244"/>
      <c r="BH77" s="244"/>
      <c r="BI77" s="244"/>
      <c r="BJ77" s="244"/>
      <c r="BK77" s="244"/>
      <c r="BL77" s="244"/>
      <c r="BM77" s="244"/>
      <c r="BN77" s="244"/>
      <c r="BO77" s="244"/>
      <c r="BP77" s="244"/>
      <c r="BQ77" s="244"/>
      <c r="BR77" s="244"/>
      <c r="BS77" s="244"/>
      <c r="BT77" s="244"/>
      <c r="BU77" s="244"/>
      <c r="BV77" s="244"/>
      <c r="BW77" s="244"/>
      <c r="BX77" s="244"/>
      <c r="BY77" s="244"/>
      <c r="BZ77" s="244"/>
      <c r="CA77" s="244"/>
      <c r="CB77" s="244"/>
      <c r="CC77" s="244"/>
      <c r="CD77" s="244"/>
      <c r="CE77" s="244"/>
      <c r="CF77" s="244"/>
      <c r="CG77" s="244"/>
      <c r="CH77" s="244"/>
      <c r="CI77" s="244"/>
      <c r="CJ77" s="244"/>
      <c r="CK77" s="244"/>
      <c r="CL77" s="244"/>
      <c r="CM77" s="244"/>
      <c r="CN77" s="244"/>
      <c r="CO77" s="244"/>
      <c r="CP77" s="244"/>
      <c r="CQ77" s="244"/>
      <c r="CR77" s="244"/>
      <c r="CS77" s="244"/>
      <c r="CT77" s="241" t="str">
        <f t="shared" si="3"/>
        <v/>
      </c>
      <c r="CU77" s="246" t="str">
        <f t="shared" si="4"/>
        <v/>
      </c>
      <c r="CV77" s="241" t="str">
        <f t="shared" si="5"/>
        <v/>
      </c>
      <c r="CW77" s="246" t="str">
        <f t="shared" si="6"/>
        <v/>
      </c>
      <c r="CX77" s="241" t="str">
        <f t="shared" si="7"/>
        <v/>
      </c>
      <c r="CY77" s="241" t="str">
        <f t="shared" si="8"/>
        <v/>
      </c>
      <c r="CZ77" s="241" t="str">
        <f t="shared" si="9"/>
        <v/>
      </c>
      <c r="DA77" s="246" t="str">
        <f t="shared" si="10"/>
        <v/>
      </c>
      <c r="DB77" s="246" t="str">
        <f t="shared" si="11"/>
        <v/>
      </c>
      <c r="DC77" s="246" t="str">
        <f t="shared" si="12"/>
        <v/>
      </c>
      <c r="DD77" s="241" t="str">
        <f t="shared" si="13"/>
        <v>1</v>
      </c>
      <c r="DE77" s="241" t="str">
        <f t="shared" si="14"/>
        <v/>
      </c>
      <c r="DF77" s="241" t="str">
        <f t="shared" si="15"/>
        <v/>
      </c>
      <c r="DG77" s="244" t="str">
        <f t="shared" si="16"/>
        <v/>
      </c>
      <c r="DH77" s="244" t="str">
        <f t="shared" si="17"/>
        <v/>
      </c>
      <c r="DI77" s="244" t="str">
        <f>IF(COUNTIF(PlayerAltNames,B77)&gt;0, B77, I77)</f>
        <v/>
      </c>
      <c r="DJ77" s="247" t="str">
        <f t="shared" ref="DJ77:DO77" si="173">IF(COUNTIF($I77,$DI77)&gt;0, J77, C77)</f>
        <v/>
      </c>
      <c r="DK77" s="247" t="str">
        <f t="shared" si="173"/>
        <v/>
      </c>
      <c r="DL77" s="247" t="str">
        <f t="shared" si="173"/>
        <v/>
      </c>
      <c r="DM77" s="247" t="str">
        <f t="shared" si="173"/>
        <v/>
      </c>
      <c r="DN77" s="247" t="str">
        <f t="shared" si="173"/>
        <v/>
      </c>
      <c r="DO77" s="247" t="str">
        <f t="shared" si="173"/>
        <v/>
      </c>
      <c r="DP77" s="244" t="str">
        <f t="shared" si="19"/>
        <v/>
      </c>
      <c r="DQ77" s="244" t="str">
        <f t="shared" ref="DQ77:DV77" si="174">IF(COUNTIF($I77,$DP77), J77, C77)</f>
        <v/>
      </c>
      <c r="DR77" s="244" t="str">
        <f t="shared" si="174"/>
        <v/>
      </c>
      <c r="DS77" s="244" t="str">
        <f t="shared" si="174"/>
        <v/>
      </c>
      <c r="DT77" s="244" t="str">
        <f t="shared" si="174"/>
        <v/>
      </c>
      <c r="DU77" s="244" t="str">
        <f t="shared" si="174"/>
        <v/>
      </c>
      <c r="DV77" s="244" t="str">
        <f t="shared" si="174"/>
        <v/>
      </c>
      <c r="DW77" s="241" t="str">
        <f>IF(HomePage!C88 &lt;&gt; "", IFS(AND(P77 = 1, COUNTIF(PlayerAltNames, B77)&gt;0), "Win", AND(P77 = 1, COUNTIF(PlayerAltNames, I77)&gt;0), "Loss", AND(P77 = 2, COUNTIF(PlayerAltNames, I77)&gt;0), "Win", AND(P77 = 2, COUNTIF(PlayerAltNames, B77)&gt;0), "Loss"), "")</f>
        <v/>
      </c>
      <c r="DX77" s="244"/>
      <c r="DY77" s="244" t="str">
        <f t="shared" si="21"/>
        <v>#N/A</v>
      </c>
      <c r="DZ77" s="244" t="str">
        <f t="shared" si="22"/>
        <v>#N/A</v>
      </c>
      <c r="EA77" s="244" t="str">
        <f t="shared" si="23"/>
        <v>#N/A</v>
      </c>
      <c r="EB77" s="244" t="str">
        <f t="shared" si="24"/>
        <v>#N/A</v>
      </c>
      <c r="EC77" s="244" t="str">
        <f t="shared" si="25"/>
        <v>#N/A</v>
      </c>
      <c r="ED77" s="244" t="str">
        <f t="shared" si="26"/>
        <v>#N/A</v>
      </c>
      <c r="EE77" s="244" t="str">
        <f t="shared" si="27"/>
        <v> -&gt; </v>
      </c>
      <c r="EF77" s="244" t="str">
        <f t="shared" si="28"/>
        <v/>
      </c>
      <c r="EG77" s="244"/>
      <c r="EH77" s="244"/>
      <c r="EI77" s="245"/>
    </row>
    <row r="78">
      <c r="A78" s="248"/>
      <c r="B78" s="239" t="str">
        <f>IF(HomePage!C89&lt;&gt;"", REPLAYTODATA(HomePage!C89), "")</f>
        <v/>
      </c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244"/>
      <c r="AR78" s="244"/>
      <c r="AS78" s="244"/>
      <c r="AT78" s="244"/>
      <c r="AU78" s="244"/>
      <c r="AV78" s="244"/>
      <c r="AW78" s="244"/>
      <c r="AX78" s="244"/>
      <c r="AY78" s="244"/>
      <c r="AZ78" s="244"/>
      <c r="BA78" s="244"/>
      <c r="BB78" s="244"/>
      <c r="BC78" s="244"/>
      <c r="BD78" s="244"/>
      <c r="BE78" s="244"/>
      <c r="BF78" s="244"/>
      <c r="BG78" s="244"/>
      <c r="BH78" s="244"/>
      <c r="BI78" s="244"/>
      <c r="BJ78" s="244"/>
      <c r="BK78" s="244"/>
      <c r="BL78" s="244"/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44"/>
      <c r="BZ78" s="244"/>
      <c r="CA78" s="244"/>
      <c r="CB78" s="244"/>
      <c r="CC78" s="244"/>
      <c r="CD78" s="244"/>
      <c r="CE78" s="244"/>
      <c r="CF78" s="244"/>
      <c r="CG78" s="244"/>
      <c r="CH78" s="244"/>
      <c r="CI78" s="244"/>
      <c r="CJ78" s="244"/>
      <c r="CK78" s="244"/>
      <c r="CL78" s="244"/>
      <c r="CM78" s="244"/>
      <c r="CN78" s="244"/>
      <c r="CO78" s="244"/>
      <c r="CP78" s="244"/>
      <c r="CQ78" s="244"/>
      <c r="CR78" s="244"/>
      <c r="CS78" s="244"/>
      <c r="CT78" s="241" t="str">
        <f t="shared" si="3"/>
        <v/>
      </c>
      <c r="CU78" s="246" t="str">
        <f t="shared" si="4"/>
        <v/>
      </c>
      <c r="CV78" s="241" t="str">
        <f t="shared" si="5"/>
        <v/>
      </c>
      <c r="CW78" s="246" t="str">
        <f t="shared" si="6"/>
        <v/>
      </c>
      <c r="CX78" s="241" t="str">
        <f t="shared" si="7"/>
        <v/>
      </c>
      <c r="CY78" s="241" t="str">
        <f t="shared" si="8"/>
        <v/>
      </c>
      <c r="CZ78" s="241" t="str">
        <f t="shared" si="9"/>
        <v/>
      </c>
      <c r="DA78" s="246" t="str">
        <f t="shared" si="10"/>
        <v/>
      </c>
      <c r="DB78" s="246" t="str">
        <f t="shared" si="11"/>
        <v/>
      </c>
      <c r="DC78" s="246" t="str">
        <f t="shared" si="12"/>
        <v/>
      </c>
      <c r="DD78" s="241" t="str">
        <f t="shared" si="13"/>
        <v>1</v>
      </c>
      <c r="DE78" s="241" t="str">
        <f t="shared" si="14"/>
        <v/>
      </c>
      <c r="DF78" s="241" t="str">
        <f t="shared" si="15"/>
        <v/>
      </c>
      <c r="DG78" s="244" t="str">
        <f t="shared" si="16"/>
        <v/>
      </c>
      <c r="DH78" s="244" t="str">
        <f t="shared" si="17"/>
        <v/>
      </c>
      <c r="DI78" s="244" t="str">
        <f>IF(COUNTIF(PlayerAltNames,B78)&gt;0, B78, I78)</f>
        <v/>
      </c>
      <c r="DJ78" s="247" t="str">
        <f t="shared" ref="DJ78:DO78" si="175">IF(COUNTIF($I78,$DI78)&gt;0, J78, C78)</f>
        <v/>
      </c>
      <c r="DK78" s="247" t="str">
        <f t="shared" si="175"/>
        <v/>
      </c>
      <c r="DL78" s="247" t="str">
        <f t="shared" si="175"/>
        <v/>
      </c>
      <c r="DM78" s="247" t="str">
        <f t="shared" si="175"/>
        <v/>
      </c>
      <c r="DN78" s="247" t="str">
        <f t="shared" si="175"/>
        <v/>
      </c>
      <c r="DO78" s="247" t="str">
        <f t="shared" si="175"/>
        <v/>
      </c>
      <c r="DP78" s="244" t="str">
        <f t="shared" si="19"/>
        <v/>
      </c>
      <c r="DQ78" s="244" t="str">
        <f t="shared" ref="DQ78:DV78" si="176">IF(COUNTIF($I78,$DP78), J78, C78)</f>
        <v/>
      </c>
      <c r="DR78" s="244" t="str">
        <f t="shared" si="176"/>
        <v/>
      </c>
      <c r="DS78" s="244" t="str">
        <f t="shared" si="176"/>
        <v/>
      </c>
      <c r="DT78" s="244" t="str">
        <f t="shared" si="176"/>
        <v/>
      </c>
      <c r="DU78" s="244" t="str">
        <f t="shared" si="176"/>
        <v/>
      </c>
      <c r="DV78" s="244" t="str">
        <f t="shared" si="176"/>
        <v/>
      </c>
      <c r="DW78" s="241" t="str">
        <f>IF(HomePage!C89 &lt;&gt; "", IFS(AND(P78 = 1, COUNTIF(PlayerAltNames, B78)&gt;0), "Win", AND(P78 = 1, COUNTIF(PlayerAltNames, I78)&gt;0), "Loss", AND(P78 = 2, COUNTIF(PlayerAltNames, I78)&gt;0), "Win", AND(P78 = 2, COUNTIF(PlayerAltNames, B78)&gt;0), "Loss"), "")</f>
        <v/>
      </c>
      <c r="DX78" s="244"/>
      <c r="DY78" s="244" t="str">
        <f t="shared" si="21"/>
        <v>#N/A</v>
      </c>
      <c r="DZ78" s="244" t="str">
        <f t="shared" si="22"/>
        <v>#N/A</v>
      </c>
      <c r="EA78" s="244" t="str">
        <f t="shared" si="23"/>
        <v>#N/A</v>
      </c>
      <c r="EB78" s="244" t="str">
        <f t="shared" si="24"/>
        <v>#N/A</v>
      </c>
      <c r="EC78" s="244" t="str">
        <f t="shared" si="25"/>
        <v>#N/A</v>
      </c>
      <c r="ED78" s="244" t="str">
        <f t="shared" si="26"/>
        <v>#N/A</v>
      </c>
      <c r="EE78" s="244" t="str">
        <f t="shared" si="27"/>
        <v> -&gt; </v>
      </c>
      <c r="EF78" s="244" t="str">
        <f t="shared" si="28"/>
        <v/>
      </c>
      <c r="EG78" s="244"/>
      <c r="EH78" s="244"/>
      <c r="EI78" s="245"/>
    </row>
    <row r="79">
      <c r="A79" s="248"/>
      <c r="B79" s="239" t="str">
        <f>IF(HomePage!C90&lt;&gt;"", REPLAYTODATA(HomePage!C90), "")</f>
        <v/>
      </c>
      <c r="C79" s="236"/>
      <c r="D79" s="236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244"/>
      <c r="AR79" s="244"/>
      <c r="AS79" s="244"/>
      <c r="AT79" s="244"/>
      <c r="AU79" s="244"/>
      <c r="AV79" s="244"/>
      <c r="AW79" s="244"/>
      <c r="AX79" s="244"/>
      <c r="AY79" s="244"/>
      <c r="AZ79" s="244"/>
      <c r="BA79" s="244"/>
      <c r="BB79" s="244"/>
      <c r="BC79" s="244"/>
      <c r="BD79" s="244"/>
      <c r="BE79" s="244"/>
      <c r="BF79" s="244"/>
      <c r="BG79" s="244"/>
      <c r="BH79" s="244"/>
      <c r="BI79" s="244"/>
      <c r="BJ79" s="244"/>
      <c r="BK79" s="244"/>
      <c r="BL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44"/>
      <c r="BZ79" s="244"/>
      <c r="CA79" s="244"/>
      <c r="CB79" s="244"/>
      <c r="CC79" s="244"/>
      <c r="CD79" s="244"/>
      <c r="CE79" s="244"/>
      <c r="CF79" s="244"/>
      <c r="CG79" s="244"/>
      <c r="CH79" s="244"/>
      <c r="CI79" s="244"/>
      <c r="CJ79" s="244"/>
      <c r="CK79" s="244"/>
      <c r="CL79" s="244"/>
      <c r="CM79" s="244"/>
      <c r="CN79" s="244"/>
      <c r="CO79" s="244"/>
      <c r="CP79" s="244"/>
      <c r="CQ79" s="244"/>
      <c r="CR79" s="244"/>
      <c r="CS79" s="244"/>
      <c r="CT79" s="241" t="str">
        <f t="shared" si="3"/>
        <v/>
      </c>
      <c r="CU79" s="246" t="str">
        <f t="shared" si="4"/>
        <v/>
      </c>
      <c r="CV79" s="241" t="str">
        <f t="shared" si="5"/>
        <v/>
      </c>
      <c r="CW79" s="246" t="str">
        <f t="shared" si="6"/>
        <v/>
      </c>
      <c r="CX79" s="241" t="str">
        <f t="shared" si="7"/>
        <v/>
      </c>
      <c r="CY79" s="241" t="str">
        <f t="shared" si="8"/>
        <v/>
      </c>
      <c r="CZ79" s="241" t="str">
        <f t="shared" si="9"/>
        <v/>
      </c>
      <c r="DA79" s="246" t="str">
        <f t="shared" si="10"/>
        <v/>
      </c>
      <c r="DB79" s="246" t="str">
        <f t="shared" si="11"/>
        <v/>
      </c>
      <c r="DC79" s="246" t="str">
        <f t="shared" si="12"/>
        <v/>
      </c>
      <c r="DD79" s="241" t="str">
        <f t="shared" si="13"/>
        <v>1</v>
      </c>
      <c r="DE79" s="241" t="str">
        <f t="shared" si="14"/>
        <v/>
      </c>
      <c r="DF79" s="241" t="str">
        <f t="shared" si="15"/>
        <v/>
      </c>
      <c r="DG79" s="244" t="str">
        <f t="shared" si="16"/>
        <v/>
      </c>
      <c r="DH79" s="244" t="str">
        <f t="shared" si="17"/>
        <v/>
      </c>
      <c r="DI79" s="244" t="str">
        <f>IF(COUNTIF(PlayerAltNames,B79)&gt;0, B79, I79)</f>
        <v/>
      </c>
      <c r="DJ79" s="247" t="str">
        <f t="shared" ref="DJ79:DO79" si="177">IF(COUNTIF($I79,$DI79)&gt;0, J79, C79)</f>
        <v/>
      </c>
      <c r="DK79" s="247" t="str">
        <f t="shared" si="177"/>
        <v/>
      </c>
      <c r="DL79" s="247" t="str">
        <f t="shared" si="177"/>
        <v/>
      </c>
      <c r="DM79" s="247" t="str">
        <f t="shared" si="177"/>
        <v/>
      </c>
      <c r="DN79" s="247" t="str">
        <f t="shared" si="177"/>
        <v/>
      </c>
      <c r="DO79" s="247" t="str">
        <f t="shared" si="177"/>
        <v/>
      </c>
      <c r="DP79" s="244" t="str">
        <f t="shared" si="19"/>
        <v/>
      </c>
      <c r="DQ79" s="244" t="str">
        <f t="shared" ref="DQ79:DV79" si="178">IF(COUNTIF($I79,$DP79), J79, C79)</f>
        <v/>
      </c>
      <c r="DR79" s="244" t="str">
        <f t="shared" si="178"/>
        <v/>
      </c>
      <c r="DS79" s="244" t="str">
        <f t="shared" si="178"/>
        <v/>
      </c>
      <c r="DT79" s="244" t="str">
        <f t="shared" si="178"/>
        <v/>
      </c>
      <c r="DU79" s="244" t="str">
        <f t="shared" si="178"/>
        <v/>
      </c>
      <c r="DV79" s="244" t="str">
        <f t="shared" si="178"/>
        <v/>
      </c>
      <c r="DW79" s="241" t="str">
        <f>IF(HomePage!C90 &lt;&gt; "", IFS(AND(P79 = 1, COUNTIF(PlayerAltNames, B79)&gt;0), "Win", AND(P79 = 1, COUNTIF(PlayerAltNames, I79)&gt;0), "Loss", AND(P79 = 2, COUNTIF(PlayerAltNames, I79)&gt;0), "Win", AND(P79 = 2, COUNTIF(PlayerAltNames, B79)&gt;0), "Loss"), "")</f>
        <v/>
      </c>
      <c r="DX79" s="244"/>
      <c r="DY79" s="244" t="str">
        <f t="shared" si="21"/>
        <v>#N/A</v>
      </c>
      <c r="DZ79" s="244" t="str">
        <f t="shared" si="22"/>
        <v>#N/A</v>
      </c>
      <c r="EA79" s="244" t="str">
        <f t="shared" si="23"/>
        <v>#N/A</v>
      </c>
      <c r="EB79" s="244" t="str">
        <f t="shared" si="24"/>
        <v>#N/A</v>
      </c>
      <c r="EC79" s="244" t="str">
        <f t="shared" si="25"/>
        <v>#N/A</v>
      </c>
      <c r="ED79" s="244" t="str">
        <f t="shared" si="26"/>
        <v>#N/A</v>
      </c>
      <c r="EE79" s="244" t="str">
        <f t="shared" si="27"/>
        <v> -&gt; </v>
      </c>
      <c r="EF79" s="244" t="str">
        <f t="shared" si="28"/>
        <v/>
      </c>
      <c r="EG79" s="244"/>
      <c r="EH79" s="244"/>
      <c r="EI79" s="245"/>
    </row>
    <row r="80">
      <c r="A80" s="248"/>
      <c r="B80" s="239" t="str">
        <f>IF(HomePage!C91&lt;&gt;"", REPLAYTODATA(HomePage!C91), "")</f>
        <v/>
      </c>
      <c r="C80" s="236"/>
      <c r="D80" s="236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244"/>
      <c r="AS80" s="244"/>
      <c r="AT80" s="244"/>
      <c r="AU80" s="244"/>
      <c r="AV80" s="244"/>
      <c r="AW80" s="244"/>
      <c r="AX80" s="244"/>
      <c r="AY80" s="244"/>
      <c r="AZ80" s="244"/>
      <c r="BA80" s="244"/>
      <c r="BB80" s="244"/>
      <c r="BC80" s="244"/>
      <c r="BD80" s="244"/>
      <c r="BE80" s="244"/>
      <c r="BF80" s="244"/>
      <c r="BG80" s="244"/>
      <c r="BH80" s="244"/>
      <c r="BI80" s="244"/>
      <c r="BJ80" s="244"/>
      <c r="BK80" s="244"/>
      <c r="BL80" s="244"/>
      <c r="BM80" s="244"/>
      <c r="BN80" s="244"/>
      <c r="BO80" s="244"/>
      <c r="BP80" s="244"/>
      <c r="BQ80" s="244"/>
      <c r="BR80" s="244"/>
      <c r="BS80" s="244"/>
      <c r="BT80" s="244"/>
      <c r="BU80" s="244"/>
      <c r="BV80" s="244"/>
      <c r="BW80" s="244"/>
      <c r="BX80" s="244"/>
      <c r="BY80" s="244"/>
      <c r="BZ80" s="244"/>
      <c r="CA80" s="244"/>
      <c r="CB80" s="244"/>
      <c r="CC80" s="244"/>
      <c r="CD80" s="244"/>
      <c r="CE80" s="244"/>
      <c r="CF80" s="244"/>
      <c r="CG80" s="244"/>
      <c r="CH80" s="244"/>
      <c r="CI80" s="244"/>
      <c r="CJ80" s="244"/>
      <c r="CK80" s="244"/>
      <c r="CL80" s="244"/>
      <c r="CM80" s="244"/>
      <c r="CN80" s="244"/>
      <c r="CO80" s="244"/>
      <c r="CP80" s="244"/>
      <c r="CQ80" s="244"/>
      <c r="CR80" s="244"/>
      <c r="CS80" s="244"/>
      <c r="CT80" s="241" t="str">
        <f t="shared" si="3"/>
        <v/>
      </c>
      <c r="CU80" s="246" t="str">
        <f t="shared" si="4"/>
        <v/>
      </c>
      <c r="CV80" s="241" t="str">
        <f t="shared" si="5"/>
        <v/>
      </c>
      <c r="CW80" s="246" t="str">
        <f t="shared" si="6"/>
        <v/>
      </c>
      <c r="CX80" s="241" t="str">
        <f t="shared" si="7"/>
        <v/>
      </c>
      <c r="CY80" s="241" t="str">
        <f t="shared" si="8"/>
        <v/>
      </c>
      <c r="CZ80" s="241" t="str">
        <f t="shared" si="9"/>
        <v/>
      </c>
      <c r="DA80" s="246" t="str">
        <f t="shared" si="10"/>
        <v/>
      </c>
      <c r="DB80" s="246" t="str">
        <f t="shared" si="11"/>
        <v/>
      </c>
      <c r="DC80" s="246" t="str">
        <f t="shared" si="12"/>
        <v/>
      </c>
      <c r="DD80" s="241" t="str">
        <f t="shared" si="13"/>
        <v>1</v>
      </c>
      <c r="DE80" s="241" t="str">
        <f t="shared" si="14"/>
        <v/>
      </c>
      <c r="DF80" s="241" t="str">
        <f t="shared" si="15"/>
        <v/>
      </c>
      <c r="DG80" s="244" t="str">
        <f t="shared" si="16"/>
        <v/>
      </c>
      <c r="DH80" s="244" t="str">
        <f t="shared" si="17"/>
        <v/>
      </c>
      <c r="DI80" s="244" t="str">
        <f>IF(COUNTIF(PlayerAltNames,B80)&gt;0, B80, I80)</f>
        <v/>
      </c>
      <c r="DJ80" s="247" t="str">
        <f t="shared" ref="DJ80:DO80" si="179">IF(COUNTIF($I80,$DI80)&gt;0, J80, C80)</f>
        <v/>
      </c>
      <c r="DK80" s="247" t="str">
        <f t="shared" si="179"/>
        <v/>
      </c>
      <c r="DL80" s="247" t="str">
        <f t="shared" si="179"/>
        <v/>
      </c>
      <c r="DM80" s="247" t="str">
        <f t="shared" si="179"/>
        <v/>
      </c>
      <c r="DN80" s="247" t="str">
        <f t="shared" si="179"/>
        <v/>
      </c>
      <c r="DO80" s="247" t="str">
        <f t="shared" si="179"/>
        <v/>
      </c>
      <c r="DP80" s="244" t="str">
        <f t="shared" si="19"/>
        <v/>
      </c>
      <c r="DQ80" s="244" t="str">
        <f t="shared" ref="DQ80:DV80" si="180">IF(COUNTIF($I80,$DP80), J80, C80)</f>
        <v/>
      </c>
      <c r="DR80" s="244" t="str">
        <f t="shared" si="180"/>
        <v/>
      </c>
      <c r="DS80" s="244" t="str">
        <f t="shared" si="180"/>
        <v/>
      </c>
      <c r="DT80" s="244" t="str">
        <f t="shared" si="180"/>
        <v/>
      </c>
      <c r="DU80" s="244" t="str">
        <f t="shared" si="180"/>
        <v/>
      </c>
      <c r="DV80" s="244" t="str">
        <f t="shared" si="180"/>
        <v/>
      </c>
      <c r="DW80" s="241" t="str">
        <f>IF(HomePage!C91 &lt;&gt; "", IFS(AND(P80 = 1, COUNTIF(PlayerAltNames, B80)&gt;0), "Win", AND(P80 = 1, COUNTIF(PlayerAltNames, I80)&gt;0), "Loss", AND(P80 = 2, COUNTIF(PlayerAltNames, I80)&gt;0), "Win", AND(P80 = 2, COUNTIF(PlayerAltNames, B80)&gt;0), "Loss"), "")</f>
        <v/>
      </c>
      <c r="DX80" s="244"/>
      <c r="DY80" s="244" t="str">
        <f t="shared" si="21"/>
        <v>#N/A</v>
      </c>
      <c r="DZ80" s="244" t="str">
        <f t="shared" si="22"/>
        <v>#N/A</v>
      </c>
      <c r="EA80" s="244" t="str">
        <f t="shared" si="23"/>
        <v>#N/A</v>
      </c>
      <c r="EB80" s="244" t="str">
        <f t="shared" si="24"/>
        <v>#N/A</v>
      </c>
      <c r="EC80" s="244" t="str">
        <f t="shared" si="25"/>
        <v>#N/A</v>
      </c>
      <c r="ED80" s="244" t="str">
        <f t="shared" si="26"/>
        <v>#N/A</v>
      </c>
      <c r="EE80" s="244" t="str">
        <f t="shared" si="27"/>
        <v> -&gt; </v>
      </c>
      <c r="EF80" s="244" t="str">
        <f t="shared" si="28"/>
        <v/>
      </c>
      <c r="EG80" s="244"/>
      <c r="EH80" s="244"/>
      <c r="EI80" s="245"/>
    </row>
    <row r="81">
      <c r="A81" s="248"/>
      <c r="B81" s="239" t="str">
        <f>IF(HomePage!C92&lt;&gt;"", REPLAYTODATA(HomePage!C92), "")</f>
        <v/>
      </c>
      <c r="C81" s="236"/>
      <c r="D81" s="236"/>
      <c r="E81" s="236"/>
      <c r="F81" s="236"/>
      <c r="G81" s="236"/>
      <c r="H81" s="236"/>
      <c r="I81" s="236"/>
      <c r="J81" s="236"/>
      <c r="K81" s="236"/>
      <c r="L81" s="236"/>
      <c r="M81" s="236"/>
      <c r="N81" s="236"/>
      <c r="O81" s="236"/>
      <c r="P81" s="236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44"/>
      <c r="AP81" s="244"/>
      <c r="AQ81" s="244"/>
      <c r="AR81" s="244"/>
      <c r="AS81" s="244"/>
      <c r="AT81" s="244"/>
      <c r="AU81" s="244"/>
      <c r="AV81" s="244"/>
      <c r="AW81" s="244"/>
      <c r="AX81" s="244"/>
      <c r="AY81" s="244"/>
      <c r="AZ81" s="244"/>
      <c r="BA81" s="244"/>
      <c r="BB81" s="244"/>
      <c r="BC81" s="244"/>
      <c r="BD81" s="244"/>
      <c r="BE81" s="244"/>
      <c r="BF81" s="244"/>
      <c r="BG81" s="244"/>
      <c r="BH81" s="244"/>
      <c r="BI81" s="244"/>
      <c r="BJ81" s="244"/>
      <c r="BK81" s="244"/>
      <c r="BL81" s="244"/>
      <c r="BM81" s="244"/>
      <c r="BN81" s="244"/>
      <c r="BO81" s="244"/>
      <c r="BP81" s="244"/>
      <c r="BQ81" s="244"/>
      <c r="BR81" s="244"/>
      <c r="BS81" s="244"/>
      <c r="BT81" s="244"/>
      <c r="BU81" s="244"/>
      <c r="BV81" s="244"/>
      <c r="BW81" s="244"/>
      <c r="BX81" s="244"/>
      <c r="BY81" s="244"/>
      <c r="BZ81" s="244"/>
      <c r="CA81" s="244"/>
      <c r="CB81" s="244"/>
      <c r="CC81" s="244"/>
      <c r="CD81" s="244"/>
      <c r="CE81" s="244"/>
      <c r="CF81" s="244"/>
      <c r="CG81" s="244"/>
      <c r="CH81" s="244"/>
      <c r="CI81" s="244"/>
      <c r="CJ81" s="244"/>
      <c r="CK81" s="244"/>
      <c r="CL81" s="244"/>
      <c r="CM81" s="244"/>
      <c r="CN81" s="244"/>
      <c r="CO81" s="244"/>
      <c r="CP81" s="244"/>
      <c r="CQ81" s="244"/>
      <c r="CR81" s="244"/>
      <c r="CS81" s="244"/>
      <c r="CT81" s="241" t="str">
        <f t="shared" si="3"/>
        <v/>
      </c>
      <c r="CU81" s="246" t="str">
        <f t="shared" si="4"/>
        <v/>
      </c>
      <c r="CV81" s="241" t="str">
        <f t="shared" si="5"/>
        <v/>
      </c>
      <c r="CW81" s="246" t="str">
        <f t="shared" si="6"/>
        <v/>
      </c>
      <c r="CX81" s="241" t="str">
        <f t="shared" si="7"/>
        <v/>
      </c>
      <c r="CY81" s="241" t="str">
        <f t="shared" si="8"/>
        <v/>
      </c>
      <c r="CZ81" s="241" t="str">
        <f t="shared" si="9"/>
        <v/>
      </c>
      <c r="DA81" s="246" t="str">
        <f t="shared" si="10"/>
        <v/>
      </c>
      <c r="DB81" s="246" t="str">
        <f t="shared" si="11"/>
        <v/>
      </c>
      <c r="DC81" s="246" t="str">
        <f t="shared" si="12"/>
        <v/>
      </c>
      <c r="DD81" s="241" t="str">
        <f t="shared" si="13"/>
        <v>1</v>
      </c>
      <c r="DE81" s="241" t="str">
        <f t="shared" si="14"/>
        <v/>
      </c>
      <c r="DF81" s="241" t="str">
        <f t="shared" si="15"/>
        <v/>
      </c>
      <c r="DG81" s="244" t="str">
        <f t="shared" si="16"/>
        <v/>
      </c>
      <c r="DH81" s="244" t="str">
        <f t="shared" si="17"/>
        <v/>
      </c>
      <c r="DI81" s="244" t="str">
        <f>IF(COUNTIF(PlayerAltNames,B81)&gt;0, B81, I81)</f>
        <v/>
      </c>
      <c r="DJ81" s="247" t="str">
        <f t="shared" ref="DJ81:DO81" si="181">IF(COUNTIF($I81,$DI81)&gt;0, J81, C81)</f>
        <v/>
      </c>
      <c r="DK81" s="247" t="str">
        <f t="shared" si="181"/>
        <v/>
      </c>
      <c r="DL81" s="247" t="str">
        <f t="shared" si="181"/>
        <v/>
      </c>
      <c r="DM81" s="247" t="str">
        <f t="shared" si="181"/>
        <v/>
      </c>
      <c r="DN81" s="247" t="str">
        <f t="shared" si="181"/>
        <v/>
      </c>
      <c r="DO81" s="247" t="str">
        <f t="shared" si="181"/>
        <v/>
      </c>
      <c r="DP81" s="244" t="str">
        <f t="shared" si="19"/>
        <v/>
      </c>
      <c r="DQ81" s="244" t="str">
        <f t="shared" ref="DQ81:DV81" si="182">IF(COUNTIF($I81,$DP81), J81, C81)</f>
        <v/>
      </c>
      <c r="DR81" s="244" t="str">
        <f t="shared" si="182"/>
        <v/>
      </c>
      <c r="DS81" s="244" t="str">
        <f t="shared" si="182"/>
        <v/>
      </c>
      <c r="DT81" s="244" t="str">
        <f t="shared" si="182"/>
        <v/>
      </c>
      <c r="DU81" s="244" t="str">
        <f t="shared" si="182"/>
        <v/>
      </c>
      <c r="DV81" s="244" t="str">
        <f t="shared" si="182"/>
        <v/>
      </c>
      <c r="DW81" s="241" t="str">
        <f>IF(HomePage!C92 &lt;&gt; "", IFS(AND(P81 = 1, COUNTIF(PlayerAltNames, B81)&gt;0), "Win", AND(P81 = 1, COUNTIF(PlayerAltNames, I81)&gt;0), "Loss", AND(P81 = 2, COUNTIF(PlayerAltNames, I81)&gt;0), "Win", AND(P81 = 2, COUNTIF(PlayerAltNames, B81)&gt;0), "Loss"), "")</f>
        <v/>
      </c>
      <c r="DX81" s="244"/>
      <c r="DY81" s="244" t="str">
        <f t="shared" si="21"/>
        <v>#N/A</v>
      </c>
      <c r="DZ81" s="244" t="str">
        <f t="shared" si="22"/>
        <v>#N/A</v>
      </c>
      <c r="EA81" s="244" t="str">
        <f t="shared" si="23"/>
        <v>#N/A</v>
      </c>
      <c r="EB81" s="244" t="str">
        <f t="shared" si="24"/>
        <v>#N/A</v>
      </c>
      <c r="EC81" s="244" t="str">
        <f t="shared" si="25"/>
        <v>#N/A</v>
      </c>
      <c r="ED81" s="244" t="str">
        <f t="shared" si="26"/>
        <v>#N/A</v>
      </c>
      <c r="EE81" s="244" t="str">
        <f t="shared" si="27"/>
        <v> -&gt; </v>
      </c>
      <c r="EF81" s="244" t="str">
        <f t="shared" si="28"/>
        <v/>
      </c>
      <c r="EG81" s="244"/>
      <c r="EH81" s="244"/>
      <c r="EI81" s="245"/>
    </row>
    <row r="82">
      <c r="A82" s="248"/>
      <c r="B82" s="239" t="str">
        <f>IF(HomePage!C93&lt;&gt;"", REPLAYTODATA(HomePage!C93), "")</f>
        <v/>
      </c>
      <c r="C82" s="236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S82" s="244"/>
      <c r="AT82" s="244"/>
      <c r="AU82" s="244"/>
      <c r="AV82" s="244"/>
      <c r="AW82" s="244"/>
      <c r="AX82" s="244"/>
      <c r="AY82" s="244"/>
      <c r="AZ82" s="244"/>
      <c r="BA82" s="244"/>
      <c r="BB82" s="244"/>
      <c r="BC82" s="244"/>
      <c r="BD82" s="244"/>
      <c r="BE82" s="244"/>
      <c r="BF82" s="244"/>
      <c r="BG82" s="244"/>
      <c r="BH82" s="244"/>
      <c r="BI82" s="244"/>
      <c r="BJ82" s="244"/>
      <c r="BK82" s="244"/>
      <c r="BL82" s="244"/>
      <c r="BM82" s="244"/>
      <c r="BN82" s="244"/>
      <c r="BO82" s="244"/>
      <c r="BP82" s="244"/>
      <c r="BQ82" s="244"/>
      <c r="BR82" s="244"/>
      <c r="BS82" s="244"/>
      <c r="BT82" s="244"/>
      <c r="BU82" s="244"/>
      <c r="BV82" s="244"/>
      <c r="BW82" s="244"/>
      <c r="BX82" s="244"/>
      <c r="BY82" s="244"/>
      <c r="BZ82" s="244"/>
      <c r="CA82" s="244"/>
      <c r="CB82" s="244"/>
      <c r="CC82" s="244"/>
      <c r="CD82" s="244"/>
      <c r="CE82" s="244"/>
      <c r="CF82" s="244"/>
      <c r="CG82" s="244"/>
      <c r="CH82" s="244"/>
      <c r="CI82" s="244"/>
      <c r="CJ82" s="244"/>
      <c r="CK82" s="244"/>
      <c r="CL82" s="244"/>
      <c r="CM82" s="244"/>
      <c r="CN82" s="244"/>
      <c r="CO82" s="244"/>
      <c r="CP82" s="244"/>
      <c r="CQ82" s="244"/>
      <c r="CR82" s="244"/>
      <c r="CS82" s="244"/>
      <c r="CT82" s="241" t="str">
        <f t="shared" si="3"/>
        <v/>
      </c>
      <c r="CU82" s="246" t="str">
        <f t="shared" si="4"/>
        <v/>
      </c>
      <c r="CV82" s="241" t="str">
        <f t="shared" si="5"/>
        <v/>
      </c>
      <c r="CW82" s="246" t="str">
        <f t="shared" si="6"/>
        <v/>
      </c>
      <c r="CX82" s="241" t="str">
        <f t="shared" si="7"/>
        <v/>
      </c>
      <c r="CY82" s="241" t="str">
        <f t="shared" si="8"/>
        <v/>
      </c>
      <c r="CZ82" s="241" t="str">
        <f t="shared" si="9"/>
        <v/>
      </c>
      <c r="DA82" s="246" t="str">
        <f t="shared" si="10"/>
        <v/>
      </c>
      <c r="DB82" s="246" t="str">
        <f t="shared" si="11"/>
        <v/>
      </c>
      <c r="DC82" s="246" t="str">
        <f t="shared" si="12"/>
        <v/>
      </c>
      <c r="DD82" s="241" t="str">
        <f t="shared" si="13"/>
        <v>1</v>
      </c>
      <c r="DE82" s="241" t="str">
        <f t="shared" si="14"/>
        <v/>
      </c>
      <c r="DF82" s="241" t="str">
        <f t="shared" si="15"/>
        <v/>
      </c>
      <c r="DG82" s="244" t="str">
        <f t="shared" si="16"/>
        <v/>
      </c>
      <c r="DH82" s="244" t="str">
        <f t="shared" si="17"/>
        <v/>
      </c>
      <c r="DI82" s="244" t="str">
        <f>IF(COUNTIF(PlayerAltNames,B82)&gt;0, B82, I82)</f>
        <v/>
      </c>
      <c r="DJ82" s="247" t="str">
        <f t="shared" ref="DJ82:DO82" si="183">IF(COUNTIF($I82,$DI82)&gt;0, J82, C82)</f>
        <v/>
      </c>
      <c r="DK82" s="247" t="str">
        <f t="shared" si="183"/>
        <v/>
      </c>
      <c r="DL82" s="247" t="str">
        <f t="shared" si="183"/>
        <v/>
      </c>
      <c r="DM82" s="247" t="str">
        <f t="shared" si="183"/>
        <v/>
      </c>
      <c r="DN82" s="247" t="str">
        <f t="shared" si="183"/>
        <v/>
      </c>
      <c r="DO82" s="247" t="str">
        <f t="shared" si="183"/>
        <v/>
      </c>
      <c r="DP82" s="244" t="str">
        <f t="shared" si="19"/>
        <v/>
      </c>
      <c r="DQ82" s="244" t="str">
        <f t="shared" ref="DQ82:DV82" si="184">IF(COUNTIF($I82,$DP82), J82, C82)</f>
        <v/>
      </c>
      <c r="DR82" s="244" t="str">
        <f t="shared" si="184"/>
        <v/>
      </c>
      <c r="DS82" s="244" t="str">
        <f t="shared" si="184"/>
        <v/>
      </c>
      <c r="DT82" s="244" t="str">
        <f t="shared" si="184"/>
        <v/>
      </c>
      <c r="DU82" s="244" t="str">
        <f t="shared" si="184"/>
        <v/>
      </c>
      <c r="DV82" s="244" t="str">
        <f t="shared" si="184"/>
        <v/>
      </c>
      <c r="DW82" s="241" t="str">
        <f>IF(HomePage!C93 &lt;&gt; "", IFS(AND(P82 = 1, COUNTIF(PlayerAltNames, B82)&gt;0), "Win", AND(P82 = 1, COUNTIF(PlayerAltNames, I82)&gt;0), "Loss", AND(P82 = 2, COUNTIF(PlayerAltNames, I82)&gt;0), "Win", AND(P82 = 2, COUNTIF(PlayerAltNames, B82)&gt;0), "Loss"), "")</f>
        <v/>
      </c>
      <c r="DX82" s="244"/>
      <c r="DY82" s="244" t="str">
        <f t="shared" si="21"/>
        <v>#N/A</v>
      </c>
      <c r="DZ82" s="244" t="str">
        <f t="shared" si="22"/>
        <v>#N/A</v>
      </c>
      <c r="EA82" s="244" t="str">
        <f t="shared" si="23"/>
        <v>#N/A</v>
      </c>
      <c r="EB82" s="244" t="str">
        <f t="shared" si="24"/>
        <v>#N/A</v>
      </c>
      <c r="EC82" s="244" t="str">
        <f t="shared" si="25"/>
        <v>#N/A</v>
      </c>
      <c r="ED82" s="244" t="str">
        <f t="shared" si="26"/>
        <v>#N/A</v>
      </c>
      <c r="EE82" s="244" t="str">
        <f t="shared" si="27"/>
        <v> -&gt; </v>
      </c>
      <c r="EF82" s="244" t="str">
        <f t="shared" si="28"/>
        <v/>
      </c>
      <c r="EG82" s="244"/>
      <c r="EH82" s="244"/>
      <c r="EI82" s="245"/>
    </row>
    <row r="83">
      <c r="A83" s="248"/>
      <c r="B83" s="239" t="str">
        <f>IF(HomePage!C94&lt;&gt;"", REPLAYTODATA(HomePage!C94), "")</f>
        <v/>
      </c>
      <c r="C83" s="236"/>
      <c r="D83" s="236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S83" s="244"/>
      <c r="AT83" s="244"/>
      <c r="AU83" s="244"/>
      <c r="AV83" s="244"/>
      <c r="AW83" s="244"/>
      <c r="AX83" s="244"/>
      <c r="AY83" s="244"/>
      <c r="AZ83" s="244"/>
      <c r="BA83" s="244"/>
      <c r="BB83" s="244"/>
      <c r="BC83" s="244"/>
      <c r="BD83" s="244"/>
      <c r="BE83" s="244"/>
      <c r="BF83" s="244"/>
      <c r="BG83" s="244"/>
      <c r="BH83" s="244"/>
      <c r="BI83" s="244"/>
      <c r="BJ83" s="244"/>
      <c r="BK83" s="244"/>
      <c r="BL83" s="244"/>
      <c r="BM83" s="244"/>
      <c r="BN83" s="244"/>
      <c r="BO83" s="244"/>
      <c r="BP83" s="244"/>
      <c r="BQ83" s="244"/>
      <c r="BR83" s="244"/>
      <c r="BS83" s="244"/>
      <c r="BT83" s="244"/>
      <c r="BU83" s="244"/>
      <c r="BV83" s="244"/>
      <c r="BW83" s="244"/>
      <c r="BX83" s="244"/>
      <c r="BY83" s="244"/>
      <c r="BZ83" s="244"/>
      <c r="CA83" s="244"/>
      <c r="CB83" s="244"/>
      <c r="CC83" s="244"/>
      <c r="CD83" s="244"/>
      <c r="CE83" s="244"/>
      <c r="CF83" s="244"/>
      <c r="CG83" s="244"/>
      <c r="CH83" s="244"/>
      <c r="CI83" s="244"/>
      <c r="CJ83" s="244"/>
      <c r="CK83" s="244"/>
      <c r="CL83" s="244"/>
      <c r="CM83" s="244"/>
      <c r="CN83" s="244"/>
      <c r="CO83" s="244"/>
      <c r="CP83" s="244"/>
      <c r="CQ83" s="244"/>
      <c r="CR83" s="244"/>
      <c r="CS83" s="244"/>
      <c r="CT83" s="241" t="str">
        <f t="shared" si="3"/>
        <v/>
      </c>
      <c r="CU83" s="246" t="str">
        <f t="shared" si="4"/>
        <v/>
      </c>
      <c r="CV83" s="241" t="str">
        <f t="shared" si="5"/>
        <v/>
      </c>
      <c r="CW83" s="246" t="str">
        <f t="shared" si="6"/>
        <v/>
      </c>
      <c r="CX83" s="241" t="str">
        <f t="shared" si="7"/>
        <v/>
      </c>
      <c r="CY83" s="241" t="str">
        <f t="shared" si="8"/>
        <v/>
      </c>
      <c r="CZ83" s="241" t="str">
        <f t="shared" si="9"/>
        <v/>
      </c>
      <c r="DA83" s="246" t="str">
        <f t="shared" si="10"/>
        <v/>
      </c>
      <c r="DB83" s="246" t="str">
        <f t="shared" si="11"/>
        <v/>
      </c>
      <c r="DC83" s="246" t="str">
        <f t="shared" si="12"/>
        <v/>
      </c>
      <c r="DD83" s="241" t="str">
        <f t="shared" si="13"/>
        <v>1</v>
      </c>
      <c r="DE83" s="241" t="str">
        <f t="shared" si="14"/>
        <v/>
      </c>
      <c r="DF83" s="241" t="str">
        <f t="shared" si="15"/>
        <v/>
      </c>
      <c r="DG83" s="244" t="str">
        <f t="shared" si="16"/>
        <v/>
      </c>
      <c r="DH83" s="244" t="str">
        <f t="shared" si="17"/>
        <v/>
      </c>
      <c r="DI83" s="244" t="str">
        <f>IF(COUNTIF(PlayerAltNames,B83)&gt;0, B83, I83)</f>
        <v/>
      </c>
      <c r="DJ83" s="247" t="str">
        <f t="shared" ref="DJ83:DO83" si="185">IF(COUNTIF($I83,$DI83)&gt;0, J83, C83)</f>
        <v/>
      </c>
      <c r="DK83" s="247" t="str">
        <f t="shared" si="185"/>
        <v/>
      </c>
      <c r="DL83" s="247" t="str">
        <f t="shared" si="185"/>
        <v/>
      </c>
      <c r="DM83" s="247" t="str">
        <f t="shared" si="185"/>
        <v/>
      </c>
      <c r="DN83" s="247" t="str">
        <f t="shared" si="185"/>
        <v/>
      </c>
      <c r="DO83" s="247" t="str">
        <f t="shared" si="185"/>
        <v/>
      </c>
      <c r="DP83" s="244" t="str">
        <f t="shared" si="19"/>
        <v/>
      </c>
      <c r="DQ83" s="244" t="str">
        <f t="shared" ref="DQ83:DV83" si="186">IF(COUNTIF($I83,$DP83), J83, C83)</f>
        <v/>
      </c>
      <c r="DR83" s="244" t="str">
        <f t="shared" si="186"/>
        <v/>
      </c>
      <c r="DS83" s="244" t="str">
        <f t="shared" si="186"/>
        <v/>
      </c>
      <c r="DT83" s="244" t="str">
        <f t="shared" si="186"/>
        <v/>
      </c>
      <c r="DU83" s="244" t="str">
        <f t="shared" si="186"/>
        <v/>
      </c>
      <c r="DV83" s="244" t="str">
        <f t="shared" si="186"/>
        <v/>
      </c>
      <c r="DW83" s="241" t="str">
        <f>IF(HomePage!C94 &lt;&gt; "", IFS(AND(P83 = 1, COUNTIF(PlayerAltNames, B83)&gt;0), "Win", AND(P83 = 1, COUNTIF(PlayerAltNames, I83)&gt;0), "Loss", AND(P83 = 2, COUNTIF(PlayerAltNames, I83)&gt;0), "Win", AND(P83 = 2, COUNTIF(PlayerAltNames, B83)&gt;0), "Loss"), "")</f>
        <v/>
      </c>
      <c r="DX83" s="244"/>
      <c r="DY83" s="244" t="str">
        <f t="shared" si="21"/>
        <v>#N/A</v>
      </c>
      <c r="DZ83" s="244" t="str">
        <f t="shared" si="22"/>
        <v>#N/A</v>
      </c>
      <c r="EA83" s="244" t="str">
        <f t="shared" si="23"/>
        <v>#N/A</v>
      </c>
      <c r="EB83" s="244" t="str">
        <f t="shared" si="24"/>
        <v>#N/A</v>
      </c>
      <c r="EC83" s="244" t="str">
        <f t="shared" si="25"/>
        <v>#N/A</v>
      </c>
      <c r="ED83" s="244" t="str">
        <f t="shared" si="26"/>
        <v>#N/A</v>
      </c>
      <c r="EE83" s="244" t="str">
        <f t="shared" si="27"/>
        <v> -&gt; </v>
      </c>
      <c r="EF83" s="244" t="str">
        <f t="shared" si="28"/>
        <v/>
      </c>
      <c r="EG83" s="244"/>
      <c r="EH83" s="244"/>
      <c r="EI83" s="245"/>
    </row>
    <row r="84">
      <c r="A84" s="248"/>
      <c r="B84" s="239" t="str">
        <f>IF(HomePage!C95&lt;&gt;"", REPLAYTODATA(HomePage!C95), "")</f>
        <v/>
      </c>
      <c r="C84" s="236"/>
      <c r="D84" s="236"/>
      <c r="E84" s="236"/>
      <c r="F84" s="236"/>
      <c r="G84" s="236"/>
      <c r="H84" s="236"/>
      <c r="I84" s="236"/>
      <c r="J84" s="236"/>
      <c r="K84" s="236"/>
      <c r="L84" s="236"/>
      <c r="M84" s="236"/>
      <c r="N84" s="236"/>
      <c r="O84" s="236"/>
      <c r="P84" s="236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S84" s="244"/>
      <c r="AT84" s="244"/>
      <c r="AU84" s="244"/>
      <c r="AV84" s="244"/>
      <c r="AW84" s="244"/>
      <c r="AX84" s="244"/>
      <c r="AY84" s="244"/>
      <c r="AZ84" s="244"/>
      <c r="BA84" s="244"/>
      <c r="BB84" s="244"/>
      <c r="BC84" s="244"/>
      <c r="BD84" s="244"/>
      <c r="BE84" s="244"/>
      <c r="BF84" s="244"/>
      <c r="BG84" s="244"/>
      <c r="BH84" s="244"/>
      <c r="BI84" s="244"/>
      <c r="BJ84" s="244"/>
      <c r="BK84" s="244"/>
      <c r="BL84" s="244"/>
      <c r="BM84" s="244"/>
      <c r="BN84" s="244"/>
      <c r="BO84" s="244"/>
      <c r="BP84" s="244"/>
      <c r="BQ84" s="244"/>
      <c r="BR84" s="244"/>
      <c r="BS84" s="244"/>
      <c r="BT84" s="244"/>
      <c r="BU84" s="244"/>
      <c r="BV84" s="244"/>
      <c r="BW84" s="244"/>
      <c r="BX84" s="244"/>
      <c r="BY84" s="244"/>
      <c r="BZ84" s="244"/>
      <c r="CA84" s="244"/>
      <c r="CB84" s="244"/>
      <c r="CC84" s="244"/>
      <c r="CD84" s="244"/>
      <c r="CE84" s="244"/>
      <c r="CF84" s="244"/>
      <c r="CG84" s="244"/>
      <c r="CH84" s="244"/>
      <c r="CI84" s="244"/>
      <c r="CJ84" s="244"/>
      <c r="CK84" s="244"/>
      <c r="CL84" s="244"/>
      <c r="CM84" s="244"/>
      <c r="CN84" s="244"/>
      <c r="CO84" s="244"/>
      <c r="CP84" s="244"/>
      <c r="CQ84" s="244"/>
      <c r="CR84" s="244"/>
      <c r="CS84" s="244"/>
      <c r="CT84" s="241" t="str">
        <f t="shared" si="3"/>
        <v/>
      </c>
      <c r="CU84" s="246" t="str">
        <f t="shared" si="4"/>
        <v/>
      </c>
      <c r="CV84" s="241" t="str">
        <f t="shared" si="5"/>
        <v/>
      </c>
      <c r="CW84" s="246" t="str">
        <f t="shared" si="6"/>
        <v/>
      </c>
      <c r="CX84" s="241" t="str">
        <f t="shared" si="7"/>
        <v/>
      </c>
      <c r="CY84" s="241" t="str">
        <f t="shared" si="8"/>
        <v/>
      </c>
      <c r="CZ84" s="241" t="str">
        <f t="shared" si="9"/>
        <v/>
      </c>
      <c r="DA84" s="246" t="str">
        <f t="shared" si="10"/>
        <v/>
      </c>
      <c r="DB84" s="246" t="str">
        <f t="shared" si="11"/>
        <v/>
      </c>
      <c r="DC84" s="246" t="str">
        <f t="shared" si="12"/>
        <v/>
      </c>
      <c r="DD84" s="241" t="str">
        <f t="shared" si="13"/>
        <v>1</v>
      </c>
      <c r="DE84" s="241" t="str">
        <f t="shared" si="14"/>
        <v/>
      </c>
      <c r="DF84" s="241" t="str">
        <f t="shared" si="15"/>
        <v/>
      </c>
      <c r="DG84" s="244" t="str">
        <f t="shared" si="16"/>
        <v/>
      </c>
      <c r="DH84" s="244" t="str">
        <f t="shared" si="17"/>
        <v/>
      </c>
      <c r="DI84" s="244" t="str">
        <f>IF(COUNTIF(PlayerAltNames,B84)&gt;0, B84, I84)</f>
        <v/>
      </c>
      <c r="DJ84" s="247" t="str">
        <f t="shared" ref="DJ84:DO84" si="187">IF(COUNTIF($I84,$DI84)&gt;0, J84, C84)</f>
        <v/>
      </c>
      <c r="DK84" s="247" t="str">
        <f t="shared" si="187"/>
        <v/>
      </c>
      <c r="DL84" s="247" t="str">
        <f t="shared" si="187"/>
        <v/>
      </c>
      <c r="DM84" s="247" t="str">
        <f t="shared" si="187"/>
        <v/>
      </c>
      <c r="DN84" s="247" t="str">
        <f t="shared" si="187"/>
        <v/>
      </c>
      <c r="DO84" s="247" t="str">
        <f t="shared" si="187"/>
        <v/>
      </c>
      <c r="DP84" s="244" t="str">
        <f t="shared" si="19"/>
        <v/>
      </c>
      <c r="DQ84" s="244" t="str">
        <f t="shared" ref="DQ84:DV84" si="188">IF(COUNTIF($I84,$DP84), J84, C84)</f>
        <v/>
      </c>
      <c r="DR84" s="244" t="str">
        <f t="shared" si="188"/>
        <v/>
      </c>
      <c r="DS84" s="244" t="str">
        <f t="shared" si="188"/>
        <v/>
      </c>
      <c r="DT84" s="244" t="str">
        <f t="shared" si="188"/>
        <v/>
      </c>
      <c r="DU84" s="244" t="str">
        <f t="shared" si="188"/>
        <v/>
      </c>
      <c r="DV84" s="244" t="str">
        <f t="shared" si="188"/>
        <v/>
      </c>
      <c r="DW84" s="241" t="str">
        <f>IF(HomePage!C95 &lt;&gt; "", IFS(AND(P84 = 1, COUNTIF(PlayerAltNames, B84)&gt;0), "Win", AND(P84 = 1, COUNTIF(PlayerAltNames, I84)&gt;0), "Loss", AND(P84 = 2, COUNTIF(PlayerAltNames, I84)&gt;0), "Win", AND(P84 = 2, COUNTIF(PlayerAltNames, B84)&gt;0), "Loss"), "")</f>
        <v/>
      </c>
      <c r="DX84" s="244"/>
      <c r="DY84" s="244" t="str">
        <f t="shared" si="21"/>
        <v>#N/A</v>
      </c>
      <c r="DZ84" s="244" t="str">
        <f t="shared" si="22"/>
        <v>#N/A</v>
      </c>
      <c r="EA84" s="244" t="str">
        <f t="shared" si="23"/>
        <v>#N/A</v>
      </c>
      <c r="EB84" s="244" t="str">
        <f t="shared" si="24"/>
        <v>#N/A</v>
      </c>
      <c r="EC84" s="244" t="str">
        <f t="shared" si="25"/>
        <v>#N/A</v>
      </c>
      <c r="ED84" s="244" t="str">
        <f t="shared" si="26"/>
        <v>#N/A</v>
      </c>
      <c r="EE84" s="244" t="str">
        <f t="shared" si="27"/>
        <v> -&gt; </v>
      </c>
      <c r="EF84" s="244" t="str">
        <f t="shared" si="28"/>
        <v/>
      </c>
      <c r="EG84" s="244"/>
      <c r="EH84" s="244"/>
      <c r="EI84" s="245"/>
    </row>
    <row r="85">
      <c r="A85" s="248"/>
      <c r="B85" s="239" t="str">
        <f>IF(HomePage!C96&lt;&gt;"", REPLAYTODATA(HomePage!C96), "")</f>
        <v/>
      </c>
      <c r="C85" s="236"/>
      <c r="D85" s="236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S85" s="244"/>
      <c r="AT85" s="244"/>
      <c r="AU85" s="244"/>
      <c r="AV85" s="244"/>
      <c r="AW85" s="244"/>
      <c r="AX85" s="244"/>
      <c r="AY85" s="244"/>
      <c r="AZ85" s="244"/>
      <c r="BA85" s="244"/>
      <c r="BB85" s="244"/>
      <c r="BC85" s="244"/>
      <c r="BD85" s="244"/>
      <c r="BE85" s="244"/>
      <c r="BF85" s="244"/>
      <c r="BG85" s="244"/>
      <c r="BH85" s="244"/>
      <c r="BI85" s="244"/>
      <c r="BJ85" s="244"/>
      <c r="BK85" s="244"/>
      <c r="BL85" s="244"/>
      <c r="BM85" s="244"/>
      <c r="BN85" s="244"/>
      <c r="BO85" s="244"/>
      <c r="BP85" s="244"/>
      <c r="BQ85" s="244"/>
      <c r="BR85" s="244"/>
      <c r="BS85" s="244"/>
      <c r="BT85" s="244"/>
      <c r="BU85" s="244"/>
      <c r="BV85" s="244"/>
      <c r="BW85" s="244"/>
      <c r="BX85" s="244"/>
      <c r="BY85" s="244"/>
      <c r="BZ85" s="244"/>
      <c r="CA85" s="244"/>
      <c r="CB85" s="244"/>
      <c r="CC85" s="244"/>
      <c r="CD85" s="244"/>
      <c r="CE85" s="244"/>
      <c r="CF85" s="244"/>
      <c r="CG85" s="244"/>
      <c r="CH85" s="244"/>
      <c r="CI85" s="244"/>
      <c r="CJ85" s="244"/>
      <c r="CK85" s="244"/>
      <c r="CL85" s="244"/>
      <c r="CM85" s="244"/>
      <c r="CN85" s="244"/>
      <c r="CO85" s="244"/>
      <c r="CP85" s="244"/>
      <c r="CQ85" s="244"/>
      <c r="CR85" s="244"/>
      <c r="CS85" s="244"/>
      <c r="CT85" s="241" t="str">
        <f t="shared" si="3"/>
        <v/>
      </c>
      <c r="CU85" s="246" t="str">
        <f t="shared" si="4"/>
        <v/>
      </c>
      <c r="CV85" s="241" t="str">
        <f t="shared" si="5"/>
        <v/>
      </c>
      <c r="CW85" s="246" t="str">
        <f t="shared" si="6"/>
        <v/>
      </c>
      <c r="CX85" s="241" t="str">
        <f t="shared" si="7"/>
        <v/>
      </c>
      <c r="CY85" s="241" t="str">
        <f t="shared" si="8"/>
        <v/>
      </c>
      <c r="CZ85" s="241" t="str">
        <f t="shared" si="9"/>
        <v/>
      </c>
      <c r="DA85" s="246" t="str">
        <f t="shared" si="10"/>
        <v/>
      </c>
      <c r="DB85" s="246" t="str">
        <f t="shared" si="11"/>
        <v/>
      </c>
      <c r="DC85" s="246" t="str">
        <f t="shared" si="12"/>
        <v/>
      </c>
      <c r="DD85" s="241" t="str">
        <f t="shared" si="13"/>
        <v>1</v>
      </c>
      <c r="DE85" s="241" t="str">
        <f t="shared" si="14"/>
        <v/>
      </c>
      <c r="DF85" s="241" t="str">
        <f t="shared" si="15"/>
        <v/>
      </c>
      <c r="DG85" s="244" t="str">
        <f t="shared" si="16"/>
        <v/>
      </c>
      <c r="DH85" s="244" t="str">
        <f t="shared" si="17"/>
        <v/>
      </c>
      <c r="DI85" s="244" t="str">
        <f>IF(COUNTIF(PlayerAltNames,B85)&gt;0, B85, I85)</f>
        <v/>
      </c>
      <c r="DJ85" s="247" t="str">
        <f t="shared" ref="DJ85:DO85" si="189">IF(COUNTIF($I85,$DI85)&gt;0, J85, C85)</f>
        <v/>
      </c>
      <c r="DK85" s="247" t="str">
        <f t="shared" si="189"/>
        <v/>
      </c>
      <c r="DL85" s="247" t="str">
        <f t="shared" si="189"/>
        <v/>
      </c>
      <c r="DM85" s="247" t="str">
        <f t="shared" si="189"/>
        <v/>
      </c>
      <c r="DN85" s="247" t="str">
        <f t="shared" si="189"/>
        <v/>
      </c>
      <c r="DO85" s="247" t="str">
        <f t="shared" si="189"/>
        <v/>
      </c>
      <c r="DP85" s="244" t="str">
        <f t="shared" si="19"/>
        <v/>
      </c>
      <c r="DQ85" s="244" t="str">
        <f t="shared" ref="DQ85:DV85" si="190">IF(COUNTIF($I85,$DP85), J85, C85)</f>
        <v/>
      </c>
      <c r="DR85" s="244" t="str">
        <f t="shared" si="190"/>
        <v/>
      </c>
      <c r="DS85" s="244" t="str">
        <f t="shared" si="190"/>
        <v/>
      </c>
      <c r="DT85" s="244" t="str">
        <f t="shared" si="190"/>
        <v/>
      </c>
      <c r="DU85" s="244" t="str">
        <f t="shared" si="190"/>
        <v/>
      </c>
      <c r="DV85" s="244" t="str">
        <f t="shared" si="190"/>
        <v/>
      </c>
      <c r="DW85" s="241" t="str">
        <f>IF(HomePage!C96 &lt;&gt; "", IFS(AND(P85 = 1, COUNTIF(PlayerAltNames, B85)&gt;0), "Win", AND(P85 = 1, COUNTIF(PlayerAltNames, I85)&gt;0), "Loss", AND(P85 = 2, COUNTIF(PlayerAltNames, I85)&gt;0), "Win", AND(P85 = 2, COUNTIF(PlayerAltNames, B85)&gt;0), "Loss"), "")</f>
        <v/>
      </c>
      <c r="DX85" s="244"/>
      <c r="DY85" s="244" t="str">
        <f t="shared" si="21"/>
        <v>#N/A</v>
      </c>
      <c r="DZ85" s="244" t="str">
        <f t="shared" si="22"/>
        <v>#N/A</v>
      </c>
      <c r="EA85" s="244" t="str">
        <f t="shared" si="23"/>
        <v>#N/A</v>
      </c>
      <c r="EB85" s="244" t="str">
        <f t="shared" si="24"/>
        <v>#N/A</v>
      </c>
      <c r="EC85" s="244" t="str">
        <f t="shared" si="25"/>
        <v>#N/A</v>
      </c>
      <c r="ED85" s="244" t="str">
        <f t="shared" si="26"/>
        <v>#N/A</v>
      </c>
      <c r="EE85" s="244" t="str">
        <f t="shared" si="27"/>
        <v> -&gt; </v>
      </c>
      <c r="EF85" s="244" t="str">
        <f t="shared" si="28"/>
        <v/>
      </c>
      <c r="EG85" s="244"/>
      <c r="EH85" s="244"/>
      <c r="EI85" s="245"/>
    </row>
    <row r="86">
      <c r="A86" s="248"/>
      <c r="B86" s="239" t="str">
        <f>IF(HomePage!C97&lt;&gt;"", REPLAYTODATA(HomePage!C97), "")</f>
        <v/>
      </c>
      <c r="C86" s="236"/>
      <c r="D86" s="236"/>
      <c r="E86" s="236"/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P86" s="236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/>
      <c r="AP86" s="244"/>
      <c r="AQ86" s="244"/>
      <c r="AR86" s="244"/>
      <c r="AS86" s="244"/>
      <c r="AT86" s="244"/>
      <c r="AU86" s="244"/>
      <c r="AV86" s="244"/>
      <c r="AW86" s="244"/>
      <c r="AX86" s="244"/>
      <c r="AY86" s="244"/>
      <c r="AZ86" s="244"/>
      <c r="BA86" s="244"/>
      <c r="BB86" s="244"/>
      <c r="BC86" s="244"/>
      <c r="BD86" s="244"/>
      <c r="BE86" s="244"/>
      <c r="BF86" s="244"/>
      <c r="BG86" s="244"/>
      <c r="BH86" s="244"/>
      <c r="BI86" s="244"/>
      <c r="BJ86" s="244"/>
      <c r="BK86" s="244"/>
      <c r="BL86" s="244"/>
      <c r="BM86" s="244"/>
      <c r="BN86" s="244"/>
      <c r="BO86" s="244"/>
      <c r="BP86" s="244"/>
      <c r="BQ86" s="244"/>
      <c r="BR86" s="244"/>
      <c r="BS86" s="244"/>
      <c r="BT86" s="244"/>
      <c r="BU86" s="244"/>
      <c r="BV86" s="244"/>
      <c r="BW86" s="244"/>
      <c r="BX86" s="244"/>
      <c r="BY86" s="244"/>
      <c r="BZ86" s="244"/>
      <c r="CA86" s="244"/>
      <c r="CB86" s="244"/>
      <c r="CC86" s="244"/>
      <c r="CD86" s="244"/>
      <c r="CE86" s="244"/>
      <c r="CF86" s="244"/>
      <c r="CG86" s="244"/>
      <c r="CH86" s="244"/>
      <c r="CI86" s="244"/>
      <c r="CJ86" s="244"/>
      <c r="CK86" s="244"/>
      <c r="CL86" s="244"/>
      <c r="CM86" s="244"/>
      <c r="CN86" s="244"/>
      <c r="CO86" s="244"/>
      <c r="CP86" s="244"/>
      <c r="CQ86" s="244"/>
      <c r="CR86" s="244"/>
      <c r="CS86" s="244"/>
      <c r="CT86" s="241" t="str">
        <f t="shared" si="3"/>
        <v/>
      </c>
      <c r="CU86" s="246" t="str">
        <f t="shared" si="4"/>
        <v/>
      </c>
      <c r="CV86" s="241" t="str">
        <f t="shared" si="5"/>
        <v/>
      </c>
      <c r="CW86" s="246" t="str">
        <f t="shared" si="6"/>
        <v/>
      </c>
      <c r="CX86" s="241" t="str">
        <f t="shared" si="7"/>
        <v/>
      </c>
      <c r="CY86" s="241" t="str">
        <f t="shared" si="8"/>
        <v/>
      </c>
      <c r="CZ86" s="241" t="str">
        <f t="shared" si="9"/>
        <v/>
      </c>
      <c r="DA86" s="246" t="str">
        <f t="shared" si="10"/>
        <v/>
      </c>
      <c r="DB86" s="246" t="str">
        <f t="shared" si="11"/>
        <v/>
      </c>
      <c r="DC86" s="246" t="str">
        <f t="shared" si="12"/>
        <v/>
      </c>
      <c r="DD86" s="241" t="str">
        <f t="shared" si="13"/>
        <v>1</v>
      </c>
      <c r="DE86" s="241" t="str">
        <f t="shared" si="14"/>
        <v/>
      </c>
      <c r="DF86" s="241" t="str">
        <f t="shared" si="15"/>
        <v/>
      </c>
      <c r="DG86" s="244" t="str">
        <f t="shared" si="16"/>
        <v/>
      </c>
      <c r="DH86" s="244" t="str">
        <f t="shared" si="17"/>
        <v/>
      </c>
      <c r="DI86" s="244" t="str">
        <f>IF(COUNTIF(PlayerAltNames,B86)&gt;0, B86, I86)</f>
        <v/>
      </c>
      <c r="DJ86" s="247" t="str">
        <f t="shared" ref="DJ86:DO86" si="191">IF(COUNTIF($I86,$DI86)&gt;0, J86, C86)</f>
        <v/>
      </c>
      <c r="DK86" s="247" t="str">
        <f t="shared" si="191"/>
        <v/>
      </c>
      <c r="DL86" s="247" t="str">
        <f t="shared" si="191"/>
        <v/>
      </c>
      <c r="DM86" s="247" t="str">
        <f t="shared" si="191"/>
        <v/>
      </c>
      <c r="DN86" s="247" t="str">
        <f t="shared" si="191"/>
        <v/>
      </c>
      <c r="DO86" s="247" t="str">
        <f t="shared" si="191"/>
        <v/>
      </c>
      <c r="DP86" s="244" t="str">
        <f t="shared" si="19"/>
        <v/>
      </c>
      <c r="DQ86" s="244" t="str">
        <f t="shared" ref="DQ86:DV86" si="192">IF(COUNTIF($I86,$DP86), J86, C86)</f>
        <v/>
      </c>
      <c r="DR86" s="244" t="str">
        <f t="shared" si="192"/>
        <v/>
      </c>
      <c r="DS86" s="244" t="str">
        <f t="shared" si="192"/>
        <v/>
      </c>
      <c r="DT86" s="244" t="str">
        <f t="shared" si="192"/>
        <v/>
      </c>
      <c r="DU86" s="244" t="str">
        <f t="shared" si="192"/>
        <v/>
      </c>
      <c r="DV86" s="244" t="str">
        <f t="shared" si="192"/>
        <v/>
      </c>
      <c r="DW86" s="241" t="str">
        <f>IF(HomePage!C97 &lt;&gt; "", IFS(AND(P86 = 1, COUNTIF(PlayerAltNames, B86)&gt;0), "Win", AND(P86 = 1, COUNTIF(PlayerAltNames, I86)&gt;0), "Loss", AND(P86 = 2, COUNTIF(PlayerAltNames, I86)&gt;0), "Win", AND(P86 = 2, COUNTIF(PlayerAltNames, B86)&gt;0), "Loss"), "")</f>
        <v/>
      </c>
      <c r="DX86" s="244"/>
      <c r="DY86" s="244" t="str">
        <f t="shared" si="21"/>
        <v>#N/A</v>
      </c>
      <c r="DZ86" s="244" t="str">
        <f t="shared" si="22"/>
        <v>#N/A</v>
      </c>
      <c r="EA86" s="244" t="str">
        <f t="shared" si="23"/>
        <v>#N/A</v>
      </c>
      <c r="EB86" s="244" t="str">
        <f t="shared" si="24"/>
        <v>#N/A</v>
      </c>
      <c r="EC86" s="244" t="str">
        <f t="shared" si="25"/>
        <v>#N/A</v>
      </c>
      <c r="ED86" s="244" t="str">
        <f t="shared" si="26"/>
        <v>#N/A</v>
      </c>
      <c r="EE86" s="244" t="str">
        <f t="shared" si="27"/>
        <v> -&gt; </v>
      </c>
      <c r="EF86" s="244" t="str">
        <f t="shared" si="28"/>
        <v/>
      </c>
      <c r="EG86" s="244"/>
      <c r="EH86" s="244"/>
      <c r="EI86" s="245"/>
    </row>
    <row r="87">
      <c r="A87" s="248"/>
      <c r="B87" s="239" t="str">
        <f>IF(HomePage!C98&lt;&gt;"", REPLAYTODATA(HomePage!C98), "")</f>
        <v/>
      </c>
      <c r="C87" s="236"/>
      <c r="D87" s="236"/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244"/>
      <c r="AR87" s="244"/>
      <c r="AS87" s="244"/>
      <c r="AT87" s="244"/>
      <c r="AU87" s="244"/>
      <c r="AV87" s="244"/>
      <c r="AW87" s="244"/>
      <c r="AX87" s="244"/>
      <c r="AY87" s="244"/>
      <c r="AZ87" s="244"/>
      <c r="BA87" s="244"/>
      <c r="BB87" s="244"/>
      <c r="BC87" s="244"/>
      <c r="BD87" s="244"/>
      <c r="BE87" s="244"/>
      <c r="BF87" s="244"/>
      <c r="BG87" s="244"/>
      <c r="BH87" s="244"/>
      <c r="BI87" s="244"/>
      <c r="BJ87" s="244"/>
      <c r="BK87" s="244"/>
      <c r="BL87" s="244"/>
      <c r="BM87" s="244"/>
      <c r="BN87" s="244"/>
      <c r="BO87" s="244"/>
      <c r="BP87" s="244"/>
      <c r="BQ87" s="244"/>
      <c r="BR87" s="244"/>
      <c r="BS87" s="244"/>
      <c r="BT87" s="244"/>
      <c r="BU87" s="244"/>
      <c r="BV87" s="244"/>
      <c r="BW87" s="244"/>
      <c r="BX87" s="244"/>
      <c r="BY87" s="244"/>
      <c r="BZ87" s="244"/>
      <c r="CA87" s="244"/>
      <c r="CB87" s="244"/>
      <c r="CC87" s="244"/>
      <c r="CD87" s="244"/>
      <c r="CE87" s="244"/>
      <c r="CF87" s="244"/>
      <c r="CG87" s="244"/>
      <c r="CH87" s="244"/>
      <c r="CI87" s="244"/>
      <c r="CJ87" s="244"/>
      <c r="CK87" s="244"/>
      <c r="CL87" s="244"/>
      <c r="CM87" s="244"/>
      <c r="CN87" s="244"/>
      <c r="CO87" s="244"/>
      <c r="CP87" s="244"/>
      <c r="CQ87" s="244"/>
      <c r="CR87" s="244"/>
      <c r="CS87" s="244"/>
      <c r="CT87" s="241" t="str">
        <f t="shared" si="3"/>
        <v/>
      </c>
      <c r="CU87" s="246" t="str">
        <f t="shared" si="4"/>
        <v/>
      </c>
      <c r="CV87" s="241" t="str">
        <f t="shared" si="5"/>
        <v/>
      </c>
      <c r="CW87" s="246" t="str">
        <f t="shared" si="6"/>
        <v/>
      </c>
      <c r="CX87" s="241" t="str">
        <f t="shared" si="7"/>
        <v/>
      </c>
      <c r="CY87" s="241" t="str">
        <f t="shared" si="8"/>
        <v/>
      </c>
      <c r="CZ87" s="241" t="str">
        <f t="shared" si="9"/>
        <v/>
      </c>
      <c r="DA87" s="246" t="str">
        <f t="shared" si="10"/>
        <v/>
      </c>
      <c r="DB87" s="246" t="str">
        <f t="shared" si="11"/>
        <v/>
      </c>
      <c r="DC87" s="246" t="str">
        <f t="shared" si="12"/>
        <v/>
      </c>
      <c r="DD87" s="241" t="str">
        <f t="shared" si="13"/>
        <v>1</v>
      </c>
      <c r="DE87" s="241" t="str">
        <f t="shared" si="14"/>
        <v/>
      </c>
      <c r="DF87" s="241" t="str">
        <f t="shared" si="15"/>
        <v/>
      </c>
      <c r="DG87" s="244" t="str">
        <f t="shared" si="16"/>
        <v/>
      </c>
      <c r="DH87" s="244" t="str">
        <f t="shared" si="17"/>
        <v/>
      </c>
      <c r="DI87" s="244" t="str">
        <f>IF(COUNTIF(PlayerAltNames,B87)&gt;0, B87, I87)</f>
        <v/>
      </c>
      <c r="DJ87" s="247" t="str">
        <f t="shared" ref="DJ87:DO87" si="193">IF(COUNTIF($I87,$DI87)&gt;0, J87, C87)</f>
        <v/>
      </c>
      <c r="DK87" s="247" t="str">
        <f t="shared" si="193"/>
        <v/>
      </c>
      <c r="DL87" s="247" t="str">
        <f t="shared" si="193"/>
        <v/>
      </c>
      <c r="DM87" s="247" t="str">
        <f t="shared" si="193"/>
        <v/>
      </c>
      <c r="DN87" s="247" t="str">
        <f t="shared" si="193"/>
        <v/>
      </c>
      <c r="DO87" s="247" t="str">
        <f t="shared" si="193"/>
        <v/>
      </c>
      <c r="DP87" s="244" t="str">
        <f t="shared" si="19"/>
        <v/>
      </c>
      <c r="DQ87" s="244" t="str">
        <f t="shared" ref="DQ87:DV87" si="194">IF(COUNTIF($I87,$DP87), J87, C87)</f>
        <v/>
      </c>
      <c r="DR87" s="244" t="str">
        <f t="shared" si="194"/>
        <v/>
      </c>
      <c r="DS87" s="244" t="str">
        <f t="shared" si="194"/>
        <v/>
      </c>
      <c r="DT87" s="244" t="str">
        <f t="shared" si="194"/>
        <v/>
      </c>
      <c r="DU87" s="244" t="str">
        <f t="shared" si="194"/>
        <v/>
      </c>
      <c r="DV87" s="244" t="str">
        <f t="shared" si="194"/>
        <v/>
      </c>
      <c r="DW87" s="241" t="str">
        <f>IF(HomePage!C98 &lt;&gt; "", IFS(AND(P87 = 1, COUNTIF(PlayerAltNames, B87)&gt;0), "Win", AND(P87 = 1, COUNTIF(PlayerAltNames, I87)&gt;0), "Loss", AND(P87 = 2, COUNTIF(PlayerAltNames, I87)&gt;0), "Win", AND(P87 = 2, COUNTIF(PlayerAltNames, B87)&gt;0), "Loss"), "")</f>
        <v/>
      </c>
      <c r="DX87" s="244"/>
      <c r="DY87" s="244" t="str">
        <f t="shared" si="21"/>
        <v>#N/A</v>
      </c>
      <c r="DZ87" s="244" t="str">
        <f t="shared" si="22"/>
        <v>#N/A</v>
      </c>
      <c r="EA87" s="244" t="str">
        <f t="shared" si="23"/>
        <v>#N/A</v>
      </c>
      <c r="EB87" s="244" t="str">
        <f t="shared" si="24"/>
        <v>#N/A</v>
      </c>
      <c r="EC87" s="244" t="str">
        <f t="shared" si="25"/>
        <v>#N/A</v>
      </c>
      <c r="ED87" s="244" t="str">
        <f t="shared" si="26"/>
        <v>#N/A</v>
      </c>
      <c r="EE87" s="244" t="str">
        <f t="shared" si="27"/>
        <v> -&gt; </v>
      </c>
      <c r="EF87" s="244" t="str">
        <f t="shared" si="28"/>
        <v/>
      </c>
      <c r="EG87" s="244"/>
      <c r="EH87" s="244"/>
      <c r="EI87" s="245"/>
    </row>
    <row r="88">
      <c r="A88" s="248"/>
      <c r="B88" s="239" t="str">
        <f>IF(HomePage!C99&lt;&gt;"", REPLAYTODATA(HomePage!C99), "")</f>
        <v/>
      </c>
      <c r="C88" s="236"/>
      <c r="D88" s="236"/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44"/>
      <c r="AQ88" s="244"/>
      <c r="AR88" s="244"/>
      <c r="AS88" s="244"/>
      <c r="AT88" s="244"/>
      <c r="AU88" s="244"/>
      <c r="AV88" s="244"/>
      <c r="AW88" s="244"/>
      <c r="AX88" s="244"/>
      <c r="AY88" s="244"/>
      <c r="AZ88" s="244"/>
      <c r="BA88" s="244"/>
      <c r="BB88" s="244"/>
      <c r="BC88" s="244"/>
      <c r="BD88" s="244"/>
      <c r="BE88" s="244"/>
      <c r="BF88" s="244"/>
      <c r="BG88" s="244"/>
      <c r="BH88" s="244"/>
      <c r="BI88" s="244"/>
      <c r="BJ88" s="244"/>
      <c r="BK88" s="244"/>
      <c r="BL88" s="244"/>
      <c r="BM88" s="244"/>
      <c r="BN88" s="244"/>
      <c r="BO88" s="244"/>
      <c r="BP88" s="244"/>
      <c r="BQ88" s="244"/>
      <c r="BR88" s="244"/>
      <c r="BS88" s="244"/>
      <c r="BT88" s="244"/>
      <c r="BU88" s="244"/>
      <c r="BV88" s="244"/>
      <c r="BW88" s="244"/>
      <c r="BX88" s="244"/>
      <c r="BY88" s="244"/>
      <c r="BZ88" s="244"/>
      <c r="CA88" s="244"/>
      <c r="CB88" s="244"/>
      <c r="CC88" s="244"/>
      <c r="CD88" s="244"/>
      <c r="CE88" s="244"/>
      <c r="CF88" s="244"/>
      <c r="CG88" s="244"/>
      <c r="CH88" s="244"/>
      <c r="CI88" s="244"/>
      <c r="CJ88" s="244"/>
      <c r="CK88" s="244"/>
      <c r="CL88" s="244"/>
      <c r="CM88" s="244"/>
      <c r="CN88" s="244"/>
      <c r="CO88" s="244"/>
      <c r="CP88" s="244"/>
      <c r="CQ88" s="244"/>
      <c r="CR88" s="244"/>
      <c r="CS88" s="244"/>
      <c r="CT88" s="241" t="str">
        <f t="shared" si="3"/>
        <v/>
      </c>
      <c r="CU88" s="246" t="str">
        <f t="shared" si="4"/>
        <v/>
      </c>
      <c r="CV88" s="241" t="str">
        <f t="shared" si="5"/>
        <v/>
      </c>
      <c r="CW88" s="246" t="str">
        <f t="shared" si="6"/>
        <v/>
      </c>
      <c r="CX88" s="241" t="str">
        <f t="shared" si="7"/>
        <v/>
      </c>
      <c r="CY88" s="241" t="str">
        <f t="shared" si="8"/>
        <v/>
      </c>
      <c r="CZ88" s="241" t="str">
        <f t="shared" si="9"/>
        <v/>
      </c>
      <c r="DA88" s="246" t="str">
        <f t="shared" si="10"/>
        <v/>
      </c>
      <c r="DB88" s="246" t="str">
        <f t="shared" si="11"/>
        <v/>
      </c>
      <c r="DC88" s="246" t="str">
        <f t="shared" si="12"/>
        <v/>
      </c>
      <c r="DD88" s="241" t="str">
        <f t="shared" si="13"/>
        <v>1</v>
      </c>
      <c r="DE88" s="241" t="str">
        <f t="shared" si="14"/>
        <v/>
      </c>
      <c r="DF88" s="241" t="str">
        <f t="shared" si="15"/>
        <v/>
      </c>
      <c r="DG88" s="244" t="str">
        <f t="shared" si="16"/>
        <v/>
      </c>
      <c r="DH88" s="244" t="str">
        <f t="shared" si="17"/>
        <v/>
      </c>
      <c r="DI88" s="244" t="str">
        <f>IF(COUNTIF(PlayerAltNames,B88)&gt;0, B88, I88)</f>
        <v/>
      </c>
      <c r="DJ88" s="247" t="str">
        <f t="shared" ref="DJ88:DO88" si="195">IF(COUNTIF($I88,$DI88)&gt;0, J88, C88)</f>
        <v/>
      </c>
      <c r="DK88" s="247" t="str">
        <f t="shared" si="195"/>
        <v/>
      </c>
      <c r="DL88" s="247" t="str">
        <f t="shared" si="195"/>
        <v/>
      </c>
      <c r="DM88" s="247" t="str">
        <f t="shared" si="195"/>
        <v/>
      </c>
      <c r="DN88" s="247" t="str">
        <f t="shared" si="195"/>
        <v/>
      </c>
      <c r="DO88" s="247" t="str">
        <f t="shared" si="195"/>
        <v/>
      </c>
      <c r="DP88" s="244" t="str">
        <f t="shared" si="19"/>
        <v/>
      </c>
      <c r="DQ88" s="244" t="str">
        <f t="shared" ref="DQ88:DV88" si="196">IF(COUNTIF($I88,$DP88), J88, C88)</f>
        <v/>
      </c>
      <c r="DR88" s="244" t="str">
        <f t="shared" si="196"/>
        <v/>
      </c>
      <c r="DS88" s="244" t="str">
        <f t="shared" si="196"/>
        <v/>
      </c>
      <c r="DT88" s="244" t="str">
        <f t="shared" si="196"/>
        <v/>
      </c>
      <c r="DU88" s="244" t="str">
        <f t="shared" si="196"/>
        <v/>
      </c>
      <c r="DV88" s="244" t="str">
        <f t="shared" si="196"/>
        <v/>
      </c>
      <c r="DW88" s="241" t="str">
        <f>IF(HomePage!C99 &lt;&gt; "", IFS(AND(P88 = 1, COUNTIF(PlayerAltNames, B88)&gt;0), "Win", AND(P88 = 1, COUNTIF(PlayerAltNames, I88)&gt;0), "Loss", AND(P88 = 2, COUNTIF(PlayerAltNames, I88)&gt;0), "Win", AND(P88 = 2, COUNTIF(PlayerAltNames, B88)&gt;0), "Loss"), "")</f>
        <v/>
      </c>
      <c r="DX88" s="244"/>
      <c r="DY88" s="244" t="str">
        <f t="shared" si="21"/>
        <v>#N/A</v>
      </c>
      <c r="DZ88" s="244" t="str">
        <f t="shared" si="22"/>
        <v>#N/A</v>
      </c>
      <c r="EA88" s="244" t="str">
        <f t="shared" si="23"/>
        <v>#N/A</v>
      </c>
      <c r="EB88" s="244" t="str">
        <f t="shared" si="24"/>
        <v>#N/A</v>
      </c>
      <c r="EC88" s="244" t="str">
        <f t="shared" si="25"/>
        <v>#N/A</v>
      </c>
      <c r="ED88" s="244" t="str">
        <f t="shared" si="26"/>
        <v>#N/A</v>
      </c>
      <c r="EE88" s="244" t="str">
        <f t="shared" si="27"/>
        <v> -&gt; </v>
      </c>
      <c r="EF88" s="244" t="str">
        <f t="shared" si="28"/>
        <v/>
      </c>
      <c r="EG88" s="244"/>
      <c r="EH88" s="244"/>
      <c r="EI88" s="245"/>
    </row>
    <row r="89">
      <c r="A89" s="248"/>
      <c r="B89" s="239" t="str">
        <f>IF(HomePage!C100&lt;&gt;"", REPLAYTODATA(HomePage!C100), "")</f>
        <v/>
      </c>
      <c r="C89" s="236"/>
      <c r="D89" s="236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AQ89" s="244"/>
      <c r="AR89" s="244"/>
      <c r="AS89" s="244"/>
      <c r="AT89" s="244"/>
      <c r="AU89" s="244"/>
      <c r="AV89" s="244"/>
      <c r="AW89" s="244"/>
      <c r="AX89" s="244"/>
      <c r="AY89" s="244"/>
      <c r="AZ89" s="244"/>
      <c r="BA89" s="244"/>
      <c r="BB89" s="244"/>
      <c r="BC89" s="244"/>
      <c r="BD89" s="244"/>
      <c r="BE89" s="244"/>
      <c r="BF89" s="244"/>
      <c r="BG89" s="244"/>
      <c r="BH89" s="244"/>
      <c r="BI89" s="244"/>
      <c r="BJ89" s="244"/>
      <c r="BK89" s="244"/>
      <c r="BL89" s="244"/>
      <c r="BM89" s="244"/>
      <c r="BN89" s="244"/>
      <c r="BO89" s="244"/>
      <c r="BP89" s="244"/>
      <c r="BQ89" s="244"/>
      <c r="BR89" s="244"/>
      <c r="BS89" s="244"/>
      <c r="BT89" s="244"/>
      <c r="BU89" s="244"/>
      <c r="BV89" s="244"/>
      <c r="BW89" s="244"/>
      <c r="BX89" s="244"/>
      <c r="BY89" s="244"/>
      <c r="BZ89" s="244"/>
      <c r="CA89" s="244"/>
      <c r="CB89" s="244"/>
      <c r="CC89" s="244"/>
      <c r="CD89" s="244"/>
      <c r="CE89" s="244"/>
      <c r="CF89" s="244"/>
      <c r="CG89" s="244"/>
      <c r="CH89" s="244"/>
      <c r="CI89" s="244"/>
      <c r="CJ89" s="244"/>
      <c r="CK89" s="244"/>
      <c r="CL89" s="244"/>
      <c r="CM89" s="244"/>
      <c r="CN89" s="244"/>
      <c r="CO89" s="244"/>
      <c r="CP89" s="244"/>
      <c r="CQ89" s="244"/>
      <c r="CR89" s="244"/>
      <c r="CS89" s="244"/>
      <c r="CT89" s="241" t="str">
        <f t="shared" si="3"/>
        <v/>
      </c>
      <c r="CU89" s="246" t="str">
        <f t="shared" si="4"/>
        <v/>
      </c>
      <c r="CV89" s="241" t="str">
        <f t="shared" si="5"/>
        <v/>
      </c>
      <c r="CW89" s="246" t="str">
        <f t="shared" si="6"/>
        <v/>
      </c>
      <c r="CX89" s="241" t="str">
        <f t="shared" si="7"/>
        <v/>
      </c>
      <c r="CY89" s="241" t="str">
        <f t="shared" si="8"/>
        <v/>
      </c>
      <c r="CZ89" s="241" t="str">
        <f t="shared" si="9"/>
        <v/>
      </c>
      <c r="DA89" s="246" t="str">
        <f t="shared" si="10"/>
        <v/>
      </c>
      <c r="DB89" s="246" t="str">
        <f t="shared" si="11"/>
        <v/>
      </c>
      <c r="DC89" s="246" t="str">
        <f t="shared" si="12"/>
        <v/>
      </c>
      <c r="DD89" s="241" t="str">
        <f t="shared" si="13"/>
        <v>1</v>
      </c>
      <c r="DE89" s="241" t="str">
        <f t="shared" si="14"/>
        <v/>
      </c>
      <c r="DF89" s="241" t="str">
        <f t="shared" si="15"/>
        <v/>
      </c>
      <c r="DG89" s="244" t="str">
        <f t="shared" si="16"/>
        <v/>
      </c>
      <c r="DH89" s="244" t="str">
        <f t="shared" si="17"/>
        <v/>
      </c>
      <c r="DI89" s="244" t="str">
        <f>IF(COUNTIF(PlayerAltNames,B89)&gt;0, B89, I89)</f>
        <v/>
      </c>
      <c r="DJ89" s="247" t="str">
        <f t="shared" ref="DJ89:DO89" si="197">IF(COUNTIF($I89,$DI89)&gt;0, J89, C89)</f>
        <v/>
      </c>
      <c r="DK89" s="247" t="str">
        <f t="shared" si="197"/>
        <v/>
      </c>
      <c r="DL89" s="247" t="str">
        <f t="shared" si="197"/>
        <v/>
      </c>
      <c r="DM89" s="247" t="str">
        <f t="shared" si="197"/>
        <v/>
      </c>
      <c r="DN89" s="247" t="str">
        <f t="shared" si="197"/>
        <v/>
      </c>
      <c r="DO89" s="247" t="str">
        <f t="shared" si="197"/>
        <v/>
      </c>
      <c r="DP89" s="244" t="str">
        <f t="shared" si="19"/>
        <v/>
      </c>
      <c r="DQ89" s="244" t="str">
        <f t="shared" ref="DQ89:DV89" si="198">IF(COUNTIF($I89,$DP89), J89, C89)</f>
        <v/>
      </c>
      <c r="DR89" s="244" t="str">
        <f t="shared" si="198"/>
        <v/>
      </c>
      <c r="DS89" s="244" t="str">
        <f t="shared" si="198"/>
        <v/>
      </c>
      <c r="DT89" s="244" t="str">
        <f t="shared" si="198"/>
        <v/>
      </c>
      <c r="DU89" s="244" t="str">
        <f t="shared" si="198"/>
        <v/>
      </c>
      <c r="DV89" s="244" t="str">
        <f t="shared" si="198"/>
        <v/>
      </c>
      <c r="DW89" s="241" t="str">
        <f>IF(HomePage!C100 &lt;&gt; "", IFS(AND(P89 = 1, COUNTIF(PlayerAltNames, B89)&gt;0), "Win", AND(P89 = 1, COUNTIF(PlayerAltNames, I89)&gt;0), "Loss", AND(P89 = 2, COUNTIF(PlayerAltNames, I89)&gt;0), "Win", AND(P89 = 2, COUNTIF(PlayerAltNames, B89)&gt;0), "Loss"), "")</f>
        <v/>
      </c>
      <c r="DX89" s="244"/>
      <c r="DY89" s="244" t="str">
        <f t="shared" si="21"/>
        <v>#N/A</v>
      </c>
      <c r="DZ89" s="244" t="str">
        <f t="shared" si="22"/>
        <v>#N/A</v>
      </c>
      <c r="EA89" s="244" t="str">
        <f t="shared" si="23"/>
        <v>#N/A</v>
      </c>
      <c r="EB89" s="244" t="str">
        <f t="shared" si="24"/>
        <v>#N/A</v>
      </c>
      <c r="EC89" s="244" t="str">
        <f t="shared" si="25"/>
        <v>#N/A</v>
      </c>
      <c r="ED89" s="244" t="str">
        <f t="shared" si="26"/>
        <v>#N/A</v>
      </c>
      <c r="EE89" s="244" t="str">
        <f t="shared" si="27"/>
        <v> -&gt; </v>
      </c>
      <c r="EF89" s="244" t="str">
        <f t="shared" si="28"/>
        <v/>
      </c>
      <c r="EG89" s="244"/>
      <c r="EH89" s="244"/>
      <c r="EI89" s="245"/>
    </row>
    <row r="90">
      <c r="A90" s="248"/>
      <c r="B90" s="239" t="str">
        <f>IF(HomePage!C101&lt;&gt;"", REPLAYTODATA(HomePage!C101), "")</f>
        <v/>
      </c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44"/>
      <c r="AP90" s="244"/>
      <c r="AQ90" s="244"/>
      <c r="AR90" s="244"/>
      <c r="AS90" s="244"/>
      <c r="AT90" s="244"/>
      <c r="AU90" s="244"/>
      <c r="AV90" s="244"/>
      <c r="AW90" s="244"/>
      <c r="AX90" s="244"/>
      <c r="AY90" s="244"/>
      <c r="AZ90" s="244"/>
      <c r="BA90" s="244"/>
      <c r="BB90" s="244"/>
      <c r="BC90" s="244"/>
      <c r="BD90" s="244"/>
      <c r="BE90" s="244"/>
      <c r="BF90" s="244"/>
      <c r="BG90" s="244"/>
      <c r="BH90" s="244"/>
      <c r="BI90" s="244"/>
      <c r="BJ90" s="244"/>
      <c r="BK90" s="244"/>
      <c r="BL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44"/>
      <c r="CF90" s="244"/>
      <c r="CG90" s="244"/>
      <c r="CH90" s="244"/>
      <c r="CI90" s="244"/>
      <c r="CJ90" s="244"/>
      <c r="CK90" s="244"/>
      <c r="CL90" s="244"/>
      <c r="CM90" s="244"/>
      <c r="CN90" s="244"/>
      <c r="CO90" s="244"/>
      <c r="CP90" s="244"/>
      <c r="CQ90" s="244"/>
      <c r="CR90" s="244"/>
      <c r="CS90" s="244"/>
      <c r="CT90" s="241" t="str">
        <f t="shared" si="3"/>
        <v/>
      </c>
      <c r="CU90" s="246" t="str">
        <f t="shared" si="4"/>
        <v/>
      </c>
      <c r="CV90" s="241" t="str">
        <f t="shared" si="5"/>
        <v/>
      </c>
      <c r="CW90" s="246" t="str">
        <f t="shared" si="6"/>
        <v/>
      </c>
      <c r="CX90" s="241" t="str">
        <f t="shared" si="7"/>
        <v/>
      </c>
      <c r="CY90" s="241" t="str">
        <f t="shared" si="8"/>
        <v/>
      </c>
      <c r="CZ90" s="241" t="str">
        <f t="shared" si="9"/>
        <v/>
      </c>
      <c r="DA90" s="246" t="str">
        <f t="shared" si="10"/>
        <v/>
      </c>
      <c r="DB90" s="246" t="str">
        <f t="shared" si="11"/>
        <v/>
      </c>
      <c r="DC90" s="246" t="str">
        <f t="shared" si="12"/>
        <v/>
      </c>
      <c r="DD90" s="241" t="str">
        <f t="shared" si="13"/>
        <v>1</v>
      </c>
      <c r="DE90" s="241" t="str">
        <f t="shared" si="14"/>
        <v/>
      </c>
      <c r="DF90" s="241" t="str">
        <f t="shared" si="15"/>
        <v/>
      </c>
      <c r="DG90" s="244" t="str">
        <f t="shared" si="16"/>
        <v/>
      </c>
      <c r="DH90" s="244" t="str">
        <f t="shared" si="17"/>
        <v/>
      </c>
      <c r="DI90" s="244" t="str">
        <f>IF(COUNTIF(PlayerAltNames,B90)&gt;0, B90, I90)</f>
        <v/>
      </c>
      <c r="DJ90" s="247" t="str">
        <f t="shared" ref="DJ90:DO90" si="199">IF(COUNTIF($I90,$DI90)&gt;0, J90, C90)</f>
        <v/>
      </c>
      <c r="DK90" s="247" t="str">
        <f t="shared" si="199"/>
        <v/>
      </c>
      <c r="DL90" s="247" t="str">
        <f t="shared" si="199"/>
        <v/>
      </c>
      <c r="DM90" s="247" t="str">
        <f t="shared" si="199"/>
        <v/>
      </c>
      <c r="DN90" s="247" t="str">
        <f t="shared" si="199"/>
        <v/>
      </c>
      <c r="DO90" s="247" t="str">
        <f t="shared" si="199"/>
        <v/>
      </c>
      <c r="DP90" s="244" t="str">
        <f t="shared" si="19"/>
        <v/>
      </c>
      <c r="DQ90" s="244" t="str">
        <f t="shared" ref="DQ90:DV90" si="200">IF(COUNTIF($I90,$DP90), J90, C90)</f>
        <v/>
      </c>
      <c r="DR90" s="244" t="str">
        <f t="shared" si="200"/>
        <v/>
      </c>
      <c r="DS90" s="244" t="str">
        <f t="shared" si="200"/>
        <v/>
      </c>
      <c r="DT90" s="244" t="str">
        <f t="shared" si="200"/>
        <v/>
      </c>
      <c r="DU90" s="244" t="str">
        <f t="shared" si="200"/>
        <v/>
      </c>
      <c r="DV90" s="244" t="str">
        <f t="shared" si="200"/>
        <v/>
      </c>
      <c r="DW90" s="241" t="str">
        <f>IF(HomePage!C101 &lt;&gt; "", IFS(AND(P90 = 1, COUNTIF(PlayerAltNames, B90)&gt;0), "Win", AND(P90 = 1, COUNTIF(PlayerAltNames, I90)&gt;0), "Loss", AND(P90 = 2, COUNTIF(PlayerAltNames, I90)&gt;0), "Win", AND(P90 = 2, COUNTIF(PlayerAltNames, B90)&gt;0), "Loss"), "")</f>
        <v/>
      </c>
      <c r="DX90" s="244"/>
      <c r="DY90" s="244" t="str">
        <f t="shared" si="21"/>
        <v>#N/A</v>
      </c>
      <c r="DZ90" s="244" t="str">
        <f t="shared" si="22"/>
        <v>#N/A</v>
      </c>
      <c r="EA90" s="244" t="str">
        <f t="shared" si="23"/>
        <v>#N/A</v>
      </c>
      <c r="EB90" s="244" t="str">
        <f t="shared" si="24"/>
        <v>#N/A</v>
      </c>
      <c r="EC90" s="244" t="str">
        <f t="shared" si="25"/>
        <v>#N/A</v>
      </c>
      <c r="ED90" s="244" t="str">
        <f t="shared" si="26"/>
        <v>#N/A</v>
      </c>
      <c r="EE90" s="244" t="str">
        <f t="shared" si="27"/>
        <v> -&gt; </v>
      </c>
      <c r="EF90" s="244" t="str">
        <f t="shared" si="28"/>
        <v/>
      </c>
      <c r="EG90" s="244"/>
      <c r="EH90" s="244"/>
      <c r="EI90" s="245"/>
    </row>
    <row r="91">
      <c r="A91" s="248"/>
      <c r="B91" s="239" t="str">
        <f>IF(HomePage!C102&lt;&gt;"", REPLAYTODATA(HomePage!C102), "")</f>
        <v/>
      </c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244"/>
      <c r="BC91" s="244"/>
      <c r="BD91" s="244"/>
      <c r="BE91" s="244"/>
      <c r="BF91" s="244"/>
      <c r="BG91" s="244"/>
      <c r="BH91" s="244"/>
      <c r="BI91" s="244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44"/>
      <c r="CF91" s="244"/>
      <c r="CG91" s="244"/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44"/>
      <c r="CT91" s="241" t="str">
        <f t="shared" si="3"/>
        <v/>
      </c>
      <c r="CU91" s="246" t="str">
        <f t="shared" si="4"/>
        <v/>
      </c>
      <c r="CV91" s="241" t="str">
        <f t="shared" si="5"/>
        <v/>
      </c>
      <c r="CW91" s="246" t="str">
        <f t="shared" si="6"/>
        <v/>
      </c>
      <c r="CX91" s="241" t="str">
        <f t="shared" si="7"/>
        <v/>
      </c>
      <c r="CY91" s="241" t="str">
        <f t="shared" si="8"/>
        <v/>
      </c>
      <c r="CZ91" s="241" t="str">
        <f t="shared" si="9"/>
        <v/>
      </c>
      <c r="DA91" s="246" t="str">
        <f t="shared" si="10"/>
        <v/>
      </c>
      <c r="DB91" s="246" t="str">
        <f t="shared" si="11"/>
        <v/>
      </c>
      <c r="DC91" s="246" t="str">
        <f t="shared" si="12"/>
        <v/>
      </c>
      <c r="DD91" s="241" t="str">
        <f t="shared" si="13"/>
        <v>1</v>
      </c>
      <c r="DE91" s="241" t="str">
        <f t="shared" si="14"/>
        <v/>
      </c>
      <c r="DF91" s="241" t="str">
        <f t="shared" si="15"/>
        <v/>
      </c>
      <c r="DG91" s="244" t="str">
        <f t="shared" si="16"/>
        <v/>
      </c>
      <c r="DH91" s="244" t="str">
        <f t="shared" si="17"/>
        <v/>
      </c>
      <c r="DI91" s="244" t="str">
        <f>IF(COUNTIF(PlayerAltNames,B91)&gt;0, B91, I91)</f>
        <v/>
      </c>
      <c r="DJ91" s="247" t="str">
        <f t="shared" ref="DJ91:DO91" si="201">IF(COUNTIF($I91,$DI91)&gt;0, J91, C91)</f>
        <v/>
      </c>
      <c r="DK91" s="247" t="str">
        <f t="shared" si="201"/>
        <v/>
      </c>
      <c r="DL91" s="247" t="str">
        <f t="shared" si="201"/>
        <v/>
      </c>
      <c r="DM91" s="247" t="str">
        <f t="shared" si="201"/>
        <v/>
      </c>
      <c r="DN91" s="247" t="str">
        <f t="shared" si="201"/>
        <v/>
      </c>
      <c r="DO91" s="247" t="str">
        <f t="shared" si="201"/>
        <v/>
      </c>
      <c r="DP91" s="244" t="str">
        <f t="shared" si="19"/>
        <v/>
      </c>
      <c r="DQ91" s="244" t="str">
        <f t="shared" ref="DQ91:DV91" si="202">IF(COUNTIF($I91,$DP91), J91, C91)</f>
        <v/>
      </c>
      <c r="DR91" s="244" t="str">
        <f t="shared" si="202"/>
        <v/>
      </c>
      <c r="DS91" s="244" t="str">
        <f t="shared" si="202"/>
        <v/>
      </c>
      <c r="DT91" s="244" t="str">
        <f t="shared" si="202"/>
        <v/>
      </c>
      <c r="DU91" s="244" t="str">
        <f t="shared" si="202"/>
        <v/>
      </c>
      <c r="DV91" s="244" t="str">
        <f t="shared" si="202"/>
        <v/>
      </c>
      <c r="DW91" s="241" t="str">
        <f>IF(HomePage!C102 &lt;&gt; "", IFS(AND(P91 = 1, COUNTIF(PlayerAltNames, B91)&gt;0), "Win", AND(P91 = 1, COUNTIF(PlayerAltNames, I91)&gt;0), "Loss", AND(P91 = 2, COUNTIF(PlayerAltNames, I91)&gt;0), "Win", AND(P91 = 2, COUNTIF(PlayerAltNames, B91)&gt;0), "Loss"), "")</f>
        <v/>
      </c>
      <c r="DX91" s="244"/>
      <c r="DY91" s="244" t="str">
        <f t="shared" si="21"/>
        <v>#N/A</v>
      </c>
      <c r="DZ91" s="244" t="str">
        <f t="shared" si="22"/>
        <v>#N/A</v>
      </c>
      <c r="EA91" s="244" t="str">
        <f t="shared" si="23"/>
        <v>#N/A</v>
      </c>
      <c r="EB91" s="244" t="str">
        <f t="shared" si="24"/>
        <v>#N/A</v>
      </c>
      <c r="EC91" s="244" t="str">
        <f t="shared" si="25"/>
        <v>#N/A</v>
      </c>
      <c r="ED91" s="244" t="str">
        <f t="shared" si="26"/>
        <v>#N/A</v>
      </c>
      <c r="EE91" s="244" t="str">
        <f t="shared" si="27"/>
        <v> -&gt; </v>
      </c>
      <c r="EF91" s="244" t="str">
        <f t="shared" si="28"/>
        <v/>
      </c>
      <c r="EG91" s="244"/>
      <c r="EH91" s="244"/>
      <c r="EI91" s="245"/>
    </row>
    <row r="92">
      <c r="A92" s="248"/>
      <c r="B92" s="239" t="str">
        <f>IF(HomePage!C103&lt;&gt;"", REPLAYTODATA(HomePage!C103), "")</f>
        <v/>
      </c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4"/>
      <c r="BA92" s="244"/>
      <c r="BB92" s="244"/>
      <c r="BC92" s="244"/>
      <c r="BD92" s="244"/>
      <c r="BE92" s="244"/>
      <c r="BF92" s="244"/>
      <c r="BG92" s="244"/>
      <c r="BH92" s="244"/>
      <c r="BI92" s="244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44"/>
      <c r="CF92" s="244"/>
      <c r="CG92" s="244"/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44"/>
      <c r="CT92" s="241" t="str">
        <f t="shared" si="3"/>
        <v/>
      </c>
      <c r="CU92" s="246" t="str">
        <f t="shared" si="4"/>
        <v/>
      </c>
      <c r="CV92" s="241" t="str">
        <f t="shared" si="5"/>
        <v/>
      </c>
      <c r="CW92" s="246" t="str">
        <f t="shared" si="6"/>
        <v/>
      </c>
      <c r="CX92" s="241" t="str">
        <f t="shared" si="7"/>
        <v/>
      </c>
      <c r="CY92" s="241" t="str">
        <f t="shared" si="8"/>
        <v/>
      </c>
      <c r="CZ92" s="241" t="str">
        <f t="shared" si="9"/>
        <v/>
      </c>
      <c r="DA92" s="246" t="str">
        <f t="shared" si="10"/>
        <v/>
      </c>
      <c r="DB92" s="246" t="str">
        <f t="shared" si="11"/>
        <v/>
      </c>
      <c r="DC92" s="246" t="str">
        <f t="shared" si="12"/>
        <v/>
      </c>
      <c r="DD92" s="241" t="str">
        <f t="shared" si="13"/>
        <v>1</v>
      </c>
      <c r="DE92" s="241" t="str">
        <f t="shared" si="14"/>
        <v/>
      </c>
      <c r="DF92" s="241" t="str">
        <f t="shared" si="15"/>
        <v/>
      </c>
      <c r="DG92" s="244" t="str">
        <f t="shared" si="16"/>
        <v/>
      </c>
      <c r="DH92" s="244" t="str">
        <f t="shared" si="17"/>
        <v/>
      </c>
      <c r="DI92" s="244" t="str">
        <f>IF(COUNTIF(PlayerAltNames,B92)&gt;0, B92, I92)</f>
        <v/>
      </c>
      <c r="DJ92" s="247" t="str">
        <f t="shared" ref="DJ92:DO92" si="203">IF(COUNTIF($I92,$DI92)&gt;0, J92, C92)</f>
        <v/>
      </c>
      <c r="DK92" s="247" t="str">
        <f t="shared" si="203"/>
        <v/>
      </c>
      <c r="DL92" s="247" t="str">
        <f t="shared" si="203"/>
        <v/>
      </c>
      <c r="DM92" s="247" t="str">
        <f t="shared" si="203"/>
        <v/>
      </c>
      <c r="DN92" s="247" t="str">
        <f t="shared" si="203"/>
        <v/>
      </c>
      <c r="DO92" s="247" t="str">
        <f t="shared" si="203"/>
        <v/>
      </c>
      <c r="DP92" s="244" t="str">
        <f t="shared" si="19"/>
        <v/>
      </c>
      <c r="DQ92" s="244" t="str">
        <f t="shared" ref="DQ92:DV92" si="204">IF(COUNTIF($I92,$DP92), J92, C92)</f>
        <v/>
      </c>
      <c r="DR92" s="244" t="str">
        <f t="shared" si="204"/>
        <v/>
      </c>
      <c r="DS92" s="244" t="str">
        <f t="shared" si="204"/>
        <v/>
      </c>
      <c r="DT92" s="244" t="str">
        <f t="shared" si="204"/>
        <v/>
      </c>
      <c r="DU92" s="244" t="str">
        <f t="shared" si="204"/>
        <v/>
      </c>
      <c r="DV92" s="244" t="str">
        <f t="shared" si="204"/>
        <v/>
      </c>
      <c r="DW92" s="241" t="str">
        <f>IF(HomePage!C103 &lt;&gt; "", IFS(AND(P92 = 1, COUNTIF(PlayerAltNames, B92)&gt;0), "Win", AND(P92 = 1, COUNTIF(PlayerAltNames, I92)&gt;0), "Loss", AND(P92 = 2, COUNTIF(PlayerAltNames, I92)&gt;0), "Win", AND(P92 = 2, COUNTIF(PlayerAltNames, B92)&gt;0), "Loss"), "")</f>
        <v/>
      </c>
      <c r="DX92" s="244"/>
      <c r="DY92" s="244" t="str">
        <f t="shared" si="21"/>
        <v>#N/A</v>
      </c>
      <c r="DZ92" s="244" t="str">
        <f t="shared" si="22"/>
        <v>#N/A</v>
      </c>
      <c r="EA92" s="244" t="str">
        <f t="shared" si="23"/>
        <v>#N/A</v>
      </c>
      <c r="EB92" s="244" t="str">
        <f t="shared" si="24"/>
        <v>#N/A</v>
      </c>
      <c r="EC92" s="244" t="str">
        <f t="shared" si="25"/>
        <v>#N/A</v>
      </c>
      <c r="ED92" s="244" t="str">
        <f t="shared" si="26"/>
        <v>#N/A</v>
      </c>
      <c r="EE92" s="244" t="str">
        <f t="shared" si="27"/>
        <v> -&gt; </v>
      </c>
      <c r="EF92" s="244" t="str">
        <f t="shared" si="28"/>
        <v/>
      </c>
      <c r="EG92" s="244"/>
      <c r="EH92" s="244"/>
      <c r="EI92" s="245"/>
    </row>
    <row r="93">
      <c r="A93" s="248"/>
      <c r="B93" s="239" t="str">
        <f>IF(HomePage!C104&lt;&gt;"", REPLAYTODATA(HomePage!C104), "")</f>
        <v/>
      </c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244"/>
      <c r="BC93" s="244"/>
      <c r="BD93" s="244"/>
      <c r="BE93" s="244"/>
      <c r="BF93" s="244"/>
      <c r="BG93" s="244"/>
      <c r="BH93" s="244"/>
      <c r="BI93" s="244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44"/>
      <c r="CF93" s="244"/>
      <c r="CG93" s="244"/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44"/>
      <c r="CT93" s="241" t="str">
        <f t="shared" si="3"/>
        <v/>
      </c>
      <c r="CU93" s="246" t="str">
        <f t="shared" si="4"/>
        <v/>
      </c>
      <c r="CV93" s="241" t="str">
        <f t="shared" si="5"/>
        <v/>
      </c>
      <c r="CW93" s="246" t="str">
        <f t="shared" si="6"/>
        <v/>
      </c>
      <c r="CX93" s="241" t="str">
        <f t="shared" si="7"/>
        <v/>
      </c>
      <c r="CY93" s="241" t="str">
        <f t="shared" si="8"/>
        <v/>
      </c>
      <c r="CZ93" s="241" t="str">
        <f t="shared" si="9"/>
        <v/>
      </c>
      <c r="DA93" s="246" t="str">
        <f t="shared" si="10"/>
        <v/>
      </c>
      <c r="DB93" s="246" t="str">
        <f t="shared" si="11"/>
        <v/>
      </c>
      <c r="DC93" s="246" t="str">
        <f t="shared" si="12"/>
        <v/>
      </c>
      <c r="DD93" s="241" t="str">
        <f t="shared" si="13"/>
        <v>1</v>
      </c>
      <c r="DE93" s="241" t="str">
        <f t="shared" si="14"/>
        <v/>
      </c>
      <c r="DF93" s="241" t="str">
        <f t="shared" si="15"/>
        <v/>
      </c>
      <c r="DG93" s="244" t="str">
        <f t="shared" si="16"/>
        <v/>
      </c>
      <c r="DH93" s="244" t="str">
        <f t="shared" si="17"/>
        <v/>
      </c>
      <c r="DI93" s="244" t="str">
        <f>IF(COUNTIF(PlayerAltNames,B93)&gt;0, B93, I93)</f>
        <v/>
      </c>
      <c r="DJ93" s="247" t="str">
        <f t="shared" ref="DJ93:DO93" si="205">IF(COUNTIF($I93,$DI93)&gt;0, J93, C93)</f>
        <v/>
      </c>
      <c r="DK93" s="247" t="str">
        <f t="shared" si="205"/>
        <v/>
      </c>
      <c r="DL93" s="247" t="str">
        <f t="shared" si="205"/>
        <v/>
      </c>
      <c r="DM93" s="247" t="str">
        <f t="shared" si="205"/>
        <v/>
      </c>
      <c r="DN93" s="247" t="str">
        <f t="shared" si="205"/>
        <v/>
      </c>
      <c r="DO93" s="247" t="str">
        <f t="shared" si="205"/>
        <v/>
      </c>
      <c r="DP93" s="244" t="str">
        <f t="shared" si="19"/>
        <v/>
      </c>
      <c r="DQ93" s="244" t="str">
        <f t="shared" ref="DQ93:DV93" si="206">IF(COUNTIF($I93,$DP93), J93, C93)</f>
        <v/>
      </c>
      <c r="DR93" s="244" t="str">
        <f t="shared" si="206"/>
        <v/>
      </c>
      <c r="DS93" s="244" t="str">
        <f t="shared" si="206"/>
        <v/>
      </c>
      <c r="DT93" s="244" t="str">
        <f t="shared" si="206"/>
        <v/>
      </c>
      <c r="DU93" s="244" t="str">
        <f t="shared" si="206"/>
        <v/>
      </c>
      <c r="DV93" s="244" t="str">
        <f t="shared" si="206"/>
        <v/>
      </c>
      <c r="DW93" s="241" t="str">
        <f>IF(HomePage!C104 &lt;&gt; "", IFS(AND(P93 = 1, COUNTIF(PlayerAltNames, B93)&gt;0), "Win", AND(P93 = 1, COUNTIF(PlayerAltNames, I93)&gt;0), "Loss", AND(P93 = 2, COUNTIF(PlayerAltNames, I93)&gt;0), "Win", AND(P93 = 2, COUNTIF(PlayerAltNames, B93)&gt;0), "Loss"), "")</f>
        <v/>
      </c>
      <c r="DX93" s="244"/>
      <c r="DY93" s="244" t="str">
        <f t="shared" si="21"/>
        <v>#N/A</v>
      </c>
      <c r="DZ93" s="244" t="str">
        <f t="shared" si="22"/>
        <v>#N/A</v>
      </c>
      <c r="EA93" s="244" t="str">
        <f t="shared" si="23"/>
        <v>#N/A</v>
      </c>
      <c r="EB93" s="244" t="str">
        <f t="shared" si="24"/>
        <v>#N/A</v>
      </c>
      <c r="EC93" s="244" t="str">
        <f t="shared" si="25"/>
        <v>#N/A</v>
      </c>
      <c r="ED93" s="244" t="str">
        <f t="shared" si="26"/>
        <v>#N/A</v>
      </c>
      <c r="EE93" s="244" t="str">
        <f t="shared" si="27"/>
        <v> -&gt; </v>
      </c>
      <c r="EF93" s="244" t="str">
        <f t="shared" si="28"/>
        <v/>
      </c>
      <c r="EG93" s="244"/>
      <c r="EH93" s="244"/>
      <c r="EI93" s="245"/>
    </row>
    <row r="94">
      <c r="A94" s="248"/>
      <c r="B94" s="239" t="str">
        <f>IF(HomePage!C105&lt;&gt;"", REPLAYTODATA(HomePage!C105), "")</f>
        <v/>
      </c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/>
      <c r="BB94" s="244"/>
      <c r="BC94" s="244"/>
      <c r="BD94" s="244"/>
      <c r="BE94" s="244"/>
      <c r="BF94" s="244"/>
      <c r="BG94" s="244"/>
      <c r="BH94" s="244"/>
      <c r="BI94" s="244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44"/>
      <c r="CF94" s="244"/>
      <c r="CG94" s="244"/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44"/>
      <c r="CT94" s="241" t="str">
        <f t="shared" si="3"/>
        <v/>
      </c>
      <c r="CU94" s="246" t="str">
        <f t="shared" si="4"/>
        <v/>
      </c>
      <c r="CV94" s="241" t="str">
        <f t="shared" si="5"/>
        <v/>
      </c>
      <c r="CW94" s="246" t="str">
        <f t="shared" si="6"/>
        <v/>
      </c>
      <c r="CX94" s="241" t="str">
        <f t="shared" si="7"/>
        <v/>
      </c>
      <c r="CY94" s="241" t="str">
        <f t="shared" si="8"/>
        <v/>
      </c>
      <c r="CZ94" s="241" t="str">
        <f t="shared" si="9"/>
        <v/>
      </c>
      <c r="DA94" s="246" t="str">
        <f t="shared" si="10"/>
        <v/>
      </c>
      <c r="DB94" s="246" t="str">
        <f t="shared" si="11"/>
        <v/>
      </c>
      <c r="DC94" s="246" t="str">
        <f t="shared" si="12"/>
        <v/>
      </c>
      <c r="DD94" s="241" t="str">
        <f t="shared" si="13"/>
        <v>1</v>
      </c>
      <c r="DE94" s="241" t="str">
        <f t="shared" si="14"/>
        <v/>
      </c>
      <c r="DF94" s="241" t="str">
        <f t="shared" si="15"/>
        <v/>
      </c>
      <c r="DG94" s="244" t="str">
        <f t="shared" si="16"/>
        <v/>
      </c>
      <c r="DH94" s="244" t="str">
        <f t="shared" si="17"/>
        <v/>
      </c>
      <c r="DI94" s="244" t="str">
        <f>IF(COUNTIF(PlayerAltNames,B94)&gt;0, B94, I94)</f>
        <v/>
      </c>
      <c r="DJ94" s="247" t="str">
        <f t="shared" ref="DJ94:DO94" si="207">IF(COUNTIF($I94,$DI94)&gt;0, J94, C94)</f>
        <v/>
      </c>
      <c r="DK94" s="247" t="str">
        <f t="shared" si="207"/>
        <v/>
      </c>
      <c r="DL94" s="247" t="str">
        <f t="shared" si="207"/>
        <v/>
      </c>
      <c r="DM94" s="247" t="str">
        <f t="shared" si="207"/>
        <v/>
      </c>
      <c r="DN94" s="247" t="str">
        <f t="shared" si="207"/>
        <v/>
      </c>
      <c r="DO94" s="247" t="str">
        <f t="shared" si="207"/>
        <v/>
      </c>
      <c r="DP94" s="244" t="str">
        <f t="shared" si="19"/>
        <v/>
      </c>
      <c r="DQ94" s="244" t="str">
        <f t="shared" ref="DQ94:DV94" si="208">IF(COUNTIF($I94,$DP94), J94, C94)</f>
        <v/>
      </c>
      <c r="DR94" s="244" t="str">
        <f t="shared" si="208"/>
        <v/>
      </c>
      <c r="DS94" s="244" t="str">
        <f t="shared" si="208"/>
        <v/>
      </c>
      <c r="DT94" s="244" t="str">
        <f t="shared" si="208"/>
        <v/>
      </c>
      <c r="DU94" s="244" t="str">
        <f t="shared" si="208"/>
        <v/>
      </c>
      <c r="DV94" s="244" t="str">
        <f t="shared" si="208"/>
        <v/>
      </c>
      <c r="DW94" s="241" t="str">
        <f>IF(HomePage!C105 &lt;&gt; "", IFS(AND(P94 = 1, COUNTIF(PlayerAltNames, B94)&gt;0), "Win", AND(P94 = 1, COUNTIF(PlayerAltNames, I94)&gt;0), "Loss", AND(P94 = 2, COUNTIF(PlayerAltNames, I94)&gt;0), "Win", AND(P94 = 2, COUNTIF(PlayerAltNames, B94)&gt;0), "Loss"), "")</f>
        <v/>
      </c>
      <c r="DX94" s="244"/>
      <c r="DY94" s="244" t="str">
        <f t="shared" si="21"/>
        <v>#N/A</v>
      </c>
      <c r="DZ94" s="244" t="str">
        <f t="shared" si="22"/>
        <v>#N/A</v>
      </c>
      <c r="EA94" s="244" t="str">
        <f t="shared" si="23"/>
        <v>#N/A</v>
      </c>
      <c r="EB94" s="244" t="str">
        <f t="shared" si="24"/>
        <v>#N/A</v>
      </c>
      <c r="EC94" s="244" t="str">
        <f t="shared" si="25"/>
        <v>#N/A</v>
      </c>
      <c r="ED94" s="244" t="str">
        <f t="shared" si="26"/>
        <v>#N/A</v>
      </c>
      <c r="EE94" s="244" t="str">
        <f t="shared" si="27"/>
        <v> -&gt; </v>
      </c>
      <c r="EF94" s="244" t="str">
        <f t="shared" si="28"/>
        <v/>
      </c>
      <c r="EG94" s="244"/>
      <c r="EH94" s="244"/>
      <c r="EI94" s="245"/>
    </row>
    <row r="95">
      <c r="A95" s="248"/>
      <c r="B95" s="239" t="str">
        <f>IF(HomePage!C106&lt;&gt;"", REPLAYTODATA(HomePage!C106), "")</f>
        <v/>
      </c>
      <c r="C95" s="236"/>
      <c r="D95" s="236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4"/>
      <c r="BA95" s="244"/>
      <c r="BB95" s="244"/>
      <c r="BC95" s="244"/>
      <c r="BD95" s="244"/>
      <c r="BE95" s="244"/>
      <c r="BF95" s="244"/>
      <c r="BG95" s="244"/>
      <c r="BH95" s="244"/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44"/>
      <c r="CB95" s="244"/>
      <c r="CC95" s="244"/>
      <c r="CD95" s="244"/>
      <c r="CE95" s="244"/>
      <c r="CF95" s="244"/>
      <c r="CG95" s="244"/>
      <c r="CH95" s="244"/>
      <c r="CI95" s="244"/>
      <c r="CJ95" s="244"/>
      <c r="CK95" s="244"/>
      <c r="CL95" s="244"/>
      <c r="CM95" s="244"/>
      <c r="CN95" s="244"/>
      <c r="CO95" s="244"/>
      <c r="CP95" s="244"/>
      <c r="CQ95" s="244"/>
      <c r="CR95" s="244"/>
      <c r="CS95" s="244"/>
      <c r="CT95" s="241" t="str">
        <f t="shared" si="3"/>
        <v/>
      </c>
      <c r="CU95" s="246" t="str">
        <f t="shared" si="4"/>
        <v/>
      </c>
      <c r="CV95" s="241" t="str">
        <f t="shared" si="5"/>
        <v/>
      </c>
      <c r="CW95" s="246" t="str">
        <f t="shared" si="6"/>
        <v/>
      </c>
      <c r="CX95" s="241" t="str">
        <f t="shared" si="7"/>
        <v/>
      </c>
      <c r="CY95" s="241" t="str">
        <f t="shared" si="8"/>
        <v/>
      </c>
      <c r="CZ95" s="241" t="str">
        <f t="shared" si="9"/>
        <v/>
      </c>
      <c r="DA95" s="246" t="str">
        <f t="shared" si="10"/>
        <v/>
      </c>
      <c r="DB95" s="246" t="str">
        <f t="shared" si="11"/>
        <v/>
      </c>
      <c r="DC95" s="246" t="str">
        <f t="shared" si="12"/>
        <v/>
      </c>
      <c r="DD95" s="241" t="str">
        <f t="shared" si="13"/>
        <v>1</v>
      </c>
      <c r="DE95" s="241" t="str">
        <f t="shared" si="14"/>
        <v/>
      </c>
      <c r="DF95" s="241" t="str">
        <f t="shared" si="15"/>
        <v/>
      </c>
      <c r="DG95" s="244" t="str">
        <f t="shared" si="16"/>
        <v/>
      </c>
      <c r="DH95" s="244" t="str">
        <f t="shared" si="17"/>
        <v/>
      </c>
      <c r="DI95" s="244" t="str">
        <f>IF(COUNTIF(PlayerAltNames,B95)&gt;0, B95, I95)</f>
        <v/>
      </c>
      <c r="DJ95" s="247" t="str">
        <f t="shared" ref="DJ95:DO95" si="209">IF(COUNTIF($I95,$DI95)&gt;0, J95, C95)</f>
        <v/>
      </c>
      <c r="DK95" s="247" t="str">
        <f t="shared" si="209"/>
        <v/>
      </c>
      <c r="DL95" s="247" t="str">
        <f t="shared" si="209"/>
        <v/>
      </c>
      <c r="DM95" s="247" t="str">
        <f t="shared" si="209"/>
        <v/>
      </c>
      <c r="DN95" s="247" t="str">
        <f t="shared" si="209"/>
        <v/>
      </c>
      <c r="DO95" s="247" t="str">
        <f t="shared" si="209"/>
        <v/>
      </c>
      <c r="DP95" s="244" t="str">
        <f t="shared" si="19"/>
        <v/>
      </c>
      <c r="DQ95" s="244" t="str">
        <f t="shared" ref="DQ95:DV95" si="210">IF(COUNTIF($I95,$DP95), J95, C95)</f>
        <v/>
      </c>
      <c r="DR95" s="244" t="str">
        <f t="shared" si="210"/>
        <v/>
      </c>
      <c r="DS95" s="244" t="str">
        <f t="shared" si="210"/>
        <v/>
      </c>
      <c r="DT95" s="244" t="str">
        <f t="shared" si="210"/>
        <v/>
      </c>
      <c r="DU95" s="244" t="str">
        <f t="shared" si="210"/>
        <v/>
      </c>
      <c r="DV95" s="244" t="str">
        <f t="shared" si="210"/>
        <v/>
      </c>
      <c r="DW95" s="241" t="str">
        <f>IF(HomePage!C106 &lt;&gt; "", IFS(AND(P95 = 1, COUNTIF(PlayerAltNames, B95)&gt;0), "Win", AND(P95 = 1, COUNTIF(PlayerAltNames, I95)&gt;0), "Loss", AND(P95 = 2, COUNTIF(PlayerAltNames, I95)&gt;0), "Win", AND(P95 = 2, COUNTIF(PlayerAltNames, B95)&gt;0), "Loss"), "")</f>
        <v/>
      </c>
      <c r="DX95" s="244"/>
      <c r="DY95" s="244" t="str">
        <f t="shared" si="21"/>
        <v>#N/A</v>
      </c>
      <c r="DZ95" s="244" t="str">
        <f t="shared" si="22"/>
        <v>#N/A</v>
      </c>
      <c r="EA95" s="244" t="str">
        <f t="shared" si="23"/>
        <v>#N/A</v>
      </c>
      <c r="EB95" s="244" t="str">
        <f t="shared" si="24"/>
        <v>#N/A</v>
      </c>
      <c r="EC95" s="244" t="str">
        <f t="shared" si="25"/>
        <v>#N/A</v>
      </c>
      <c r="ED95" s="244" t="str">
        <f t="shared" si="26"/>
        <v>#N/A</v>
      </c>
      <c r="EE95" s="244" t="str">
        <f t="shared" si="27"/>
        <v> -&gt; </v>
      </c>
      <c r="EF95" s="244" t="str">
        <f t="shared" si="28"/>
        <v/>
      </c>
      <c r="EG95" s="244"/>
      <c r="EH95" s="244"/>
      <c r="EI95" s="245"/>
    </row>
    <row r="96">
      <c r="A96" s="248"/>
      <c r="B96" s="239" t="str">
        <f>IF(HomePage!C107&lt;&gt;"", REPLAYTODATA(HomePage!C107), "")</f>
        <v/>
      </c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4"/>
      <c r="AQ96" s="244"/>
      <c r="AR96" s="244"/>
      <c r="AS96" s="244"/>
      <c r="AT96" s="244"/>
      <c r="AU96" s="244"/>
      <c r="AV96" s="244"/>
      <c r="AW96" s="244"/>
      <c r="AX96" s="244"/>
      <c r="AY96" s="244"/>
      <c r="AZ96" s="244"/>
      <c r="BA96" s="244"/>
      <c r="BB96" s="244"/>
      <c r="BC96" s="244"/>
      <c r="BD96" s="244"/>
      <c r="BE96" s="244"/>
      <c r="BF96" s="244"/>
      <c r="BG96" s="244"/>
      <c r="BH96" s="244"/>
      <c r="BI96" s="244"/>
      <c r="BJ96" s="244"/>
      <c r="BK96" s="244"/>
      <c r="BL96" s="244"/>
      <c r="BM96" s="244"/>
      <c r="BN96" s="244"/>
      <c r="BO96" s="244"/>
      <c r="BP96" s="244"/>
      <c r="BQ96" s="244"/>
      <c r="BR96" s="244"/>
      <c r="BS96" s="244"/>
      <c r="BT96" s="244"/>
      <c r="BU96" s="244"/>
      <c r="BV96" s="244"/>
      <c r="BW96" s="244"/>
      <c r="BX96" s="244"/>
      <c r="BY96" s="244"/>
      <c r="BZ96" s="244"/>
      <c r="CA96" s="244"/>
      <c r="CB96" s="244"/>
      <c r="CC96" s="244"/>
      <c r="CD96" s="244"/>
      <c r="CE96" s="244"/>
      <c r="CF96" s="244"/>
      <c r="CG96" s="244"/>
      <c r="CH96" s="244"/>
      <c r="CI96" s="244"/>
      <c r="CJ96" s="244"/>
      <c r="CK96" s="244"/>
      <c r="CL96" s="244"/>
      <c r="CM96" s="244"/>
      <c r="CN96" s="244"/>
      <c r="CO96" s="244"/>
      <c r="CP96" s="244"/>
      <c r="CQ96" s="244"/>
      <c r="CR96" s="244"/>
      <c r="CS96" s="244"/>
      <c r="CT96" s="241" t="str">
        <f t="shared" si="3"/>
        <v/>
      </c>
      <c r="CU96" s="246" t="str">
        <f t="shared" si="4"/>
        <v/>
      </c>
      <c r="CV96" s="241" t="str">
        <f t="shared" si="5"/>
        <v/>
      </c>
      <c r="CW96" s="246" t="str">
        <f t="shared" si="6"/>
        <v/>
      </c>
      <c r="CX96" s="241" t="str">
        <f t="shared" si="7"/>
        <v/>
      </c>
      <c r="CY96" s="241" t="str">
        <f t="shared" si="8"/>
        <v/>
      </c>
      <c r="CZ96" s="241" t="str">
        <f t="shared" si="9"/>
        <v/>
      </c>
      <c r="DA96" s="246" t="str">
        <f t="shared" si="10"/>
        <v/>
      </c>
      <c r="DB96" s="246" t="str">
        <f t="shared" si="11"/>
        <v/>
      </c>
      <c r="DC96" s="246" t="str">
        <f t="shared" si="12"/>
        <v/>
      </c>
      <c r="DD96" s="241" t="str">
        <f t="shared" si="13"/>
        <v>1</v>
      </c>
      <c r="DE96" s="241" t="str">
        <f t="shared" si="14"/>
        <v/>
      </c>
      <c r="DF96" s="241" t="str">
        <f t="shared" si="15"/>
        <v/>
      </c>
      <c r="DG96" s="244" t="str">
        <f t="shared" si="16"/>
        <v/>
      </c>
      <c r="DH96" s="244" t="str">
        <f t="shared" si="17"/>
        <v/>
      </c>
      <c r="DI96" s="244" t="str">
        <f>IF(COUNTIF(PlayerAltNames,B96)&gt;0, B96, I96)</f>
        <v/>
      </c>
      <c r="DJ96" s="247" t="str">
        <f t="shared" ref="DJ96:DO96" si="211">IF(COUNTIF($I96,$DI96)&gt;0, J96, C96)</f>
        <v/>
      </c>
      <c r="DK96" s="247" t="str">
        <f t="shared" si="211"/>
        <v/>
      </c>
      <c r="DL96" s="247" t="str">
        <f t="shared" si="211"/>
        <v/>
      </c>
      <c r="DM96" s="247" t="str">
        <f t="shared" si="211"/>
        <v/>
      </c>
      <c r="DN96" s="247" t="str">
        <f t="shared" si="211"/>
        <v/>
      </c>
      <c r="DO96" s="247" t="str">
        <f t="shared" si="211"/>
        <v/>
      </c>
      <c r="DP96" s="244" t="str">
        <f t="shared" si="19"/>
        <v/>
      </c>
      <c r="DQ96" s="244" t="str">
        <f t="shared" ref="DQ96:DV96" si="212">IF(COUNTIF($I96,$DP96), J96, C96)</f>
        <v/>
      </c>
      <c r="DR96" s="244" t="str">
        <f t="shared" si="212"/>
        <v/>
      </c>
      <c r="DS96" s="244" t="str">
        <f t="shared" si="212"/>
        <v/>
      </c>
      <c r="DT96" s="244" t="str">
        <f t="shared" si="212"/>
        <v/>
      </c>
      <c r="DU96" s="244" t="str">
        <f t="shared" si="212"/>
        <v/>
      </c>
      <c r="DV96" s="244" t="str">
        <f t="shared" si="212"/>
        <v/>
      </c>
      <c r="DW96" s="241" t="str">
        <f>IF(HomePage!C107 &lt;&gt; "", IFS(AND(P96 = 1, COUNTIF(PlayerAltNames, B96)&gt;0), "Win", AND(P96 = 1, COUNTIF(PlayerAltNames, I96)&gt;0), "Loss", AND(P96 = 2, COUNTIF(PlayerAltNames, I96)&gt;0), "Win", AND(P96 = 2, COUNTIF(PlayerAltNames, B96)&gt;0), "Loss"), "")</f>
        <v/>
      </c>
      <c r="DX96" s="244"/>
      <c r="DY96" s="244" t="str">
        <f t="shared" si="21"/>
        <v>#N/A</v>
      </c>
      <c r="DZ96" s="244" t="str">
        <f t="shared" si="22"/>
        <v>#N/A</v>
      </c>
      <c r="EA96" s="244" t="str">
        <f t="shared" si="23"/>
        <v>#N/A</v>
      </c>
      <c r="EB96" s="244" t="str">
        <f t="shared" si="24"/>
        <v>#N/A</v>
      </c>
      <c r="EC96" s="244" t="str">
        <f t="shared" si="25"/>
        <v>#N/A</v>
      </c>
      <c r="ED96" s="244" t="str">
        <f t="shared" si="26"/>
        <v>#N/A</v>
      </c>
      <c r="EE96" s="244" t="str">
        <f t="shared" si="27"/>
        <v> -&gt; </v>
      </c>
      <c r="EF96" s="244" t="str">
        <f t="shared" si="28"/>
        <v/>
      </c>
      <c r="EG96" s="244"/>
      <c r="EH96" s="244"/>
      <c r="EI96" s="245"/>
    </row>
    <row r="97">
      <c r="A97" s="248"/>
      <c r="B97" s="239" t="str">
        <f>IF(HomePage!C108&lt;&gt;"", REPLAYTODATA(HomePage!C108), "")</f>
        <v/>
      </c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44"/>
      <c r="AP97" s="244"/>
      <c r="AQ97" s="244"/>
      <c r="AR97" s="244"/>
      <c r="AS97" s="244"/>
      <c r="AT97" s="244"/>
      <c r="AU97" s="244"/>
      <c r="AV97" s="244"/>
      <c r="AW97" s="244"/>
      <c r="AX97" s="244"/>
      <c r="AY97" s="244"/>
      <c r="AZ97" s="244"/>
      <c r="BA97" s="244"/>
      <c r="BB97" s="244"/>
      <c r="BC97" s="244"/>
      <c r="BD97" s="244"/>
      <c r="BE97" s="244"/>
      <c r="BF97" s="244"/>
      <c r="BG97" s="244"/>
      <c r="BH97" s="244"/>
      <c r="BI97" s="244"/>
      <c r="BJ97" s="244"/>
      <c r="BK97" s="244"/>
      <c r="BL97" s="244"/>
      <c r="BM97" s="244"/>
      <c r="BN97" s="244"/>
      <c r="BO97" s="244"/>
      <c r="BP97" s="244"/>
      <c r="BQ97" s="244"/>
      <c r="BR97" s="244"/>
      <c r="BS97" s="244"/>
      <c r="BT97" s="244"/>
      <c r="BU97" s="244"/>
      <c r="BV97" s="244"/>
      <c r="BW97" s="244"/>
      <c r="BX97" s="244"/>
      <c r="BY97" s="244"/>
      <c r="BZ97" s="244"/>
      <c r="CA97" s="244"/>
      <c r="CB97" s="244"/>
      <c r="CC97" s="244"/>
      <c r="CD97" s="244"/>
      <c r="CE97" s="244"/>
      <c r="CF97" s="244"/>
      <c r="CG97" s="244"/>
      <c r="CH97" s="244"/>
      <c r="CI97" s="244"/>
      <c r="CJ97" s="244"/>
      <c r="CK97" s="244"/>
      <c r="CL97" s="244"/>
      <c r="CM97" s="244"/>
      <c r="CN97" s="244"/>
      <c r="CO97" s="244"/>
      <c r="CP97" s="244"/>
      <c r="CQ97" s="244"/>
      <c r="CR97" s="244"/>
      <c r="CS97" s="244"/>
      <c r="CT97" s="241" t="str">
        <f t="shared" si="3"/>
        <v/>
      </c>
      <c r="CU97" s="246" t="str">
        <f t="shared" si="4"/>
        <v/>
      </c>
      <c r="CV97" s="241" t="str">
        <f t="shared" si="5"/>
        <v/>
      </c>
      <c r="CW97" s="246" t="str">
        <f t="shared" si="6"/>
        <v/>
      </c>
      <c r="CX97" s="241" t="str">
        <f t="shared" si="7"/>
        <v/>
      </c>
      <c r="CY97" s="241" t="str">
        <f t="shared" si="8"/>
        <v/>
      </c>
      <c r="CZ97" s="241" t="str">
        <f t="shared" si="9"/>
        <v/>
      </c>
      <c r="DA97" s="246" t="str">
        <f t="shared" si="10"/>
        <v/>
      </c>
      <c r="DB97" s="246" t="str">
        <f t="shared" si="11"/>
        <v/>
      </c>
      <c r="DC97" s="246" t="str">
        <f t="shared" si="12"/>
        <v/>
      </c>
      <c r="DD97" s="241" t="str">
        <f t="shared" si="13"/>
        <v>1</v>
      </c>
      <c r="DE97" s="241" t="str">
        <f t="shared" si="14"/>
        <v/>
      </c>
      <c r="DF97" s="241" t="str">
        <f t="shared" si="15"/>
        <v/>
      </c>
      <c r="DG97" s="244" t="str">
        <f t="shared" si="16"/>
        <v/>
      </c>
      <c r="DH97" s="244" t="str">
        <f t="shared" si="17"/>
        <v/>
      </c>
      <c r="DI97" s="244" t="str">
        <f>IF(COUNTIF(PlayerAltNames,B97)&gt;0, B97, I97)</f>
        <v/>
      </c>
      <c r="DJ97" s="247" t="str">
        <f t="shared" ref="DJ97:DO97" si="213">IF(COUNTIF($I97,$DI97)&gt;0, J97, C97)</f>
        <v/>
      </c>
      <c r="DK97" s="247" t="str">
        <f t="shared" si="213"/>
        <v/>
      </c>
      <c r="DL97" s="247" t="str">
        <f t="shared" si="213"/>
        <v/>
      </c>
      <c r="DM97" s="247" t="str">
        <f t="shared" si="213"/>
        <v/>
      </c>
      <c r="DN97" s="247" t="str">
        <f t="shared" si="213"/>
        <v/>
      </c>
      <c r="DO97" s="247" t="str">
        <f t="shared" si="213"/>
        <v/>
      </c>
      <c r="DP97" s="244" t="str">
        <f t="shared" si="19"/>
        <v/>
      </c>
      <c r="DQ97" s="244" t="str">
        <f t="shared" ref="DQ97:DV97" si="214">IF(COUNTIF($I97,$DP97), J97, C97)</f>
        <v/>
      </c>
      <c r="DR97" s="244" t="str">
        <f t="shared" si="214"/>
        <v/>
      </c>
      <c r="DS97" s="244" t="str">
        <f t="shared" si="214"/>
        <v/>
      </c>
      <c r="DT97" s="244" t="str">
        <f t="shared" si="214"/>
        <v/>
      </c>
      <c r="DU97" s="244" t="str">
        <f t="shared" si="214"/>
        <v/>
      </c>
      <c r="DV97" s="244" t="str">
        <f t="shared" si="214"/>
        <v/>
      </c>
      <c r="DW97" s="241" t="str">
        <f>IF(HomePage!C108 &lt;&gt; "", IFS(AND(P97 = 1, COUNTIF(PlayerAltNames, B97)&gt;0), "Win", AND(P97 = 1, COUNTIF(PlayerAltNames, I97)&gt;0), "Loss", AND(P97 = 2, COUNTIF(PlayerAltNames, I97)&gt;0), "Win", AND(P97 = 2, COUNTIF(PlayerAltNames, B97)&gt;0), "Loss"), "")</f>
        <v/>
      </c>
      <c r="DX97" s="244"/>
      <c r="DY97" s="244" t="str">
        <f t="shared" si="21"/>
        <v>#N/A</v>
      </c>
      <c r="DZ97" s="244" t="str">
        <f t="shared" si="22"/>
        <v>#N/A</v>
      </c>
      <c r="EA97" s="244" t="str">
        <f t="shared" si="23"/>
        <v>#N/A</v>
      </c>
      <c r="EB97" s="244" t="str">
        <f t="shared" si="24"/>
        <v>#N/A</v>
      </c>
      <c r="EC97" s="244" t="str">
        <f t="shared" si="25"/>
        <v>#N/A</v>
      </c>
      <c r="ED97" s="244" t="str">
        <f t="shared" si="26"/>
        <v>#N/A</v>
      </c>
      <c r="EE97" s="244" t="str">
        <f t="shared" si="27"/>
        <v> -&gt; </v>
      </c>
      <c r="EF97" s="244" t="str">
        <f t="shared" si="28"/>
        <v/>
      </c>
      <c r="EG97" s="244"/>
      <c r="EH97" s="244"/>
      <c r="EI97" s="245"/>
    </row>
    <row r="98">
      <c r="A98" s="248"/>
      <c r="B98" s="239" t="str">
        <f>IF(HomePage!C109&lt;&gt;"", REPLAYTODATA(HomePage!C109), "")</f>
        <v/>
      </c>
      <c r="C98" s="236"/>
      <c r="D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  <c r="AD98" s="244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44"/>
      <c r="AP98" s="244"/>
      <c r="AQ98" s="244"/>
      <c r="AR98" s="244"/>
      <c r="AS98" s="244"/>
      <c r="AT98" s="244"/>
      <c r="AU98" s="244"/>
      <c r="AV98" s="244"/>
      <c r="AW98" s="244"/>
      <c r="AX98" s="244"/>
      <c r="AY98" s="244"/>
      <c r="AZ98" s="244"/>
      <c r="BA98" s="244"/>
      <c r="BB98" s="244"/>
      <c r="BC98" s="244"/>
      <c r="BD98" s="244"/>
      <c r="BE98" s="244"/>
      <c r="BF98" s="244"/>
      <c r="BG98" s="244"/>
      <c r="BH98" s="244"/>
      <c r="BI98" s="244"/>
      <c r="BJ98" s="244"/>
      <c r="BK98" s="244"/>
      <c r="BL98" s="244"/>
      <c r="BM98" s="244"/>
      <c r="BN98" s="244"/>
      <c r="BO98" s="244"/>
      <c r="BP98" s="244"/>
      <c r="BQ98" s="244"/>
      <c r="BR98" s="244"/>
      <c r="BS98" s="244"/>
      <c r="BT98" s="244"/>
      <c r="BU98" s="244"/>
      <c r="BV98" s="244"/>
      <c r="BW98" s="244"/>
      <c r="BX98" s="244"/>
      <c r="BY98" s="244"/>
      <c r="BZ98" s="244"/>
      <c r="CA98" s="244"/>
      <c r="CB98" s="244"/>
      <c r="CC98" s="244"/>
      <c r="CD98" s="244"/>
      <c r="CE98" s="244"/>
      <c r="CF98" s="244"/>
      <c r="CG98" s="244"/>
      <c r="CH98" s="244"/>
      <c r="CI98" s="244"/>
      <c r="CJ98" s="244"/>
      <c r="CK98" s="244"/>
      <c r="CL98" s="244"/>
      <c r="CM98" s="244"/>
      <c r="CN98" s="244"/>
      <c r="CO98" s="244"/>
      <c r="CP98" s="244"/>
      <c r="CQ98" s="244"/>
      <c r="CR98" s="244"/>
      <c r="CS98" s="244"/>
      <c r="CT98" s="241" t="str">
        <f t="shared" si="3"/>
        <v/>
      </c>
      <c r="CU98" s="246" t="str">
        <f t="shared" si="4"/>
        <v/>
      </c>
      <c r="CV98" s="241" t="str">
        <f t="shared" si="5"/>
        <v/>
      </c>
      <c r="CW98" s="246" t="str">
        <f t="shared" si="6"/>
        <v/>
      </c>
      <c r="CX98" s="241" t="str">
        <f t="shared" si="7"/>
        <v/>
      </c>
      <c r="CY98" s="241" t="str">
        <f t="shared" si="8"/>
        <v/>
      </c>
      <c r="CZ98" s="241" t="str">
        <f t="shared" si="9"/>
        <v/>
      </c>
      <c r="DA98" s="246" t="str">
        <f t="shared" si="10"/>
        <v/>
      </c>
      <c r="DB98" s="246" t="str">
        <f t="shared" si="11"/>
        <v/>
      </c>
      <c r="DC98" s="246" t="str">
        <f t="shared" si="12"/>
        <v/>
      </c>
      <c r="DD98" s="241" t="str">
        <f t="shared" si="13"/>
        <v>1</v>
      </c>
      <c r="DE98" s="241" t="str">
        <f t="shared" si="14"/>
        <v/>
      </c>
      <c r="DF98" s="241" t="str">
        <f t="shared" si="15"/>
        <v/>
      </c>
      <c r="DG98" s="244" t="str">
        <f t="shared" si="16"/>
        <v/>
      </c>
      <c r="DH98" s="244" t="str">
        <f t="shared" si="17"/>
        <v/>
      </c>
      <c r="DI98" s="244" t="str">
        <f>IF(COUNTIF(PlayerAltNames,B98)&gt;0, B98, I98)</f>
        <v/>
      </c>
      <c r="DJ98" s="247" t="str">
        <f t="shared" ref="DJ98:DO98" si="215">IF(COUNTIF($I98,$DI98)&gt;0, J98, C98)</f>
        <v/>
      </c>
      <c r="DK98" s="247" t="str">
        <f t="shared" si="215"/>
        <v/>
      </c>
      <c r="DL98" s="247" t="str">
        <f t="shared" si="215"/>
        <v/>
      </c>
      <c r="DM98" s="247" t="str">
        <f t="shared" si="215"/>
        <v/>
      </c>
      <c r="DN98" s="247" t="str">
        <f t="shared" si="215"/>
        <v/>
      </c>
      <c r="DO98" s="247" t="str">
        <f t="shared" si="215"/>
        <v/>
      </c>
      <c r="DP98" s="244" t="str">
        <f t="shared" si="19"/>
        <v/>
      </c>
      <c r="DQ98" s="244" t="str">
        <f t="shared" ref="DQ98:DV98" si="216">IF(COUNTIF($I98,$DP98), J98, C98)</f>
        <v/>
      </c>
      <c r="DR98" s="244" t="str">
        <f t="shared" si="216"/>
        <v/>
      </c>
      <c r="DS98" s="244" t="str">
        <f t="shared" si="216"/>
        <v/>
      </c>
      <c r="DT98" s="244" t="str">
        <f t="shared" si="216"/>
        <v/>
      </c>
      <c r="DU98" s="244" t="str">
        <f t="shared" si="216"/>
        <v/>
      </c>
      <c r="DV98" s="244" t="str">
        <f t="shared" si="216"/>
        <v/>
      </c>
      <c r="DW98" s="241" t="str">
        <f>IF(HomePage!C109 &lt;&gt; "", IFS(AND(P98 = 1, COUNTIF(PlayerAltNames, B98)&gt;0), "Win", AND(P98 = 1, COUNTIF(PlayerAltNames, I98)&gt;0), "Loss", AND(P98 = 2, COUNTIF(PlayerAltNames, I98)&gt;0), "Win", AND(P98 = 2, COUNTIF(PlayerAltNames, B98)&gt;0), "Loss"), "")</f>
        <v/>
      </c>
      <c r="DX98" s="244"/>
      <c r="DY98" s="244" t="str">
        <f t="shared" si="21"/>
        <v>#N/A</v>
      </c>
      <c r="DZ98" s="244" t="str">
        <f t="shared" si="22"/>
        <v>#N/A</v>
      </c>
      <c r="EA98" s="244" t="str">
        <f t="shared" si="23"/>
        <v>#N/A</v>
      </c>
      <c r="EB98" s="244" t="str">
        <f t="shared" si="24"/>
        <v>#N/A</v>
      </c>
      <c r="EC98" s="244" t="str">
        <f t="shared" si="25"/>
        <v>#N/A</v>
      </c>
      <c r="ED98" s="244" t="str">
        <f t="shared" si="26"/>
        <v>#N/A</v>
      </c>
      <c r="EE98" s="244" t="str">
        <f t="shared" si="27"/>
        <v> -&gt; </v>
      </c>
      <c r="EF98" s="244" t="str">
        <f t="shared" si="28"/>
        <v/>
      </c>
      <c r="EG98" s="244"/>
      <c r="EH98" s="244"/>
      <c r="EI98" s="245"/>
    </row>
    <row r="99">
      <c r="A99" s="248"/>
      <c r="B99" s="239" t="str">
        <f>IF(HomePage!C110&lt;&gt;"", REPLAYTODATA(HomePage!C110), "")</f>
        <v/>
      </c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  <c r="AD99" s="244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44"/>
      <c r="AP99" s="244"/>
      <c r="AQ99" s="244"/>
      <c r="AR99" s="244"/>
      <c r="AS99" s="244"/>
      <c r="AT99" s="244"/>
      <c r="AU99" s="244"/>
      <c r="AV99" s="244"/>
      <c r="AW99" s="244"/>
      <c r="AX99" s="244"/>
      <c r="AY99" s="244"/>
      <c r="AZ99" s="244"/>
      <c r="BA99" s="244"/>
      <c r="BB99" s="244"/>
      <c r="BC99" s="244"/>
      <c r="BD99" s="244"/>
      <c r="BE99" s="244"/>
      <c r="BF99" s="244"/>
      <c r="BG99" s="244"/>
      <c r="BH99" s="244"/>
      <c r="BI99" s="244"/>
      <c r="BJ99" s="244"/>
      <c r="BK99" s="244"/>
      <c r="BL99" s="244"/>
      <c r="BM99" s="244"/>
      <c r="BN99" s="244"/>
      <c r="BO99" s="244"/>
      <c r="BP99" s="244"/>
      <c r="BQ99" s="244"/>
      <c r="BR99" s="244"/>
      <c r="BS99" s="244"/>
      <c r="BT99" s="244"/>
      <c r="BU99" s="244"/>
      <c r="BV99" s="244"/>
      <c r="BW99" s="244"/>
      <c r="BX99" s="244"/>
      <c r="BY99" s="244"/>
      <c r="BZ99" s="244"/>
      <c r="CA99" s="244"/>
      <c r="CB99" s="244"/>
      <c r="CC99" s="244"/>
      <c r="CD99" s="244"/>
      <c r="CE99" s="244"/>
      <c r="CF99" s="244"/>
      <c r="CG99" s="244"/>
      <c r="CH99" s="244"/>
      <c r="CI99" s="244"/>
      <c r="CJ99" s="244"/>
      <c r="CK99" s="244"/>
      <c r="CL99" s="244"/>
      <c r="CM99" s="244"/>
      <c r="CN99" s="244"/>
      <c r="CO99" s="244"/>
      <c r="CP99" s="244"/>
      <c r="CQ99" s="244"/>
      <c r="CR99" s="244"/>
      <c r="CS99" s="244"/>
      <c r="CT99" s="241" t="str">
        <f t="shared" si="3"/>
        <v/>
      </c>
      <c r="CU99" s="246" t="str">
        <f t="shared" si="4"/>
        <v/>
      </c>
      <c r="CV99" s="241" t="str">
        <f t="shared" si="5"/>
        <v/>
      </c>
      <c r="CW99" s="246" t="str">
        <f t="shared" si="6"/>
        <v/>
      </c>
      <c r="CX99" s="241" t="str">
        <f t="shared" si="7"/>
        <v/>
      </c>
      <c r="CY99" s="241" t="str">
        <f t="shared" si="8"/>
        <v/>
      </c>
      <c r="CZ99" s="241" t="str">
        <f t="shared" si="9"/>
        <v/>
      </c>
      <c r="DA99" s="246" t="str">
        <f t="shared" si="10"/>
        <v/>
      </c>
      <c r="DB99" s="246" t="str">
        <f t="shared" si="11"/>
        <v/>
      </c>
      <c r="DC99" s="246" t="str">
        <f t="shared" si="12"/>
        <v/>
      </c>
      <c r="DD99" s="241" t="str">
        <f t="shared" si="13"/>
        <v>1</v>
      </c>
      <c r="DE99" s="241" t="str">
        <f t="shared" si="14"/>
        <v/>
      </c>
      <c r="DF99" s="241" t="str">
        <f t="shared" si="15"/>
        <v/>
      </c>
      <c r="DG99" s="244" t="str">
        <f t="shared" si="16"/>
        <v/>
      </c>
      <c r="DH99" s="244" t="str">
        <f t="shared" si="17"/>
        <v/>
      </c>
      <c r="DI99" s="244" t="str">
        <f>IF(COUNTIF(PlayerAltNames,B99)&gt;0, B99, I99)</f>
        <v/>
      </c>
      <c r="DJ99" s="247" t="str">
        <f t="shared" ref="DJ99:DO99" si="217">IF(COUNTIF($I99,$DI99)&gt;0, J99, C99)</f>
        <v/>
      </c>
      <c r="DK99" s="247" t="str">
        <f t="shared" si="217"/>
        <v/>
      </c>
      <c r="DL99" s="247" t="str">
        <f t="shared" si="217"/>
        <v/>
      </c>
      <c r="DM99" s="247" t="str">
        <f t="shared" si="217"/>
        <v/>
      </c>
      <c r="DN99" s="247" t="str">
        <f t="shared" si="217"/>
        <v/>
      </c>
      <c r="DO99" s="247" t="str">
        <f t="shared" si="217"/>
        <v/>
      </c>
      <c r="DP99" s="244" t="str">
        <f t="shared" si="19"/>
        <v/>
      </c>
      <c r="DQ99" s="244" t="str">
        <f t="shared" ref="DQ99:DV99" si="218">IF(COUNTIF($I99,$DP99), J99, C99)</f>
        <v/>
      </c>
      <c r="DR99" s="244" t="str">
        <f t="shared" si="218"/>
        <v/>
      </c>
      <c r="DS99" s="244" t="str">
        <f t="shared" si="218"/>
        <v/>
      </c>
      <c r="DT99" s="244" t="str">
        <f t="shared" si="218"/>
        <v/>
      </c>
      <c r="DU99" s="244" t="str">
        <f t="shared" si="218"/>
        <v/>
      </c>
      <c r="DV99" s="244" t="str">
        <f t="shared" si="218"/>
        <v/>
      </c>
      <c r="DW99" s="241" t="str">
        <f>IF(HomePage!C110 &lt;&gt; "", IFS(AND(P99 = 1, COUNTIF(PlayerAltNames, B99)&gt;0), "Win", AND(P99 = 1, COUNTIF(PlayerAltNames, I99)&gt;0), "Loss", AND(P99 = 2, COUNTIF(PlayerAltNames, I99)&gt;0), "Win", AND(P99 = 2, COUNTIF(PlayerAltNames, B99)&gt;0), "Loss"), "")</f>
        <v/>
      </c>
      <c r="DX99" s="244"/>
      <c r="DY99" s="244" t="str">
        <f t="shared" si="21"/>
        <v>#N/A</v>
      </c>
      <c r="DZ99" s="244" t="str">
        <f t="shared" si="22"/>
        <v>#N/A</v>
      </c>
      <c r="EA99" s="244" t="str">
        <f t="shared" si="23"/>
        <v>#N/A</v>
      </c>
      <c r="EB99" s="244" t="str">
        <f t="shared" si="24"/>
        <v>#N/A</v>
      </c>
      <c r="EC99" s="244" t="str">
        <f t="shared" si="25"/>
        <v>#N/A</v>
      </c>
      <c r="ED99" s="244" t="str">
        <f t="shared" si="26"/>
        <v>#N/A</v>
      </c>
      <c r="EE99" s="244" t="str">
        <f t="shared" si="27"/>
        <v> -&gt; </v>
      </c>
      <c r="EF99" s="244" t="str">
        <f t="shared" si="28"/>
        <v/>
      </c>
      <c r="EG99" s="244"/>
      <c r="EH99" s="244"/>
      <c r="EI99" s="245"/>
    </row>
    <row r="100">
      <c r="A100" s="248"/>
      <c r="B100" s="239" t="str">
        <f>IF(HomePage!C111&lt;&gt;"", REPLAYTODATA(HomePage!C111), "")</f>
        <v/>
      </c>
      <c r="C100" s="236"/>
      <c r="D100" s="236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  <c r="AD100" s="244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44"/>
      <c r="AP100" s="244"/>
      <c r="AQ100" s="244"/>
      <c r="AR100" s="244"/>
      <c r="AS100" s="244"/>
      <c r="AT100" s="244"/>
      <c r="AU100" s="244"/>
      <c r="AV100" s="244"/>
      <c r="AW100" s="244"/>
      <c r="AX100" s="244"/>
      <c r="AY100" s="244"/>
      <c r="AZ100" s="244"/>
      <c r="BA100" s="244"/>
      <c r="BB100" s="244"/>
      <c r="BC100" s="244"/>
      <c r="BD100" s="244"/>
      <c r="BE100" s="244"/>
      <c r="BF100" s="244"/>
      <c r="BG100" s="244"/>
      <c r="BH100" s="244"/>
      <c r="BI100" s="244"/>
      <c r="BJ100" s="244"/>
      <c r="BK100" s="244"/>
      <c r="BL100" s="244"/>
      <c r="BM100" s="244"/>
      <c r="BN100" s="244"/>
      <c r="BO100" s="244"/>
      <c r="BP100" s="244"/>
      <c r="BQ100" s="244"/>
      <c r="BR100" s="244"/>
      <c r="BS100" s="244"/>
      <c r="BT100" s="244"/>
      <c r="BU100" s="244"/>
      <c r="BV100" s="244"/>
      <c r="BW100" s="244"/>
      <c r="BX100" s="244"/>
      <c r="BY100" s="244"/>
      <c r="BZ100" s="244"/>
      <c r="CA100" s="244"/>
      <c r="CB100" s="244"/>
      <c r="CC100" s="244"/>
      <c r="CD100" s="244"/>
      <c r="CE100" s="244"/>
      <c r="CF100" s="244"/>
      <c r="CG100" s="244"/>
      <c r="CH100" s="244"/>
      <c r="CI100" s="244"/>
      <c r="CJ100" s="244"/>
      <c r="CK100" s="244"/>
      <c r="CL100" s="244"/>
      <c r="CM100" s="244"/>
      <c r="CN100" s="244"/>
      <c r="CO100" s="244"/>
      <c r="CP100" s="244"/>
      <c r="CQ100" s="244"/>
      <c r="CR100" s="244"/>
      <c r="CS100" s="244"/>
      <c r="CT100" s="241" t="str">
        <f t="shared" si="3"/>
        <v/>
      </c>
      <c r="CU100" s="246" t="str">
        <f t="shared" si="4"/>
        <v/>
      </c>
      <c r="CV100" s="241" t="str">
        <f t="shared" si="5"/>
        <v/>
      </c>
      <c r="CW100" s="246" t="str">
        <f t="shared" si="6"/>
        <v/>
      </c>
      <c r="CX100" s="241" t="str">
        <f t="shared" si="7"/>
        <v/>
      </c>
      <c r="CY100" s="241" t="str">
        <f t="shared" si="8"/>
        <v/>
      </c>
      <c r="CZ100" s="241" t="str">
        <f t="shared" si="9"/>
        <v/>
      </c>
      <c r="DA100" s="246" t="str">
        <f t="shared" si="10"/>
        <v/>
      </c>
      <c r="DB100" s="246" t="str">
        <f t="shared" si="11"/>
        <v/>
      </c>
      <c r="DC100" s="246" t="str">
        <f t="shared" si="12"/>
        <v/>
      </c>
      <c r="DD100" s="241" t="str">
        <f t="shared" si="13"/>
        <v>1</v>
      </c>
      <c r="DE100" s="241" t="str">
        <f t="shared" si="14"/>
        <v/>
      </c>
      <c r="DF100" s="241" t="str">
        <f t="shared" si="15"/>
        <v/>
      </c>
      <c r="DG100" s="244" t="str">
        <f t="shared" si="16"/>
        <v/>
      </c>
      <c r="DH100" s="244" t="str">
        <f t="shared" si="17"/>
        <v/>
      </c>
      <c r="DI100" s="244" t="str">
        <f>IF(COUNTIF(PlayerAltNames,B100)&gt;0, B100, I100)</f>
        <v/>
      </c>
      <c r="DJ100" s="247" t="str">
        <f t="shared" ref="DJ100:DO100" si="219">IF(COUNTIF($I100,$DI100)&gt;0, J100, C100)</f>
        <v/>
      </c>
      <c r="DK100" s="247" t="str">
        <f t="shared" si="219"/>
        <v/>
      </c>
      <c r="DL100" s="247" t="str">
        <f t="shared" si="219"/>
        <v/>
      </c>
      <c r="DM100" s="247" t="str">
        <f t="shared" si="219"/>
        <v/>
      </c>
      <c r="DN100" s="247" t="str">
        <f t="shared" si="219"/>
        <v/>
      </c>
      <c r="DO100" s="247" t="str">
        <f t="shared" si="219"/>
        <v/>
      </c>
      <c r="DP100" s="244" t="str">
        <f t="shared" si="19"/>
        <v/>
      </c>
      <c r="DQ100" s="244" t="str">
        <f t="shared" ref="DQ100:DV100" si="220">IF(COUNTIF($I100,$DP100), J100, C100)</f>
        <v/>
      </c>
      <c r="DR100" s="244" t="str">
        <f t="shared" si="220"/>
        <v/>
      </c>
      <c r="DS100" s="244" t="str">
        <f t="shared" si="220"/>
        <v/>
      </c>
      <c r="DT100" s="244" t="str">
        <f t="shared" si="220"/>
        <v/>
      </c>
      <c r="DU100" s="244" t="str">
        <f t="shared" si="220"/>
        <v/>
      </c>
      <c r="DV100" s="244" t="str">
        <f t="shared" si="220"/>
        <v/>
      </c>
      <c r="DW100" s="241" t="str">
        <f>IF(HomePage!C111 &lt;&gt; "", IFS(AND(P100 = 1, COUNTIF(PlayerAltNames, B100)&gt;0), "Win", AND(P100 = 1, COUNTIF(PlayerAltNames, I100)&gt;0), "Loss", AND(P100 = 2, COUNTIF(PlayerAltNames, I100)&gt;0), "Win", AND(P100 = 2, COUNTIF(PlayerAltNames, B100)&gt;0), "Loss"), "")</f>
        <v/>
      </c>
      <c r="DX100" s="244"/>
      <c r="DY100" s="244" t="str">
        <f t="shared" si="21"/>
        <v>#N/A</v>
      </c>
      <c r="DZ100" s="244" t="str">
        <f t="shared" si="22"/>
        <v>#N/A</v>
      </c>
      <c r="EA100" s="244" t="str">
        <f t="shared" si="23"/>
        <v>#N/A</v>
      </c>
      <c r="EB100" s="244" t="str">
        <f t="shared" si="24"/>
        <v>#N/A</v>
      </c>
      <c r="EC100" s="244" t="str">
        <f t="shared" si="25"/>
        <v>#N/A</v>
      </c>
      <c r="ED100" s="244" t="str">
        <f t="shared" si="26"/>
        <v>#N/A</v>
      </c>
      <c r="EE100" s="244" t="str">
        <f t="shared" si="27"/>
        <v> -&gt; </v>
      </c>
      <c r="EF100" s="244" t="str">
        <f t="shared" si="28"/>
        <v/>
      </c>
      <c r="EG100" s="244"/>
      <c r="EH100" s="244"/>
      <c r="EI100" s="245"/>
    </row>
    <row r="101">
      <c r="A101" s="248"/>
      <c r="B101" s="239" t="str">
        <f>IF(HomePage!C112&lt;&gt;"", REPLAYTODATA(HomePage!C112), "")</f>
        <v/>
      </c>
      <c r="C101" s="236"/>
      <c r="D101" s="236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O101" s="236"/>
      <c r="P101" s="236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  <c r="AD101" s="244"/>
      <c r="AE101" s="244"/>
      <c r="AF101" s="244"/>
      <c r="AG101" s="244"/>
      <c r="AH101" s="244"/>
      <c r="AI101" s="244"/>
      <c r="AJ101" s="244"/>
      <c r="AK101" s="244"/>
      <c r="AL101" s="244"/>
      <c r="AM101" s="244"/>
      <c r="AN101" s="244"/>
      <c r="AO101" s="244"/>
      <c r="AP101" s="244"/>
      <c r="AQ101" s="244"/>
      <c r="AR101" s="244"/>
      <c r="AS101" s="244"/>
      <c r="AT101" s="244"/>
      <c r="AU101" s="244"/>
      <c r="AV101" s="244"/>
      <c r="AW101" s="244"/>
      <c r="AX101" s="244"/>
      <c r="AY101" s="244"/>
      <c r="AZ101" s="244"/>
      <c r="BA101" s="244"/>
      <c r="BB101" s="244"/>
      <c r="BC101" s="244"/>
      <c r="BD101" s="244"/>
      <c r="BE101" s="244"/>
      <c r="BF101" s="244"/>
      <c r="BG101" s="244"/>
      <c r="BH101" s="244"/>
      <c r="BI101" s="244"/>
      <c r="BJ101" s="244"/>
      <c r="BK101" s="244"/>
      <c r="BL101" s="244"/>
      <c r="BM101" s="244"/>
      <c r="BN101" s="244"/>
      <c r="BO101" s="244"/>
      <c r="BP101" s="244"/>
      <c r="BQ101" s="244"/>
      <c r="BR101" s="244"/>
      <c r="BS101" s="244"/>
      <c r="BT101" s="244"/>
      <c r="BU101" s="244"/>
      <c r="BV101" s="244"/>
      <c r="BW101" s="244"/>
      <c r="BX101" s="244"/>
      <c r="BY101" s="244"/>
      <c r="BZ101" s="244"/>
      <c r="CA101" s="244"/>
      <c r="CB101" s="244"/>
      <c r="CC101" s="244"/>
      <c r="CD101" s="244"/>
      <c r="CE101" s="244"/>
      <c r="CF101" s="244"/>
      <c r="CG101" s="244"/>
      <c r="CH101" s="244"/>
      <c r="CI101" s="244"/>
      <c r="CJ101" s="244"/>
      <c r="CK101" s="244"/>
      <c r="CL101" s="244"/>
      <c r="CM101" s="244"/>
      <c r="CN101" s="244"/>
      <c r="CO101" s="244"/>
      <c r="CP101" s="244"/>
      <c r="CQ101" s="244"/>
      <c r="CR101" s="244"/>
      <c r="CS101" s="244"/>
      <c r="CT101" s="241" t="str">
        <f t="shared" si="3"/>
        <v/>
      </c>
      <c r="CU101" s="246" t="str">
        <f t="shared" si="4"/>
        <v/>
      </c>
      <c r="CV101" s="241" t="str">
        <f t="shared" si="5"/>
        <v/>
      </c>
      <c r="CW101" s="246" t="str">
        <f t="shared" si="6"/>
        <v/>
      </c>
      <c r="CX101" s="241" t="str">
        <f t="shared" si="7"/>
        <v/>
      </c>
      <c r="CY101" s="241" t="str">
        <f t="shared" si="8"/>
        <v/>
      </c>
      <c r="CZ101" s="241" t="str">
        <f t="shared" si="9"/>
        <v/>
      </c>
      <c r="DA101" s="246" t="str">
        <f t="shared" si="10"/>
        <v/>
      </c>
      <c r="DB101" s="246" t="str">
        <f t="shared" si="11"/>
        <v/>
      </c>
      <c r="DC101" s="246" t="str">
        <f t="shared" si="12"/>
        <v/>
      </c>
      <c r="DD101" s="241" t="str">
        <f t="shared" si="13"/>
        <v>1</v>
      </c>
      <c r="DE101" s="241" t="str">
        <f t="shared" si="14"/>
        <v/>
      </c>
      <c r="DF101" s="241" t="str">
        <f t="shared" si="15"/>
        <v/>
      </c>
      <c r="DG101" s="244" t="str">
        <f t="shared" si="16"/>
        <v/>
      </c>
      <c r="DH101" s="244" t="str">
        <f t="shared" si="17"/>
        <v/>
      </c>
      <c r="DI101" s="244" t="str">
        <f>IF(COUNTIF(PlayerAltNames,B101)&gt;0, B101, I101)</f>
        <v/>
      </c>
      <c r="DJ101" s="247" t="str">
        <f t="shared" ref="DJ101:DO101" si="221">IF(COUNTIF($I101,$DI101)&gt;0, J101, C101)</f>
        <v/>
      </c>
      <c r="DK101" s="247" t="str">
        <f t="shared" si="221"/>
        <v/>
      </c>
      <c r="DL101" s="247" t="str">
        <f t="shared" si="221"/>
        <v/>
      </c>
      <c r="DM101" s="247" t="str">
        <f t="shared" si="221"/>
        <v/>
      </c>
      <c r="DN101" s="247" t="str">
        <f t="shared" si="221"/>
        <v/>
      </c>
      <c r="DO101" s="247" t="str">
        <f t="shared" si="221"/>
        <v/>
      </c>
      <c r="DP101" s="244" t="str">
        <f t="shared" si="19"/>
        <v/>
      </c>
      <c r="DQ101" s="244" t="str">
        <f t="shared" ref="DQ101:DV101" si="222">IF(COUNTIF($I101,$DP101), J101, C101)</f>
        <v/>
      </c>
      <c r="DR101" s="244" t="str">
        <f t="shared" si="222"/>
        <v/>
      </c>
      <c r="DS101" s="244" t="str">
        <f t="shared" si="222"/>
        <v/>
      </c>
      <c r="DT101" s="244" t="str">
        <f t="shared" si="222"/>
        <v/>
      </c>
      <c r="DU101" s="244" t="str">
        <f t="shared" si="222"/>
        <v/>
      </c>
      <c r="DV101" s="244" t="str">
        <f t="shared" si="222"/>
        <v/>
      </c>
      <c r="DW101" s="241" t="str">
        <f>IF(HomePage!C112 &lt;&gt; "", IFS(AND(P101 = 1, COUNTIF(PlayerAltNames, B101)&gt;0), "Win", AND(P101 = 1, COUNTIF(PlayerAltNames, I101)&gt;0), "Loss", AND(P101 = 2, COUNTIF(PlayerAltNames, I101)&gt;0), "Win", AND(P101 = 2, COUNTIF(PlayerAltNames, B101)&gt;0), "Loss"), "")</f>
        <v/>
      </c>
      <c r="DX101" s="244"/>
      <c r="DY101" s="244" t="str">
        <f t="shared" si="21"/>
        <v>#N/A</v>
      </c>
      <c r="DZ101" s="244" t="str">
        <f t="shared" si="22"/>
        <v>#N/A</v>
      </c>
      <c r="EA101" s="244" t="str">
        <f t="shared" si="23"/>
        <v>#N/A</v>
      </c>
      <c r="EB101" s="244" t="str">
        <f t="shared" si="24"/>
        <v>#N/A</v>
      </c>
      <c r="EC101" s="244" t="str">
        <f t="shared" si="25"/>
        <v>#N/A</v>
      </c>
      <c r="ED101" s="244" t="str">
        <f t="shared" si="26"/>
        <v>#N/A</v>
      </c>
      <c r="EE101" s="244" t="str">
        <f t="shared" si="27"/>
        <v> -&gt; </v>
      </c>
      <c r="EF101" s="244" t="str">
        <f t="shared" si="28"/>
        <v/>
      </c>
      <c r="EG101" s="244"/>
      <c r="EH101" s="244"/>
      <c r="EI101" s="245"/>
    </row>
    <row r="102">
      <c r="A102" s="248"/>
      <c r="B102" s="239" t="str">
        <f>IF(HomePage!C113&lt;&gt;"", REPLAYTODATA(HomePage!C113), "")</f>
        <v/>
      </c>
      <c r="C102" s="236"/>
      <c r="D102" s="236"/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P102" s="236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  <c r="AD102" s="244"/>
      <c r="AE102" s="244"/>
      <c r="AF102" s="244"/>
      <c r="AG102" s="244"/>
      <c r="AH102" s="244"/>
      <c r="AI102" s="244"/>
      <c r="AJ102" s="244"/>
      <c r="AK102" s="244"/>
      <c r="AL102" s="244"/>
      <c r="AM102" s="244"/>
      <c r="AN102" s="244"/>
      <c r="AO102" s="244"/>
      <c r="AP102" s="244"/>
      <c r="AQ102" s="244"/>
      <c r="AR102" s="244"/>
      <c r="AS102" s="244"/>
      <c r="AT102" s="244"/>
      <c r="AU102" s="244"/>
      <c r="AV102" s="244"/>
      <c r="AW102" s="244"/>
      <c r="AX102" s="244"/>
      <c r="AY102" s="244"/>
      <c r="AZ102" s="244"/>
      <c r="BA102" s="244"/>
      <c r="BB102" s="244"/>
      <c r="BC102" s="244"/>
      <c r="BD102" s="244"/>
      <c r="BE102" s="244"/>
      <c r="BF102" s="244"/>
      <c r="BG102" s="244"/>
      <c r="BH102" s="244"/>
      <c r="BI102" s="244"/>
      <c r="BJ102" s="244"/>
      <c r="BK102" s="244"/>
      <c r="BL102" s="244"/>
      <c r="BM102" s="244"/>
      <c r="BN102" s="244"/>
      <c r="BO102" s="244"/>
      <c r="BP102" s="244"/>
      <c r="BQ102" s="244"/>
      <c r="BR102" s="244"/>
      <c r="BS102" s="244"/>
      <c r="BT102" s="244"/>
      <c r="BU102" s="244"/>
      <c r="BV102" s="244"/>
      <c r="BW102" s="244"/>
      <c r="BX102" s="244"/>
      <c r="BY102" s="244"/>
      <c r="BZ102" s="244"/>
      <c r="CA102" s="244"/>
      <c r="CB102" s="244"/>
      <c r="CC102" s="244"/>
      <c r="CD102" s="244"/>
      <c r="CE102" s="244"/>
      <c r="CF102" s="244"/>
      <c r="CG102" s="244"/>
      <c r="CH102" s="244"/>
      <c r="CI102" s="244"/>
      <c r="CJ102" s="244"/>
      <c r="CK102" s="244"/>
      <c r="CL102" s="244"/>
      <c r="CM102" s="244"/>
      <c r="CN102" s="244"/>
      <c r="CO102" s="244"/>
      <c r="CP102" s="244"/>
      <c r="CQ102" s="244"/>
      <c r="CR102" s="244"/>
      <c r="CS102" s="244"/>
      <c r="CT102" s="241" t="str">
        <f t="shared" si="3"/>
        <v/>
      </c>
      <c r="CU102" s="246" t="str">
        <f t="shared" si="4"/>
        <v/>
      </c>
      <c r="CV102" s="241" t="str">
        <f t="shared" si="5"/>
        <v/>
      </c>
      <c r="CW102" s="246" t="str">
        <f t="shared" si="6"/>
        <v/>
      </c>
      <c r="CX102" s="241" t="str">
        <f t="shared" si="7"/>
        <v/>
      </c>
      <c r="CY102" s="241" t="str">
        <f t="shared" si="8"/>
        <v/>
      </c>
      <c r="CZ102" s="241" t="str">
        <f t="shared" si="9"/>
        <v/>
      </c>
      <c r="DA102" s="246" t="str">
        <f t="shared" si="10"/>
        <v/>
      </c>
      <c r="DB102" s="246" t="str">
        <f t="shared" si="11"/>
        <v/>
      </c>
      <c r="DC102" s="246" t="str">
        <f t="shared" si="12"/>
        <v/>
      </c>
      <c r="DD102" s="241" t="str">
        <f t="shared" si="13"/>
        <v>1</v>
      </c>
      <c r="DE102" s="241" t="str">
        <f t="shared" si="14"/>
        <v/>
      </c>
      <c r="DF102" s="241" t="str">
        <f t="shared" si="15"/>
        <v/>
      </c>
      <c r="DG102" s="244" t="str">
        <f t="shared" si="16"/>
        <v/>
      </c>
      <c r="DH102" s="244" t="str">
        <f t="shared" si="17"/>
        <v/>
      </c>
      <c r="DI102" s="244" t="str">
        <f>IF(COUNTIF(PlayerAltNames,B102)&gt;0, B102, I102)</f>
        <v/>
      </c>
      <c r="DJ102" s="247" t="str">
        <f t="shared" ref="DJ102:DO102" si="223">IF(COUNTIF($I102,$DI102)&gt;0, J102, C102)</f>
        <v/>
      </c>
      <c r="DK102" s="247" t="str">
        <f t="shared" si="223"/>
        <v/>
      </c>
      <c r="DL102" s="247" t="str">
        <f t="shared" si="223"/>
        <v/>
      </c>
      <c r="DM102" s="247" t="str">
        <f t="shared" si="223"/>
        <v/>
      </c>
      <c r="DN102" s="247" t="str">
        <f t="shared" si="223"/>
        <v/>
      </c>
      <c r="DO102" s="247" t="str">
        <f t="shared" si="223"/>
        <v/>
      </c>
      <c r="DP102" s="244" t="str">
        <f t="shared" si="19"/>
        <v/>
      </c>
      <c r="DQ102" s="244" t="str">
        <f t="shared" ref="DQ102:DV102" si="224">IF(COUNTIF($I102,$DP102), J102, C102)</f>
        <v/>
      </c>
      <c r="DR102" s="244" t="str">
        <f t="shared" si="224"/>
        <v/>
      </c>
      <c r="DS102" s="244" t="str">
        <f t="shared" si="224"/>
        <v/>
      </c>
      <c r="DT102" s="244" t="str">
        <f t="shared" si="224"/>
        <v/>
      </c>
      <c r="DU102" s="244" t="str">
        <f t="shared" si="224"/>
        <v/>
      </c>
      <c r="DV102" s="244" t="str">
        <f t="shared" si="224"/>
        <v/>
      </c>
      <c r="DW102" s="241" t="str">
        <f>IF(HomePage!C113 &lt;&gt; "", IFS(AND(P102 = 1, COUNTIF(PlayerAltNames, B102)&gt;0), "Win", AND(P102 = 1, COUNTIF(PlayerAltNames, I102)&gt;0), "Loss", AND(P102 = 2, COUNTIF(PlayerAltNames, I102)&gt;0), "Win", AND(P102 = 2, COUNTIF(PlayerAltNames, B102)&gt;0), "Loss"), "")</f>
        <v/>
      </c>
      <c r="DX102" s="244"/>
      <c r="DY102" s="244" t="str">
        <f t="shared" si="21"/>
        <v>#N/A</v>
      </c>
      <c r="DZ102" s="244" t="str">
        <f t="shared" si="22"/>
        <v>#N/A</v>
      </c>
      <c r="EA102" s="244" t="str">
        <f t="shared" si="23"/>
        <v>#N/A</v>
      </c>
      <c r="EB102" s="244" t="str">
        <f t="shared" si="24"/>
        <v>#N/A</v>
      </c>
      <c r="EC102" s="244" t="str">
        <f t="shared" si="25"/>
        <v>#N/A</v>
      </c>
      <c r="ED102" s="244" t="str">
        <f t="shared" si="26"/>
        <v>#N/A</v>
      </c>
      <c r="EE102" s="244" t="str">
        <f t="shared" si="27"/>
        <v> -&gt; </v>
      </c>
      <c r="EF102" s="244" t="str">
        <f t="shared" si="28"/>
        <v/>
      </c>
      <c r="EG102" s="244"/>
      <c r="EH102" s="244"/>
      <c r="EI102" s="245"/>
    </row>
    <row r="103" ht="7.5" customHeight="1">
      <c r="A103" s="253"/>
      <c r="B103" s="254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45"/>
      <c r="BD103" s="245"/>
      <c r="BE103" s="245"/>
      <c r="BF103" s="245"/>
      <c r="BG103" s="245"/>
      <c r="BH103" s="245"/>
      <c r="BI103" s="245"/>
      <c r="BJ103" s="245"/>
      <c r="BK103" s="245"/>
      <c r="BL103" s="245"/>
      <c r="BM103" s="245"/>
      <c r="BN103" s="245"/>
      <c r="BO103" s="245"/>
      <c r="BP103" s="245"/>
      <c r="BQ103" s="245"/>
      <c r="BR103" s="245"/>
      <c r="BS103" s="245"/>
      <c r="BT103" s="245"/>
      <c r="BU103" s="245"/>
      <c r="BV103" s="245"/>
      <c r="BW103" s="245"/>
      <c r="BX103" s="245"/>
      <c r="BY103" s="245"/>
      <c r="BZ103" s="245"/>
      <c r="CA103" s="245"/>
      <c r="CB103" s="245"/>
      <c r="CC103" s="245"/>
      <c r="CD103" s="245"/>
      <c r="CE103" s="245"/>
      <c r="CF103" s="245"/>
      <c r="CG103" s="245"/>
      <c r="CH103" s="245"/>
      <c r="CI103" s="245"/>
      <c r="CJ103" s="245"/>
      <c r="CK103" s="245"/>
      <c r="CL103" s="245"/>
      <c r="CM103" s="245"/>
      <c r="CN103" s="245"/>
      <c r="CO103" s="245"/>
      <c r="CP103" s="245"/>
      <c r="CQ103" s="245"/>
      <c r="CR103" s="245"/>
      <c r="CS103" s="245"/>
      <c r="CT103" s="255"/>
      <c r="CU103" s="256"/>
      <c r="CV103" s="255"/>
      <c r="CW103" s="256"/>
      <c r="CX103" s="255"/>
      <c r="CY103" s="255"/>
      <c r="CZ103" s="245"/>
      <c r="DA103" s="245"/>
      <c r="DB103" s="245"/>
      <c r="DC103" s="245"/>
      <c r="DD103" s="245"/>
      <c r="DE103" s="245"/>
      <c r="DF103" s="245"/>
      <c r="DG103" s="245"/>
      <c r="DH103" s="245"/>
      <c r="DI103" s="245"/>
      <c r="DJ103" s="257"/>
      <c r="DK103" s="257"/>
      <c r="DL103" s="257"/>
      <c r="DM103" s="257"/>
      <c r="DN103" s="257"/>
      <c r="DO103" s="257"/>
      <c r="DP103" s="245"/>
      <c r="DQ103" s="245"/>
      <c r="DR103" s="245"/>
      <c r="DS103" s="245"/>
      <c r="DT103" s="245"/>
      <c r="DU103" s="245"/>
      <c r="DV103" s="245"/>
      <c r="DW103" s="255"/>
      <c r="DX103" s="245"/>
      <c r="DY103" s="245"/>
      <c r="DZ103" s="245"/>
      <c r="EA103" s="245"/>
      <c r="EB103" s="245"/>
      <c r="EC103" s="245"/>
      <c r="ED103" s="245"/>
      <c r="EE103" s="245"/>
      <c r="EF103" s="245"/>
      <c r="EG103" s="245"/>
      <c r="EH103" s="245"/>
      <c r="EI103" s="245"/>
    </row>
  </sheetData>
  <mergeCells count="7">
    <mergeCell ref="B1:H1"/>
    <mergeCell ref="I1:O1"/>
    <mergeCell ref="Q1:T1"/>
    <mergeCell ref="U1:X1"/>
    <mergeCell ref="Z1:AA1"/>
    <mergeCell ref="AB1:AC1"/>
    <mergeCell ref="AE1:AL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0"/>
    <col customWidth="1" min="4" max="4" width="10.25"/>
    <col customWidth="1" min="5" max="5" width="19.38"/>
    <col customWidth="1" min="6" max="9" width="21.75"/>
    <col customWidth="1" min="10" max="10" width="20.0"/>
    <col customWidth="1" min="11" max="11" width="22.75"/>
    <col customWidth="1" min="12" max="12" width="21.13"/>
    <col customWidth="1" min="13" max="14" width="22.75"/>
    <col customWidth="1" min="56" max="59" width="2.38"/>
  </cols>
  <sheetData>
    <row r="1">
      <c r="A1" s="17" t="s">
        <v>65</v>
      </c>
      <c r="C1" s="17" t="s">
        <v>2733</v>
      </c>
      <c r="D1" s="17" t="s">
        <v>2734</v>
      </c>
      <c r="BD1" s="171"/>
      <c r="BE1" s="171"/>
      <c r="BF1" s="171"/>
      <c r="BG1" s="171"/>
    </row>
    <row r="2">
      <c r="A2" s="17">
        <v>1.0</v>
      </c>
      <c r="C2" s="63" t="str">
        <f t="array" ref="C2">INDIRECT("'" &amp; D1 &amp; "'!" &amp; "EC3")</f>
        <v>$AM$3:$AT$3</v>
      </c>
      <c r="E2" s="63" t="str">
        <f t="shared" ref="E2:E101" si="1">INDIRECT("'" &amp; $D$1 &amp; "'!" &amp; C2)</f>
        <v>P1 MOVES START</v>
      </c>
      <c r="F2" s="63" t="s">
        <v>2665</v>
      </c>
      <c r="G2" s="63" t="s">
        <v>2666</v>
      </c>
      <c r="H2" s="63" t="s">
        <v>2667</v>
      </c>
      <c r="I2" s="63" t="s">
        <v>2668</v>
      </c>
      <c r="J2" s="63" t="s">
        <v>2669</v>
      </c>
      <c r="K2" s="63" t="s">
        <v>2670</v>
      </c>
      <c r="L2" s="63" t="s">
        <v>2671</v>
      </c>
      <c r="BD2" s="171"/>
      <c r="BE2" s="171"/>
      <c r="BF2" s="171"/>
      <c r="BG2" s="171"/>
    </row>
    <row r="3">
      <c r="A3" s="17">
        <v>2.0</v>
      </c>
      <c r="C3" s="63" t="str">
        <f t="array" ref="C3">INDIRECT("'" &amp; D1 &amp; "'!" &amp; "EC4")</f>
        <v>$AM$4:$AW$4</v>
      </c>
      <c r="E3" s="170" t="str">
        <f t="shared" si="1"/>
        <v>P1 MOVES START</v>
      </c>
      <c r="F3" s="63" t="s">
        <v>2687</v>
      </c>
      <c r="G3" s="63" t="s">
        <v>2668</v>
      </c>
      <c r="H3" s="63" t="s">
        <v>2688</v>
      </c>
      <c r="I3" s="63" t="s">
        <v>2689</v>
      </c>
      <c r="J3" s="63" t="s">
        <v>2690</v>
      </c>
      <c r="K3" s="63" t="s">
        <v>2670</v>
      </c>
      <c r="L3" s="63" t="s">
        <v>2691</v>
      </c>
      <c r="M3" s="63" t="s">
        <v>2692</v>
      </c>
      <c r="N3" s="63" t="s">
        <v>2693</v>
      </c>
      <c r="O3" s="63" t="s">
        <v>2671</v>
      </c>
      <c r="BD3" s="171"/>
      <c r="BE3" s="171"/>
      <c r="BF3" s="171"/>
      <c r="BG3" s="171"/>
    </row>
    <row r="4">
      <c r="A4" s="17">
        <v>3.0</v>
      </c>
      <c r="C4" s="63" t="str">
        <f t="array" ref="C4">INDIRECT("'" &amp; D1 &amp; "'!" &amp; "EC5")</f>
        <v>$AM$5:$AT$5</v>
      </c>
      <c r="E4" s="63" t="str">
        <f t="shared" si="1"/>
        <v>P1 MOVES START</v>
      </c>
      <c r="F4" s="63" t="s">
        <v>2707</v>
      </c>
      <c r="G4" s="63" t="s">
        <v>2708</v>
      </c>
      <c r="H4" s="63" t="s">
        <v>2688</v>
      </c>
      <c r="I4" s="63" t="s">
        <v>2709</v>
      </c>
      <c r="J4" s="63" t="s">
        <v>2692</v>
      </c>
      <c r="K4" s="63" t="s">
        <v>2693</v>
      </c>
      <c r="L4" s="63" t="s">
        <v>2671</v>
      </c>
      <c r="BD4" s="171"/>
      <c r="BE4" s="171"/>
      <c r="BF4" s="171"/>
      <c r="BG4" s="171"/>
    </row>
    <row r="5">
      <c r="A5" s="17">
        <v>4.0</v>
      </c>
      <c r="C5" s="63" t="str">
        <f t="array" ref="C5">INDIRECT("'" &amp; D1 &amp; "'!" &amp; "EC6")</f>
        <v>$AM$6:$AX$6</v>
      </c>
      <c r="E5" s="170" t="str">
        <f t="shared" si="1"/>
        <v>P1 MOVES START</v>
      </c>
      <c r="F5" s="63" t="s">
        <v>2687</v>
      </c>
      <c r="G5" s="63" t="s">
        <v>2668</v>
      </c>
      <c r="H5" s="63" t="s">
        <v>2720</v>
      </c>
      <c r="I5" s="63" t="s">
        <v>2688</v>
      </c>
      <c r="J5" s="63" t="s">
        <v>2689</v>
      </c>
      <c r="K5" s="63" t="s">
        <v>2721</v>
      </c>
      <c r="L5" s="63" t="s">
        <v>2722</v>
      </c>
      <c r="M5" s="63" t="s">
        <v>2723</v>
      </c>
      <c r="N5" s="63" t="s">
        <v>2691</v>
      </c>
      <c r="O5" s="63" t="s">
        <v>2724</v>
      </c>
      <c r="P5" s="63" t="s">
        <v>2671</v>
      </c>
      <c r="BD5" s="171"/>
      <c r="BE5" s="171"/>
      <c r="BF5" s="171"/>
      <c r="BG5" s="171"/>
    </row>
    <row r="6">
      <c r="A6" s="17">
        <v>5.0</v>
      </c>
      <c r="C6" s="65" t="str">
        <f t="array" ref="C6">INDIRECT("'" &amp; D1 &amp; "'!" &amp; "EC7")</f>
        <v>#N/A</v>
      </c>
      <c r="E6" s="63" t="str">
        <f t="shared" si="1"/>
        <v>#N/A</v>
      </c>
      <c r="BD6" s="171"/>
      <c r="BE6" s="171"/>
      <c r="BF6" s="171"/>
      <c r="BG6" s="171"/>
    </row>
    <row r="7">
      <c r="A7" s="17">
        <v>6.0</v>
      </c>
      <c r="C7" s="65" t="str">
        <f t="array" ref="C7">INDIRECT("'" &amp; D1 &amp; "'!" &amp; "EC8")</f>
        <v>#N/A</v>
      </c>
      <c r="E7" s="170" t="str">
        <f t="shared" si="1"/>
        <v>#N/A</v>
      </c>
      <c r="BD7" s="171"/>
      <c r="BE7" s="171"/>
      <c r="BF7" s="171"/>
      <c r="BG7" s="171"/>
    </row>
    <row r="8">
      <c r="A8" s="17">
        <v>7.0</v>
      </c>
      <c r="C8" s="65" t="str">
        <f t="array" ref="C8">INDIRECT("'" &amp; D1 &amp; "'!" &amp; "EC9")</f>
        <v>#N/A</v>
      </c>
      <c r="E8" s="63" t="str">
        <f t="shared" si="1"/>
        <v>#N/A</v>
      </c>
      <c r="BD8" s="171"/>
      <c r="BE8" s="171"/>
      <c r="BF8" s="171"/>
      <c r="BG8" s="171"/>
    </row>
    <row r="9">
      <c r="A9" s="17">
        <v>8.0</v>
      </c>
      <c r="C9" s="65" t="str">
        <f t="array" ref="C9">INDIRECT("'" &amp; D1 &amp; "'!" &amp; "EC10")</f>
        <v>#N/A</v>
      </c>
      <c r="E9" s="170" t="str">
        <f t="shared" si="1"/>
        <v>#N/A</v>
      </c>
      <c r="BD9" s="171"/>
      <c r="BE9" s="171"/>
      <c r="BF9" s="171"/>
      <c r="BG9" s="171"/>
    </row>
    <row r="10">
      <c r="A10" s="17">
        <v>9.0</v>
      </c>
      <c r="C10" s="65" t="str">
        <f t="array" ref="C10">INDIRECT("'" &amp; D1 &amp; "'!" &amp; "EC11")</f>
        <v>#N/A</v>
      </c>
      <c r="E10" s="63" t="str">
        <f t="shared" si="1"/>
        <v>#N/A</v>
      </c>
      <c r="BD10" s="171"/>
      <c r="BE10" s="171"/>
      <c r="BF10" s="171"/>
      <c r="BG10" s="171"/>
    </row>
    <row r="11">
      <c r="A11" s="17">
        <v>10.0</v>
      </c>
      <c r="C11" s="65" t="str">
        <f t="array" ref="C11">INDIRECT("'" &amp; D1 &amp; "'!" &amp; "EC12")</f>
        <v>#N/A</v>
      </c>
      <c r="E11" s="170" t="str">
        <f t="shared" si="1"/>
        <v>#N/A</v>
      </c>
      <c r="BD11" s="171"/>
      <c r="BE11" s="171"/>
      <c r="BF11" s="171"/>
      <c r="BG11" s="171"/>
    </row>
    <row r="12">
      <c r="A12" s="17">
        <v>11.0</v>
      </c>
      <c r="C12" s="65" t="str">
        <f t="array" ref="C12">INDIRECT("'" &amp; D1 &amp; "'!" &amp; "EC13")</f>
        <v>#N/A</v>
      </c>
      <c r="E12" s="63" t="str">
        <f t="shared" si="1"/>
        <v>#N/A</v>
      </c>
      <c r="BD12" s="171"/>
      <c r="BE12" s="171"/>
      <c r="BF12" s="171"/>
      <c r="BG12" s="171"/>
    </row>
    <row r="13">
      <c r="A13" s="17">
        <v>12.0</v>
      </c>
      <c r="C13" s="65" t="str">
        <f t="array" ref="C13">INDIRECT("'" &amp; D1 &amp; "'!" &amp; "EC14")</f>
        <v>#N/A</v>
      </c>
      <c r="E13" s="170" t="str">
        <f t="shared" si="1"/>
        <v>#N/A</v>
      </c>
      <c r="BD13" s="171"/>
      <c r="BE13" s="171"/>
      <c r="BF13" s="171"/>
      <c r="BG13" s="171"/>
    </row>
    <row r="14">
      <c r="A14" s="17">
        <v>13.0</v>
      </c>
      <c r="C14" s="65" t="str">
        <f t="array" ref="C14">INDIRECT("'" &amp; D1 &amp; "'!" &amp; "EC15")</f>
        <v>#N/A</v>
      </c>
      <c r="E14" s="63" t="str">
        <f t="shared" si="1"/>
        <v>#N/A</v>
      </c>
      <c r="BD14" s="171"/>
      <c r="BE14" s="171"/>
      <c r="BF14" s="171"/>
      <c r="BG14" s="171"/>
    </row>
    <row r="15">
      <c r="A15" s="17">
        <v>14.0</v>
      </c>
      <c r="C15" s="65" t="str">
        <f t="array" ref="C15">INDIRECT("'" &amp; D1 &amp; "'!" &amp; "EC16")</f>
        <v>#N/A</v>
      </c>
      <c r="E15" s="170" t="str">
        <f t="shared" si="1"/>
        <v>#N/A</v>
      </c>
      <c r="BD15" s="171"/>
      <c r="BE15" s="171"/>
      <c r="BF15" s="171"/>
      <c r="BG15" s="171"/>
    </row>
    <row r="16">
      <c r="A16" s="17">
        <v>15.0</v>
      </c>
      <c r="C16" s="65" t="str">
        <f t="array" ref="C16">INDIRECT("'" &amp; D1 &amp; "'!" &amp; "EC17")</f>
        <v>#N/A</v>
      </c>
      <c r="E16" s="63" t="str">
        <f t="shared" si="1"/>
        <v>#N/A</v>
      </c>
      <c r="BD16" s="171"/>
      <c r="BE16" s="171"/>
      <c r="BF16" s="171"/>
      <c r="BG16" s="171"/>
    </row>
    <row r="17">
      <c r="A17" s="17">
        <v>16.0</v>
      </c>
      <c r="C17" s="65" t="str">
        <f t="array" ref="C17">INDIRECT("'" &amp; D1 &amp; "'!" &amp; "EC18")</f>
        <v>#N/A</v>
      </c>
      <c r="E17" s="170" t="str">
        <f t="shared" si="1"/>
        <v>#N/A</v>
      </c>
      <c r="BD17" s="171"/>
      <c r="BE17" s="171"/>
      <c r="BF17" s="171"/>
      <c r="BG17" s="171"/>
    </row>
    <row r="18">
      <c r="A18" s="17">
        <v>17.0</v>
      </c>
      <c r="C18" s="65" t="str">
        <f t="array" ref="C18">INDIRECT("'" &amp; D1 &amp; "'!" &amp; "EC19")</f>
        <v>#N/A</v>
      </c>
      <c r="E18" s="63" t="str">
        <f t="shared" si="1"/>
        <v>#N/A</v>
      </c>
      <c r="BD18" s="171"/>
      <c r="BE18" s="171"/>
      <c r="BF18" s="171"/>
      <c r="BG18" s="171"/>
    </row>
    <row r="19">
      <c r="A19" s="17">
        <v>18.0</v>
      </c>
      <c r="C19" s="65" t="str">
        <f t="array" ref="C19">INDIRECT("'" &amp; D1 &amp; "'!" &amp; "EC20")</f>
        <v>#N/A</v>
      </c>
      <c r="E19" s="170" t="str">
        <f t="shared" si="1"/>
        <v>#N/A</v>
      </c>
      <c r="BD19" s="171"/>
      <c r="BE19" s="171"/>
      <c r="BF19" s="171"/>
      <c r="BG19" s="171"/>
    </row>
    <row r="20">
      <c r="A20" s="17">
        <v>19.0</v>
      </c>
      <c r="C20" s="65" t="str">
        <f t="array" ref="C20">INDIRECT("'" &amp; D1 &amp; "'!" &amp; "EC21")</f>
        <v>#N/A</v>
      </c>
      <c r="E20" s="63" t="str">
        <f t="shared" si="1"/>
        <v>#N/A</v>
      </c>
      <c r="BD20" s="171"/>
      <c r="BE20" s="171"/>
      <c r="BF20" s="171"/>
      <c r="BG20" s="171"/>
    </row>
    <row r="21">
      <c r="A21" s="17">
        <v>20.0</v>
      </c>
      <c r="C21" s="65" t="str">
        <f t="array" ref="C21">INDIRECT("'" &amp; D1 &amp; "'!" &amp; "EC22")</f>
        <v>#N/A</v>
      </c>
      <c r="E21" s="170" t="str">
        <f t="shared" si="1"/>
        <v>#N/A</v>
      </c>
      <c r="BD21" s="171"/>
      <c r="BE21" s="171"/>
      <c r="BF21" s="171"/>
      <c r="BG21" s="171"/>
    </row>
    <row r="22">
      <c r="A22" s="17">
        <v>21.0</v>
      </c>
      <c r="C22" s="65" t="str">
        <f t="array" ref="C22">INDIRECT("'" &amp; D1 &amp; "'!" &amp; "EC23")</f>
        <v>#N/A</v>
      </c>
      <c r="E22" s="63" t="str">
        <f t="shared" si="1"/>
        <v>#N/A</v>
      </c>
      <c r="BD22" s="171"/>
      <c r="BE22" s="171"/>
      <c r="BF22" s="171"/>
      <c r="BG22" s="171"/>
    </row>
    <row r="23">
      <c r="A23" s="17">
        <v>22.0</v>
      </c>
      <c r="C23" s="65" t="str">
        <f t="array" ref="C23">INDIRECT("'" &amp; D1 &amp; "'!" &amp; "EC24")</f>
        <v>#N/A</v>
      </c>
      <c r="E23" s="170" t="str">
        <f t="shared" si="1"/>
        <v>#N/A</v>
      </c>
      <c r="BD23" s="171"/>
      <c r="BE23" s="171"/>
      <c r="BF23" s="171"/>
      <c r="BG23" s="171"/>
    </row>
    <row r="24">
      <c r="A24" s="17">
        <v>23.0</v>
      </c>
      <c r="C24" s="65" t="str">
        <f t="array" ref="C24">INDIRECT("'" &amp; D1 &amp; "'!" &amp; "EC25")</f>
        <v>#N/A</v>
      </c>
      <c r="E24" s="63" t="str">
        <f t="shared" si="1"/>
        <v>#N/A</v>
      </c>
      <c r="BD24" s="171"/>
      <c r="BE24" s="171"/>
      <c r="BF24" s="171"/>
      <c r="BG24" s="171"/>
    </row>
    <row r="25">
      <c r="A25" s="17">
        <v>24.0</v>
      </c>
      <c r="C25" s="65" t="str">
        <f t="array" ref="C25">INDIRECT("'" &amp; D1 &amp; "'!" &amp; "EC26")</f>
        <v>#N/A</v>
      </c>
      <c r="E25" s="170" t="str">
        <f t="shared" si="1"/>
        <v>#N/A</v>
      </c>
      <c r="BD25" s="171"/>
      <c r="BE25" s="171"/>
      <c r="BF25" s="171"/>
      <c r="BG25" s="171"/>
    </row>
    <row r="26">
      <c r="A26" s="17">
        <v>25.0</v>
      </c>
      <c r="C26" s="65" t="str">
        <f t="array" ref="C26">INDIRECT("'" &amp; D1 &amp; "'!" &amp; "EC27")</f>
        <v>#N/A</v>
      </c>
      <c r="E26" s="63" t="str">
        <f t="shared" si="1"/>
        <v>#N/A</v>
      </c>
      <c r="BD26" s="171"/>
      <c r="BE26" s="171"/>
      <c r="BF26" s="171"/>
      <c r="BG26" s="171"/>
    </row>
    <row r="27">
      <c r="A27" s="17">
        <v>26.0</v>
      </c>
      <c r="C27" s="65" t="str">
        <f t="array" ref="C27">INDIRECT("'" &amp; D1 &amp; "'!" &amp; "EC28")</f>
        <v>#N/A</v>
      </c>
      <c r="E27" s="170" t="str">
        <f t="shared" si="1"/>
        <v>#N/A</v>
      </c>
      <c r="BD27" s="171"/>
      <c r="BE27" s="171"/>
      <c r="BF27" s="171"/>
      <c r="BG27" s="171"/>
    </row>
    <row r="28">
      <c r="A28" s="17">
        <v>27.0</v>
      </c>
      <c r="C28" s="65" t="str">
        <f t="array" ref="C28">INDIRECT("'" &amp; D1 &amp; "'!" &amp; "EC29")</f>
        <v>#N/A</v>
      </c>
      <c r="E28" s="63" t="str">
        <f t="shared" si="1"/>
        <v>#N/A</v>
      </c>
      <c r="BD28" s="171"/>
      <c r="BE28" s="171"/>
      <c r="BF28" s="171"/>
      <c r="BG28" s="171"/>
    </row>
    <row r="29">
      <c r="A29" s="17">
        <v>28.0</v>
      </c>
      <c r="C29" s="65" t="str">
        <f t="array" ref="C29">INDIRECT("'" &amp; D1 &amp; "'!" &amp; "EC30")</f>
        <v>#N/A</v>
      </c>
      <c r="E29" s="170" t="str">
        <f t="shared" si="1"/>
        <v>#N/A</v>
      </c>
      <c r="BD29" s="171"/>
      <c r="BE29" s="171"/>
      <c r="BF29" s="171"/>
      <c r="BG29" s="171"/>
    </row>
    <row r="30">
      <c r="A30" s="17">
        <v>29.0</v>
      </c>
      <c r="C30" s="65" t="str">
        <f t="array" ref="C30">INDIRECT("'" &amp; D1 &amp; "'!" &amp; "EC31")</f>
        <v>#N/A</v>
      </c>
      <c r="E30" s="63" t="str">
        <f t="shared" si="1"/>
        <v>#N/A</v>
      </c>
      <c r="BD30" s="171"/>
      <c r="BE30" s="171"/>
      <c r="BF30" s="171"/>
      <c r="BG30" s="171"/>
    </row>
    <row r="31">
      <c r="A31" s="17">
        <v>30.0</v>
      </c>
      <c r="C31" s="65" t="str">
        <f t="array" ref="C31">INDIRECT("'" &amp; D1 &amp; "'!" &amp; "EC32")</f>
        <v>#N/A</v>
      </c>
      <c r="E31" s="170" t="str">
        <f t="shared" si="1"/>
        <v>#N/A</v>
      </c>
      <c r="BD31" s="171"/>
      <c r="BE31" s="171"/>
      <c r="BF31" s="171"/>
      <c r="BG31" s="171"/>
    </row>
    <row r="32">
      <c r="A32" s="17">
        <v>31.0</v>
      </c>
      <c r="C32" s="65" t="str">
        <f t="array" ref="C32">INDIRECT("'" &amp; D1 &amp; "'!" &amp; "EC33")</f>
        <v>#N/A</v>
      </c>
      <c r="E32" s="63" t="str">
        <f t="shared" si="1"/>
        <v>#N/A</v>
      </c>
      <c r="BD32" s="171"/>
      <c r="BE32" s="171"/>
      <c r="BF32" s="171"/>
      <c r="BG32" s="171"/>
    </row>
    <row r="33">
      <c r="A33" s="17">
        <v>32.0</v>
      </c>
      <c r="C33" s="65" t="str">
        <f t="array" ref="C33">INDIRECT("'" &amp; D1 &amp; "'!" &amp; "EC34")</f>
        <v>#N/A</v>
      </c>
      <c r="E33" s="170" t="str">
        <f t="shared" si="1"/>
        <v>#N/A</v>
      </c>
      <c r="BD33" s="171"/>
      <c r="BE33" s="171"/>
      <c r="BF33" s="171"/>
      <c r="BG33" s="171"/>
    </row>
    <row r="34">
      <c r="A34" s="17">
        <v>33.0</v>
      </c>
      <c r="C34" s="65" t="str">
        <f t="array" ref="C34">INDIRECT("'" &amp; D1 &amp; "'!" &amp; "EC35")</f>
        <v>#N/A</v>
      </c>
      <c r="E34" s="63" t="str">
        <f t="shared" si="1"/>
        <v>#N/A</v>
      </c>
      <c r="BD34" s="171"/>
      <c r="BE34" s="171"/>
      <c r="BF34" s="171"/>
      <c r="BG34" s="171"/>
    </row>
    <row r="35">
      <c r="A35" s="17">
        <v>34.0</v>
      </c>
      <c r="C35" s="65" t="str">
        <f t="array" ref="C35">INDIRECT("'" &amp; D1 &amp; "'!" &amp; "EC36")</f>
        <v>#N/A</v>
      </c>
      <c r="E35" s="170" t="str">
        <f t="shared" si="1"/>
        <v>#N/A</v>
      </c>
      <c r="BD35" s="171"/>
      <c r="BE35" s="171"/>
      <c r="BF35" s="171"/>
      <c r="BG35" s="171"/>
    </row>
    <row r="36">
      <c r="A36" s="17">
        <v>35.0</v>
      </c>
      <c r="C36" s="65" t="str">
        <f t="array" ref="C36">INDIRECT("'" &amp; D1 &amp; "'!" &amp; "EC37")</f>
        <v>#N/A</v>
      </c>
      <c r="E36" s="63" t="str">
        <f t="shared" si="1"/>
        <v>#N/A</v>
      </c>
      <c r="BD36" s="171"/>
      <c r="BE36" s="171"/>
      <c r="BF36" s="171"/>
      <c r="BG36" s="171"/>
    </row>
    <row r="37">
      <c r="A37" s="17">
        <v>36.0</v>
      </c>
      <c r="C37" s="65" t="str">
        <f t="array" ref="C37">INDIRECT("'" &amp; D1 &amp; "'!" &amp; "EC38")</f>
        <v>#N/A</v>
      </c>
      <c r="E37" s="170" t="str">
        <f t="shared" si="1"/>
        <v>#N/A</v>
      </c>
      <c r="BD37" s="171"/>
      <c r="BE37" s="171"/>
      <c r="BF37" s="171"/>
      <c r="BG37" s="171"/>
    </row>
    <row r="38">
      <c r="A38" s="17">
        <v>37.0</v>
      </c>
      <c r="C38" s="65" t="str">
        <f t="array" ref="C38">INDIRECT("'" &amp; D1 &amp; "'!" &amp; "EC39")</f>
        <v>#N/A</v>
      </c>
      <c r="E38" s="63" t="str">
        <f t="shared" si="1"/>
        <v>#N/A</v>
      </c>
      <c r="BD38" s="171"/>
      <c r="BE38" s="171"/>
      <c r="BF38" s="171"/>
      <c r="BG38" s="171"/>
    </row>
    <row r="39">
      <c r="A39" s="17">
        <v>38.0</v>
      </c>
      <c r="C39" s="65" t="str">
        <f t="array" ref="C39">INDIRECT("'" &amp; D1 &amp; "'!" &amp; "EC40")</f>
        <v>#N/A</v>
      </c>
      <c r="E39" s="170" t="str">
        <f t="shared" si="1"/>
        <v>#N/A</v>
      </c>
      <c r="BD39" s="171"/>
      <c r="BE39" s="171"/>
      <c r="BF39" s="171"/>
      <c r="BG39" s="171"/>
    </row>
    <row r="40">
      <c r="A40" s="17">
        <v>39.0</v>
      </c>
      <c r="C40" s="65" t="str">
        <f t="array" ref="C40">INDIRECT("'" &amp; D1 &amp; "'!" &amp; "EC41")</f>
        <v>#N/A</v>
      </c>
      <c r="E40" s="63" t="str">
        <f t="shared" si="1"/>
        <v>#N/A</v>
      </c>
      <c r="BD40" s="171"/>
      <c r="BE40" s="171"/>
      <c r="BF40" s="171"/>
      <c r="BG40" s="171"/>
    </row>
    <row r="41">
      <c r="A41" s="17">
        <v>40.0</v>
      </c>
      <c r="C41" s="65" t="str">
        <f t="array" ref="C41">INDIRECT("'" &amp; D1 &amp; "'!" &amp; "EC42")</f>
        <v>#N/A</v>
      </c>
      <c r="E41" s="170" t="str">
        <f t="shared" si="1"/>
        <v>#N/A</v>
      </c>
      <c r="BD41" s="171"/>
      <c r="BE41" s="171"/>
      <c r="BF41" s="171"/>
      <c r="BG41" s="171"/>
    </row>
    <row r="42">
      <c r="A42" s="17">
        <v>41.0</v>
      </c>
      <c r="C42" s="65" t="str">
        <f t="array" ref="C42">INDIRECT("'" &amp; D1 &amp; "'!" &amp; "EC43")</f>
        <v>#N/A</v>
      </c>
      <c r="E42" s="63" t="str">
        <f t="shared" si="1"/>
        <v>#N/A</v>
      </c>
      <c r="BD42" s="171"/>
      <c r="BE42" s="171"/>
      <c r="BF42" s="171"/>
      <c r="BG42" s="171"/>
    </row>
    <row r="43">
      <c r="A43" s="17">
        <v>42.0</v>
      </c>
      <c r="C43" s="65" t="str">
        <f t="array" ref="C43">INDIRECT("'" &amp; D1 &amp; "'!" &amp; "EC44")</f>
        <v>#N/A</v>
      </c>
      <c r="E43" s="170" t="str">
        <f t="shared" si="1"/>
        <v>#N/A</v>
      </c>
      <c r="BD43" s="171"/>
      <c r="BE43" s="171"/>
      <c r="BF43" s="171"/>
      <c r="BG43" s="171"/>
    </row>
    <row r="44">
      <c r="A44" s="17">
        <v>43.0</v>
      </c>
      <c r="C44" s="65" t="str">
        <f t="array" ref="C44">INDIRECT("'" &amp; D1 &amp; "'!" &amp; "EC45")</f>
        <v>#N/A</v>
      </c>
      <c r="E44" s="63" t="str">
        <f t="shared" si="1"/>
        <v>#N/A</v>
      </c>
      <c r="BD44" s="171"/>
      <c r="BE44" s="171"/>
      <c r="BF44" s="171"/>
      <c r="BG44" s="171"/>
    </row>
    <row r="45">
      <c r="A45" s="17">
        <v>44.0</v>
      </c>
      <c r="C45" s="65" t="str">
        <f t="array" ref="C45">INDIRECT("'" &amp; D1 &amp; "'!" &amp; "EC46")</f>
        <v>#N/A</v>
      </c>
      <c r="E45" s="170" t="str">
        <f t="shared" si="1"/>
        <v>#N/A</v>
      </c>
      <c r="BD45" s="171"/>
      <c r="BE45" s="171"/>
      <c r="BF45" s="171"/>
      <c r="BG45" s="171"/>
    </row>
    <row r="46">
      <c r="A46" s="17">
        <v>45.0</v>
      </c>
      <c r="C46" s="65" t="str">
        <f t="array" ref="C46">INDIRECT("'" &amp; D1 &amp; "'!" &amp; "EC47")</f>
        <v>#N/A</v>
      </c>
      <c r="E46" s="63" t="str">
        <f t="shared" si="1"/>
        <v>#N/A</v>
      </c>
      <c r="BD46" s="171"/>
      <c r="BE46" s="171"/>
      <c r="BF46" s="171"/>
      <c r="BG46" s="171"/>
    </row>
    <row r="47">
      <c r="A47" s="17">
        <v>46.0</v>
      </c>
      <c r="C47" s="65" t="str">
        <f t="array" ref="C47">INDIRECT("'" &amp; D1 &amp; "'!" &amp; "EC48")</f>
        <v>#N/A</v>
      </c>
      <c r="E47" s="170" t="str">
        <f t="shared" si="1"/>
        <v>#N/A</v>
      </c>
      <c r="BD47" s="171"/>
      <c r="BE47" s="171"/>
      <c r="BF47" s="171"/>
      <c r="BG47" s="171"/>
    </row>
    <row r="48">
      <c r="A48" s="17">
        <v>47.0</v>
      </c>
      <c r="C48" s="65" t="str">
        <f t="array" ref="C48">INDIRECT("'" &amp; D1 &amp; "'!" &amp; "EC49")</f>
        <v>#N/A</v>
      </c>
      <c r="E48" s="63" t="str">
        <f t="shared" si="1"/>
        <v>#N/A</v>
      </c>
      <c r="BD48" s="171"/>
      <c r="BE48" s="171"/>
      <c r="BF48" s="171"/>
      <c r="BG48" s="171"/>
    </row>
    <row r="49">
      <c r="A49" s="17">
        <v>48.0</v>
      </c>
      <c r="C49" s="65" t="str">
        <f t="array" ref="C49">INDIRECT("'" &amp; D1 &amp; "'!" &amp; "EC50")</f>
        <v>#N/A</v>
      </c>
      <c r="E49" s="170" t="str">
        <f t="shared" si="1"/>
        <v>#N/A</v>
      </c>
      <c r="BD49" s="171"/>
      <c r="BE49" s="171"/>
      <c r="BF49" s="171"/>
      <c r="BG49" s="171"/>
    </row>
    <row r="50">
      <c r="A50" s="17">
        <v>49.0</v>
      </c>
      <c r="C50" s="65" t="str">
        <f t="array" ref="C50">INDIRECT("'" &amp; D1 &amp; "'!" &amp; "EC51")</f>
        <v>#N/A</v>
      </c>
      <c r="E50" s="63" t="str">
        <f t="shared" si="1"/>
        <v>#N/A</v>
      </c>
      <c r="BD50" s="171"/>
      <c r="BE50" s="171"/>
      <c r="BF50" s="171"/>
      <c r="BG50" s="171"/>
    </row>
    <row r="51">
      <c r="A51" s="17">
        <v>50.0</v>
      </c>
      <c r="C51" s="65" t="str">
        <f t="array" ref="C51">INDIRECT("'" &amp; D1 &amp; "'!" &amp; "EC52")</f>
        <v>#N/A</v>
      </c>
      <c r="E51" s="170" t="str">
        <f t="shared" si="1"/>
        <v>#N/A</v>
      </c>
      <c r="BD51" s="171"/>
      <c r="BE51" s="171"/>
      <c r="BF51" s="171"/>
      <c r="BG51" s="171"/>
    </row>
    <row r="52">
      <c r="A52" s="17">
        <v>51.0</v>
      </c>
      <c r="C52" s="170" t="str">
        <f t="array" ref="C52">INDIRECT("'" &amp; D1 &amp; "'!" &amp; "EC53")</f>
        <v>#N/A</v>
      </c>
      <c r="E52" s="63" t="str">
        <f t="shared" si="1"/>
        <v>#N/A</v>
      </c>
      <c r="BD52" s="171"/>
      <c r="BE52" s="171"/>
      <c r="BF52" s="171"/>
      <c r="BG52" s="171"/>
    </row>
    <row r="53">
      <c r="A53" s="17">
        <v>52.0</v>
      </c>
      <c r="C53" s="170" t="str">
        <f t="array" ref="C53">INDIRECT("'" &amp; D1 &amp; "'!" &amp; "EC54")</f>
        <v>#N/A</v>
      </c>
      <c r="E53" s="170" t="str">
        <f t="shared" si="1"/>
        <v>#N/A</v>
      </c>
      <c r="BD53" s="171"/>
      <c r="BE53" s="171"/>
      <c r="BF53" s="171"/>
      <c r="BG53" s="171"/>
    </row>
    <row r="54">
      <c r="A54" s="17">
        <v>53.0</v>
      </c>
      <c r="C54" s="170" t="str">
        <f t="array" ref="C54">INDIRECT("'" &amp; D1 &amp; "'!" &amp; "EC55")</f>
        <v>#N/A</v>
      </c>
      <c r="E54" s="63" t="str">
        <f t="shared" si="1"/>
        <v>#N/A</v>
      </c>
      <c r="BD54" s="171"/>
      <c r="BE54" s="171"/>
      <c r="BF54" s="171"/>
      <c r="BG54" s="171"/>
    </row>
    <row r="55">
      <c r="A55" s="17">
        <v>54.0</v>
      </c>
      <c r="C55" s="170" t="str">
        <f t="array" ref="C55">INDIRECT("'" &amp; D1 &amp; "'!" &amp; "EC56")</f>
        <v>#N/A</v>
      </c>
      <c r="E55" s="170" t="str">
        <f t="shared" si="1"/>
        <v>#N/A</v>
      </c>
      <c r="BD55" s="171"/>
      <c r="BE55" s="171"/>
      <c r="BF55" s="171"/>
      <c r="BG55" s="171"/>
    </row>
    <row r="56">
      <c r="A56" s="17">
        <v>55.0</v>
      </c>
      <c r="C56" s="170" t="str">
        <f t="array" ref="C56">INDIRECT("'" &amp; D1 &amp; "'!" &amp; "EC57")</f>
        <v>#N/A</v>
      </c>
      <c r="E56" s="63" t="str">
        <f t="shared" si="1"/>
        <v>#N/A</v>
      </c>
      <c r="BD56" s="171"/>
      <c r="BE56" s="171"/>
      <c r="BF56" s="171"/>
      <c r="BG56" s="171"/>
    </row>
    <row r="57">
      <c r="A57" s="17">
        <v>56.0</v>
      </c>
      <c r="C57" s="170" t="str">
        <f t="array" ref="C57">INDIRECT("'" &amp; D1 &amp; "'!" &amp; "EC58")</f>
        <v>#N/A</v>
      </c>
      <c r="E57" s="170" t="str">
        <f t="shared" si="1"/>
        <v>#N/A</v>
      </c>
      <c r="BD57" s="171"/>
      <c r="BE57" s="171"/>
      <c r="BF57" s="171"/>
      <c r="BG57" s="171"/>
    </row>
    <row r="58">
      <c r="A58" s="17">
        <v>57.0</v>
      </c>
      <c r="C58" s="170" t="str">
        <f t="array" ref="C58">INDIRECT("'" &amp; D1 &amp; "'!" &amp; "EC59")</f>
        <v>#N/A</v>
      </c>
      <c r="E58" s="63" t="str">
        <f t="shared" si="1"/>
        <v>#N/A</v>
      </c>
      <c r="BD58" s="171"/>
      <c r="BE58" s="171"/>
      <c r="BF58" s="171"/>
      <c r="BG58" s="171"/>
    </row>
    <row r="59">
      <c r="A59" s="17">
        <v>58.0</v>
      </c>
      <c r="C59" s="170" t="str">
        <f t="array" ref="C59">INDIRECT("'" &amp; D1 &amp; "'!" &amp; "EC60")</f>
        <v>#N/A</v>
      </c>
      <c r="E59" s="170" t="str">
        <f t="shared" si="1"/>
        <v>#N/A</v>
      </c>
      <c r="BD59" s="171"/>
      <c r="BE59" s="171"/>
      <c r="BF59" s="171"/>
      <c r="BG59" s="171"/>
    </row>
    <row r="60">
      <c r="A60" s="17">
        <v>59.0</v>
      </c>
      <c r="C60" s="170" t="str">
        <f t="array" ref="C60">INDIRECT("'" &amp; D1 &amp; "'!" &amp; "EC61")</f>
        <v>#N/A</v>
      </c>
      <c r="E60" s="63" t="str">
        <f t="shared" si="1"/>
        <v>#N/A</v>
      </c>
      <c r="BD60" s="171"/>
      <c r="BE60" s="171"/>
      <c r="BF60" s="171"/>
      <c r="BG60" s="171"/>
    </row>
    <row r="61">
      <c r="A61" s="17">
        <v>60.0</v>
      </c>
      <c r="C61" s="170" t="str">
        <f t="array" ref="C61">INDIRECT("'" &amp; D1 &amp; "'!" &amp; "EC62")</f>
        <v>#N/A</v>
      </c>
      <c r="E61" s="170" t="str">
        <f t="shared" si="1"/>
        <v>#N/A</v>
      </c>
      <c r="BD61" s="171"/>
      <c r="BE61" s="171"/>
      <c r="BF61" s="171"/>
      <c r="BG61" s="171"/>
    </row>
    <row r="62">
      <c r="A62" s="17">
        <v>61.0</v>
      </c>
      <c r="C62" s="170" t="str">
        <f t="array" ref="C62">INDIRECT("'" &amp; D1 &amp; "'!" &amp; "EC63")</f>
        <v>#N/A</v>
      </c>
      <c r="E62" s="63" t="str">
        <f t="shared" si="1"/>
        <v>#N/A</v>
      </c>
      <c r="BD62" s="171"/>
      <c r="BE62" s="171"/>
      <c r="BF62" s="171"/>
      <c r="BG62" s="171"/>
    </row>
    <row r="63">
      <c r="A63" s="17">
        <v>62.0</v>
      </c>
      <c r="C63" s="170" t="str">
        <f t="array" ref="C63">INDIRECT("'" &amp; D1 &amp; "'!" &amp; "EC64")</f>
        <v>#N/A</v>
      </c>
      <c r="E63" s="170" t="str">
        <f t="shared" si="1"/>
        <v>#N/A</v>
      </c>
      <c r="BD63" s="171"/>
      <c r="BE63" s="171"/>
      <c r="BF63" s="171"/>
      <c r="BG63" s="171"/>
    </row>
    <row r="64">
      <c r="A64" s="17">
        <v>63.0</v>
      </c>
      <c r="C64" s="170" t="str">
        <f t="array" ref="C64">INDIRECT("'" &amp; D1 &amp; "'!" &amp; "EC65")</f>
        <v>#N/A</v>
      </c>
      <c r="E64" s="63" t="str">
        <f t="shared" si="1"/>
        <v>#N/A</v>
      </c>
      <c r="BD64" s="171"/>
      <c r="BE64" s="171"/>
      <c r="BF64" s="171"/>
      <c r="BG64" s="171"/>
    </row>
    <row r="65">
      <c r="A65" s="17">
        <v>64.0</v>
      </c>
      <c r="C65" s="170" t="str">
        <f t="array" ref="C65">INDIRECT("'" &amp; D1 &amp; "'!" &amp; "EC66")</f>
        <v>#N/A</v>
      </c>
      <c r="E65" s="170" t="str">
        <f t="shared" si="1"/>
        <v>#N/A</v>
      </c>
      <c r="BD65" s="171"/>
      <c r="BE65" s="171"/>
      <c r="BF65" s="171"/>
      <c r="BG65" s="171"/>
    </row>
    <row r="66">
      <c r="A66" s="17">
        <v>65.0</v>
      </c>
      <c r="C66" s="170" t="str">
        <f t="array" ref="C66">INDIRECT("'" &amp; D1 &amp; "'!" &amp; "EC67")</f>
        <v>#N/A</v>
      </c>
      <c r="E66" s="63" t="str">
        <f t="shared" si="1"/>
        <v>#N/A</v>
      </c>
      <c r="BD66" s="171"/>
      <c r="BE66" s="171"/>
      <c r="BF66" s="171"/>
      <c r="BG66" s="171"/>
    </row>
    <row r="67">
      <c r="A67" s="17">
        <v>66.0</v>
      </c>
      <c r="C67" s="170" t="str">
        <f t="array" ref="C67">INDIRECT("'" &amp; D1 &amp; "'!" &amp; "EC68")</f>
        <v>#N/A</v>
      </c>
      <c r="E67" s="170" t="str">
        <f t="shared" si="1"/>
        <v>#N/A</v>
      </c>
      <c r="BD67" s="171"/>
      <c r="BE67" s="171"/>
      <c r="BF67" s="171"/>
      <c r="BG67" s="171"/>
    </row>
    <row r="68">
      <c r="A68" s="17">
        <v>67.0</v>
      </c>
      <c r="C68" s="170" t="str">
        <f t="array" ref="C68">INDIRECT("'" &amp; D1 &amp; "'!" &amp; "EC69")</f>
        <v>#N/A</v>
      </c>
      <c r="E68" s="63" t="str">
        <f t="shared" si="1"/>
        <v>#N/A</v>
      </c>
      <c r="BD68" s="171"/>
      <c r="BE68" s="171"/>
      <c r="BF68" s="171"/>
      <c r="BG68" s="171"/>
    </row>
    <row r="69">
      <c r="A69" s="17">
        <v>68.0</v>
      </c>
      <c r="C69" s="170" t="str">
        <f t="array" ref="C69">INDIRECT("'" &amp; D1 &amp; "'!" &amp; "EC70")</f>
        <v>#N/A</v>
      </c>
      <c r="E69" s="170" t="str">
        <f t="shared" si="1"/>
        <v>#N/A</v>
      </c>
      <c r="BD69" s="171"/>
      <c r="BE69" s="171"/>
      <c r="BF69" s="171"/>
      <c r="BG69" s="171"/>
    </row>
    <row r="70">
      <c r="A70" s="17">
        <v>69.0</v>
      </c>
      <c r="C70" s="170" t="str">
        <f t="array" ref="C70">INDIRECT("'" &amp; D1 &amp; "'!" &amp; "EC71")</f>
        <v>#N/A</v>
      </c>
      <c r="E70" s="63" t="str">
        <f t="shared" si="1"/>
        <v>#N/A</v>
      </c>
      <c r="BD70" s="171"/>
      <c r="BE70" s="171"/>
      <c r="BF70" s="171"/>
      <c r="BG70" s="171"/>
    </row>
    <row r="71">
      <c r="A71" s="17">
        <v>70.0</v>
      </c>
      <c r="C71" s="170" t="str">
        <f t="array" ref="C71">INDIRECT("'" &amp; D1 &amp; "'!" &amp; "EC72")</f>
        <v>#N/A</v>
      </c>
      <c r="E71" s="170" t="str">
        <f t="shared" si="1"/>
        <v>#N/A</v>
      </c>
      <c r="BD71" s="171"/>
      <c r="BE71" s="171"/>
      <c r="BF71" s="171"/>
      <c r="BG71" s="171"/>
    </row>
    <row r="72">
      <c r="A72" s="17">
        <v>71.0</v>
      </c>
      <c r="C72" s="170" t="str">
        <f t="array" ref="C72">INDIRECT("'" &amp; D1 &amp; "'!" &amp; "EC73")</f>
        <v>#N/A</v>
      </c>
      <c r="E72" s="63" t="str">
        <f t="shared" si="1"/>
        <v>#N/A</v>
      </c>
      <c r="BD72" s="171"/>
      <c r="BE72" s="171"/>
      <c r="BF72" s="171"/>
      <c r="BG72" s="171"/>
    </row>
    <row r="73">
      <c r="A73" s="17">
        <v>72.0</v>
      </c>
      <c r="C73" s="170" t="str">
        <f t="array" ref="C73">INDIRECT("'" &amp; D1 &amp; "'!" &amp; "EC74")</f>
        <v>#N/A</v>
      </c>
      <c r="E73" s="170" t="str">
        <f t="shared" si="1"/>
        <v>#N/A</v>
      </c>
      <c r="BD73" s="171"/>
      <c r="BE73" s="171"/>
      <c r="BF73" s="171"/>
      <c r="BG73" s="171"/>
    </row>
    <row r="74">
      <c r="A74" s="17">
        <v>73.0</v>
      </c>
      <c r="C74" s="170" t="str">
        <f t="array" ref="C74">INDIRECT("'" &amp; D1 &amp; "'!" &amp; "EC75")</f>
        <v>#N/A</v>
      </c>
      <c r="E74" s="63" t="str">
        <f t="shared" si="1"/>
        <v>#N/A</v>
      </c>
      <c r="BD74" s="171"/>
      <c r="BE74" s="171"/>
      <c r="BF74" s="171"/>
      <c r="BG74" s="171"/>
    </row>
    <row r="75">
      <c r="A75" s="17">
        <v>74.0</v>
      </c>
      <c r="C75" s="170" t="str">
        <f t="array" ref="C75">INDIRECT("'" &amp; D1 &amp; "'!" &amp; "EC76")</f>
        <v>#N/A</v>
      </c>
      <c r="E75" s="170" t="str">
        <f t="shared" si="1"/>
        <v>#N/A</v>
      </c>
      <c r="BD75" s="171"/>
      <c r="BE75" s="171"/>
      <c r="BF75" s="171"/>
      <c r="BG75" s="171"/>
    </row>
    <row r="76">
      <c r="A76" s="17">
        <v>75.0</v>
      </c>
      <c r="C76" s="170" t="str">
        <f t="array" ref="C76">INDIRECT("'" &amp; D1 &amp; "'!" &amp; "EC77")</f>
        <v>#N/A</v>
      </c>
      <c r="E76" s="63" t="str">
        <f t="shared" si="1"/>
        <v>#N/A</v>
      </c>
      <c r="BD76" s="171"/>
      <c r="BE76" s="171"/>
      <c r="BF76" s="171"/>
      <c r="BG76" s="171"/>
    </row>
    <row r="77">
      <c r="A77" s="17">
        <v>76.0</v>
      </c>
      <c r="C77" s="170" t="str">
        <f t="array" ref="C77">INDIRECT("'" &amp; D1 &amp; "'!" &amp; "EC78")</f>
        <v>#N/A</v>
      </c>
      <c r="E77" s="170" t="str">
        <f t="shared" si="1"/>
        <v>#N/A</v>
      </c>
      <c r="BD77" s="171"/>
      <c r="BE77" s="171"/>
      <c r="BF77" s="171"/>
      <c r="BG77" s="171"/>
    </row>
    <row r="78">
      <c r="A78" s="17">
        <v>77.0</v>
      </c>
      <c r="C78" s="170" t="str">
        <f t="array" ref="C78">INDIRECT("'" &amp; D1 &amp; "'!" &amp; "EC79")</f>
        <v>#N/A</v>
      </c>
      <c r="E78" s="63" t="str">
        <f t="shared" si="1"/>
        <v>#N/A</v>
      </c>
      <c r="BD78" s="171"/>
      <c r="BE78" s="171"/>
      <c r="BF78" s="171"/>
      <c r="BG78" s="171"/>
    </row>
    <row r="79">
      <c r="A79" s="17">
        <v>78.0</v>
      </c>
      <c r="C79" s="170" t="str">
        <f t="array" ref="C79">INDIRECT("'" &amp; D1 &amp; "'!" &amp; "EC80")</f>
        <v>#N/A</v>
      </c>
      <c r="E79" s="170" t="str">
        <f t="shared" si="1"/>
        <v>#N/A</v>
      </c>
      <c r="BD79" s="171"/>
      <c r="BE79" s="171"/>
      <c r="BF79" s="171"/>
      <c r="BG79" s="171"/>
    </row>
    <row r="80">
      <c r="A80" s="17">
        <v>79.0</v>
      </c>
      <c r="C80" s="170" t="str">
        <f t="array" ref="C80">INDIRECT("'" &amp; D1 &amp; "'!" &amp; "EC81")</f>
        <v>#N/A</v>
      </c>
      <c r="E80" s="63" t="str">
        <f t="shared" si="1"/>
        <v>#N/A</v>
      </c>
      <c r="BD80" s="171"/>
      <c r="BE80" s="171"/>
      <c r="BF80" s="171"/>
      <c r="BG80" s="171"/>
    </row>
    <row r="81">
      <c r="A81" s="17">
        <v>80.0</v>
      </c>
      <c r="C81" s="170" t="str">
        <f t="array" ref="C81">INDIRECT("'" &amp; D1 &amp; "'!" &amp; "EC82")</f>
        <v>#N/A</v>
      </c>
      <c r="E81" s="170" t="str">
        <f t="shared" si="1"/>
        <v>#N/A</v>
      </c>
      <c r="BD81" s="171"/>
      <c r="BE81" s="171"/>
      <c r="BF81" s="171"/>
      <c r="BG81" s="171"/>
    </row>
    <row r="82">
      <c r="A82" s="17">
        <v>81.0</v>
      </c>
      <c r="C82" s="170" t="str">
        <f t="array" ref="C82">INDIRECT("'" &amp; D1 &amp; "'!" &amp; "EC83")</f>
        <v>#N/A</v>
      </c>
      <c r="E82" s="63" t="str">
        <f t="shared" si="1"/>
        <v>#N/A</v>
      </c>
      <c r="BD82" s="171"/>
      <c r="BE82" s="171"/>
      <c r="BF82" s="171"/>
      <c r="BG82" s="171"/>
    </row>
    <row r="83">
      <c r="A83" s="17">
        <v>82.0</v>
      </c>
      <c r="C83" s="170" t="str">
        <f t="array" ref="C83">INDIRECT("'" &amp; D1 &amp; "'!" &amp; "EC84")</f>
        <v>#N/A</v>
      </c>
      <c r="E83" s="170" t="str">
        <f t="shared" si="1"/>
        <v>#N/A</v>
      </c>
      <c r="BD83" s="171"/>
      <c r="BE83" s="171"/>
      <c r="BF83" s="171"/>
      <c r="BG83" s="171"/>
    </row>
    <row r="84">
      <c r="A84" s="17">
        <v>83.0</v>
      </c>
      <c r="C84" s="170" t="str">
        <f t="array" ref="C84">INDIRECT("'" &amp; D1 &amp; "'!" &amp; "EC85")</f>
        <v>#N/A</v>
      </c>
      <c r="E84" s="63" t="str">
        <f t="shared" si="1"/>
        <v>#N/A</v>
      </c>
      <c r="BD84" s="171"/>
      <c r="BE84" s="171"/>
      <c r="BF84" s="171"/>
      <c r="BG84" s="171"/>
    </row>
    <row r="85">
      <c r="A85" s="17">
        <v>84.0</v>
      </c>
      <c r="C85" s="170" t="str">
        <f t="array" ref="C85">INDIRECT("'" &amp; D1 &amp; "'!" &amp; "EC86")</f>
        <v>#N/A</v>
      </c>
      <c r="E85" s="170" t="str">
        <f t="shared" si="1"/>
        <v>#N/A</v>
      </c>
      <c r="BD85" s="171"/>
      <c r="BE85" s="171"/>
      <c r="BF85" s="171"/>
      <c r="BG85" s="171"/>
    </row>
    <row r="86">
      <c r="A86" s="17">
        <v>85.0</v>
      </c>
      <c r="C86" s="170" t="str">
        <f t="array" ref="C86">INDIRECT("'" &amp; D1 &amp; "'!" &amp; "EC87")</f>
        <v>#N/A</v>
      </c>
      <c r="E86" s="63" t="str">
        <f t="shared" si="1"/>
        <v>#N/A</v>
      </c>
      <c r="BD86" s="171"/>
      <c r="BE86" s="171"/>
      <c r="BF86" s="171"/>
      <c r="BG86" s="171"/>
    </row>
    <row r="87">
      <c r="A87" s="17">
        <v>86.0</v>
      </c>
      <c r="C87" s="170" t="str">
        <f t="array" ref="C87">INDIRECT("'" &amp; D1 &amp; "'!" &amp; "EC88")</f>
        <v>#N/A</v>
      </c>
      <c r="E87" s="170" t="str">
        <f t="shared" si="1"/>
        <v>#N/A</v>
      </c>
      <c r="BD87" s="171"/>
      <c r="BE87" s="171"/>
      <c r="BF87" s="171"/>
      <c r="BG87" s="171"/>
    </row>
    <row r="88">
      <c r="A88" s="17">
        <v>87.0</v>
      </c>
      <c r="C88" s="170" t="str">
        <f t="array" ref="C88">INDIRECT("'" &amp; D1 &amp; "'!" &amp; "EC89")</f>
        <v>#N/A</v>
      </c>
      <c r="E88" s="63" t="str">
        <f t="shared" si="1"/>
        <v>#N/A</v>
      </c>
      <c r="BD88" s="171"/>
      <c r="BE88" s="171"/>
      <c r="BF88" s="171"/>
      <c r="BG88" s="171"/>
    </row>
    <row r="89">
      <c r="A89" s="17">
        <v>88.0</v>
      </c>
      <c r="C89" s="170" t="str">
        <f t="array" ref="C89">INDIRECT("'" &amp; D1 &amp; "'!" &amp; "EC90")</f>
        <v>#N/A</v>
      </c>
      <c r="E89" s="170" t="str">
        <f t="shared" si="1"/>
        <v>#N/A</v>
      </c>
      <c r="BD89" s="171"/>
      <c r="BE89" s="171"/>
      <c r="BF89" s="171"/>
      <c r="BG89" s="171"/>
    </row>
    <row r="90">
      <c r="A90" s="17">
        <v>89.0</v>
      </c>
      <c r="C90" s="170" t="str">
        <f t="array" ref="C90">INDIRECT("'" &amp; D1 &amp; "'!" &amp; "EC91")</f>
        <v>#N/A</v>
      </c>
      <c r="E90" s="63" t="str">
        <f t="shared" si="1"/>
        <v>#N/A</v>
      </c>
      <c r="BD90" s="171"/>
      <c r="BE90" s="171"/>
      <c r="BF90" s="171"/>
      <c r="BG90" s="171"/>
    </row>
    <row r="91">
      <c r="A91" s="17">
        <v>90.0</v>
      </c>
      <c r="C91" s="170" t="str">
        <f t="array" ref="C91">INDIRECT("'" &amp; D1 &amp; "'!" &amp; "EC92")</f>
        <v>#N/A</v>
      </c>
      <c r="E91" s="170" t="str">
        <f t="shared" si="1"/>
        <v>#N/A</v>
      </c>
      <c r="BD91" s="171"/>
      <c r="BE91" s="171"/>
      <c r="BF91" s="171"/>
      <c r="BG91" s="171"/>
    </row>
    <row r="92">
      <c r="A92" s="17">
        <v>91.0</v>
      </c>
      <c r="C92" s="170" t="str">
        <f t="array" ref="C92">INDIRECT("'" &amp; D1 &amp; "'!" &amp; "EC93")</f>
        <v>#N/A</v>
      </c>
      <c r="E92" s="63" t="str">
        <f t="shared" si="1"/>
        <v>#N/A</v>
      </c>
      <c r="BD92" s="171"/>
      <c r="BE92" s="171"/>
      <c r="BF92" s="171"/>
      <c r="BG92" s="171"/>
    </row>
    <row r="93">
      <c r="A93" s="17">
        <v>92.0</v>
      </c>
      <c r="C93" s="170" t="str">
        <f t="array" ref="C93">INDIRECT("'" &amp; D1 &amp; "'!" &amp; "EC94")</f>
        <v>#N/A</v>
      </c>
      <c r="E93" s="170" t="str">
        <f t="shared" si="1"/>
        <v>#N/A</v>
      </c>
      <c r="BD93" s="171"/>
      <c r="BE93" s="171"/>
      <c r="BF93" s="171"/>
      <c r="BG93" s="171"/>
    </row>
    <row r="94">
      <c r="A94" s="17">
        <v>93.0</v>
      </c>
      <c r="C94" s="170" t="str">
        <f t="array" ref="C94">INDIRECT("'" &amp; D1 &amp; "'!" &amp; "EC95")</f>
        <v>#N/A</v>
      </c>
      <c r="E94" s="63" t="str">
        <f t="shared" si="1"/>
        <v>#N/A</v>
      </c>
      <c r="BD94" s="171"/>
      <c r="BE94" s="171"/>
      <c r="BF94" s="171"/>
      <c r="BG94" s="171"/>
    </row>
    <row r="95">
      <c r="A95" s="17">
        <v>94.0</v>
      </c>
      <c r="C95" s="170" t="str">
        <f t="array" ref="C95">INDIRECT("'" &amp; D1 &amp; "'!" &amp; "EC96")</f>
        <v>#N/A</v>
      </c>
      <c r="E95" s="170" t="str">
        <f t="shared" si="1"/>
        <v>#N/A</v>
      </c>
      <c r="BD95" s="171"/>
      <c r="BE95" s="171"/>
      <c r="BF95" s="171"/>
      <c r="BG95" s="171"/>
    </row>
    <row r="96">
      <c r="A96" s="17">
        <v>95.0</v>
      </c>
      <c r="C96" s="170" t="str">
        <f t="array" ref="C96">INDIRECT("'" &amp; D1 &amp; "'!" &amp; "EC97")</f>
        <v>#N/A</v>
      </c>
      <c r="E96" s="63" t="str">
        <f t="shared" si="1"/>
        <v>#N/A</v>
      </c>
      <c r="BD96" s="171"/>
      <c r="BE96" s="171"/>
      <c r="BF96" s="171"/>
      <c r="BG96" s="171"/>
    </row>
    <row r="97">
      <c r="A97" s="17">
        <v>96.0</v>
      </c>
      <c r="C97" s="170" t="str">
        <f t="array" ref="C97">INDIRECT("'" &amp; D1 &amp; "'!" &amp; "EC98")</f>
        <v>#N/A</v>
      </c>
      <c r="E97" s="170" t="str">
        <f t="shared" si="1"/>
        <v>#N/A</v>
      </c>
      <c r="BD97" s="171"/>
      <c r="BE97" s="171"/>
      <c r="BF97" s="171"/>
      <c r="BG97" s="171"/>
    </row>
    <row r="98">
      <c r="A98" s="17">
        <v>97.0</v>
      </c>
      <c r="C98" s="170" t="str">
        <f t="array" ref="C98">INDIRECT("'" &amp; D1 &amp; "'!" &amp; "EC99")</f>
        <v>#N/A</v>
      </c>
      <c r="E98" s="63" t="str">
        <f t="shared" si="1"/>
        <v>#N/A</v>
      </c>
      <c r="BD98" s="171"/>
      <c r="BE98" s="171"/>
      <c r="BF98" s="171"/>
      <c r="BG98" s="171"/>
    </row>
    <row r="99">
      <c r="A99" s="17">
        <v>98.0</v>
      </c>
      <c r="C99" s="170" t="str">
        <f t="array" ref="C99">INDIRECT("'" &amp; D1 &amp; "'!" &amp; "EC100")</f>
        <v>#N/A</v>
      </c>
      <c r="E99" s="170" t="str">
        <f t="shared" si="1"/>
        <v>#N/A</v>
      </c>
      <c r="BD99" s="171"/>
      <c r="BE99" s="171"/>
      <c r="BF99" s="171"/>
      <c r="BG99" s="171"/>
    </row>
    <row r="100">
      <c r="A100" s="17">
        <v>99.0</v>
      </c>
      <c r="C100" s="170" t="str">
        <f t="array" ref="C100">INDIRECT("'" &amp; D1 &amp; "'!" &amp; "EC101")</f>
        <v>#N/A</v>
      </c>
      <c r="E100" s="63" t="str">
        <f t="shared" si="1"/>
        <v>#N/A</v>
      </c>
      <c r="BD100" s="171"/>
      <c r="BE100" s="171"/>
      <c r="BF100" s="171"/>
      <c r="BG100" s="171"/>
    </row>
    <row r="101">
      <c r="A101" s="17">
        <v>100.0</v>
      </c>
      <c r="C101" s="170" t="str">
        <f t="array" ref="C101">INDIRECT("'" &amp; D1 &amp; "'!" &amp; "EC102")</f>
        <v>#N/A</v>
      </c>
      <c r="E101" s="170" t="str">
        <f t="shared" si="1"/>
        <v>#N/A</v>
      </c>
      <c r="BD101" s="171"/>
      <c r="BE101" s="171"/>
      <c r="BF101" s="171"/>
      <c r="BG101" s="171"/>
    </row>
    <row r="102" ht="7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6.0"/>
    <col customWidth="1" min="3" max="3" width="16.63"/>
    <col customWidth="1" min="5" max="5" width="8.25"/>
    <col customWidth="1" min="6" max="6" width="9.88"/>
    <col customWidth="1" min="7" max="7" width="12.13"/>
    <col customWidth="1" min="8" max="8" width="4.63"/>
    <col customWidth="1" min="9" max="9" width="1.75"/>
    <col customWidth="1" min="11" max="11" width="4.25"/>
    <col customWidth="1" min="13" max="13" width="4.38"/>
  </cols>
  <sheetData>
    <row r="1">
      <c r="A1" s="61" t="s">
        <v>2735</v>
      </c>
      <c r="B1" s="169" t="str">
        <f>IFERROR(__xludf.DUMMYFUNCTION("QUERY(A1:A500,""SELECT A WHERE A != 'P2 MOVES END' AND A != 'P1 MOVES END' ORDER BY A DESC"",1)"),"MOVE DATA DUMP")</f>
        <v>MOVE DATA DUMP</v>
      </c>
      <c r="C1" s="61" t="s">
        <v>2736</v>
      </c>
      <c r="D1" s="61" t="s">
        <v>2737</v>
      </c>
      <c r="E1" s="61" t="s">
        <v>2738</v>
      </c>
      <c r="F1" s="61" t="s">
        <v>2739</v>
      </c>
      <c r="G1" s="169" t="str">
        <f>IF(TRIM('Team Info From Paste'!A37) = TRIM('Team Info From Paste'!C2), 'Team Info From Paste'!E2, TRIM('Team Info From Paste'!A37))</f>
        <v>Alcremie</v>
      </c>
      <c r="I1" s="65"/>
      <c r="J1" s="169" t="str">
        <f>IF(TRIM('Team Info From Paste'!A39) = TRIM('Team Info From Paste'!C4), 'Team Info From Paste'!E4, TRIM('Team Info From Paste'!A39))</f>
        <v>Skeledirge</v>
      </c>
      <c r="K1" s="65"/>
      <c r="L1" s="169" t="str">
        <f>IF(TRIM('Team Info From Paste'!A41) = TRIM('Team Info From Paste'!C6), 'Team Info From Paste'!E6, TRIM('Team Info From Paste'!A41))</f>
        <v>Exeggutor</v>
      </c>
      <c r="M1" s="65"/>
      <c r="N1" s="65"/>
      <c r="O1" s="258"/>
      <c r="P1" s="65"/>
      <c r="Q1" s="65"/>
      <c r="R1" s="65"/>
      <c r="S1" s="258"/>
      <c r="T1" s="65"/>
      <c r="U1" s="65"/>
      <c r="V1" s="65"/>
      <c r="X1" s="65"/>
      <c r="Y1" s="65"/>
      <c r="Z1" s="65"/>
      <c r="AB1" s="65"/>
      <c r="AC1" s="65"/>
      <c r="AD1" s="65"/>
    </row>
    <row r="2">
      <c r="A2" s="63" t="str">
        <f>IFERROR(__xludf.DUMMYFUNCTION("QUERY(FLATTEN('Move Data TEST'!F2:V101), ""SELECT * WHERE Col1 IS NOT NULL"")"),"Alcremie:Baby-Doll Eyes:2")</f>
        <v>Alcremie:Baby-Doll Eyes:2</v>
      </c>
      <c r="B2" s="63" t="str">
        <f>IFERROR(__xludf.DUMMYFUNCTION("""COMPUTED_VALUE"""),"Weavile:Protect:1")</f>
        <v>Weavile:Protect:1</v>
      </c>
      <c r="C2" s="63" t="str">
        <f t="shared" ref="C2:C541" si="1">IF(B2&lt;&gt;"",LEFT(B2,SEARCH(":",B2)-1), "")</f>
        <v>Weavile</v>
      </c>
      <c r="D2" s="63" t="str">
        <f>IFERROR(__xludf.DUMMYFUNCTION("REGEXREPLACE(B2,""(.*):(.*):(.*)"",""$2"")"),"Protect")</f>
        <v>Protect</v>
      </c>
      <c r="E2" s="259" t="str">
        <f>IFERROR(__xludf.DUMMYFUNCTION("REGEXREPLACE(B2,""(.*):(.*):(.*)"",""$3"")"),"1")</f>
        <v>1</v>
      </c>
      <c r="F2" s="63">
        <f t="shared" ref="F2:F541" si="2">VALUE(E2)</f>
        <v>1</v>
      </c>
      <c r="G2" s="260" t="str">
        <f t="array" ref="G2:G5">TRANSPOSE('Team Info From Paste'!F2:I2)</f>
        <v>Decorate</v>
      </c>
      <c r="H2" s="63">
        <f>SUMIFS(F2:F500, C2:C500, G1, D2:D500, G2)</f>
        <v>3</v>
      </c>
      <c r="J2" s="260" t="str">
        <f t="array" ref="J2:J5">TRANSPOSE('Team Info From Paste'!F4:I4)</f>
        <v>Torch Song</v>
      </c>
      <c r="K2" s="63">
        <f>SUMIFS(F2:F500, C2:C500, J1, D2:D500, J2)</f>
        <v>3</v>
      </c>
      <c r="L2" s="260" t="str">
        <f t="array" ref="L2:L5">TRANSPOSE('Team Info From Paste'!F6:I6)</f>
        <v>Energy Ball</v>
      </c>
      <c r="M2" s="63">
        <f>SUMIFS(F2:F500, C2:C500, L1, D2:D500, L2)</f>
        <v>0</v>
      </c>
    </row>
    <row r="3">
      <c r="A3" s="63" t="str">
        <f>IFERROR(__xludf.DUMMYFUNCTION("""COMPUTED_VALUE"""),"Salamence:Dragon Dance:2")</f>
        <v>Salamence:Dragon Dance:2</v>
      </c>
      <c r="B3" s="63" t="str">
        <f>IFERROR(__xludf.DUMMYFUNCTION("""COMPUTED_VALUE"""),"Weavile:Protect:1")</f>
        <v>Weavile:Protect:1</v>
      </c>
      <c r="C3" s="63" t="str">
        <f t="shared" si="1"/>
        <v>Weavile</v>
      </c>
      <c r="D3" s="63" t="str">
        <f>IFERROR(__xludf.DUMMYFUNCTION("REGEXREPLACE(B3,""(.*):(.*):(.*)"",""$2"")"),"Protect")</f>
        <v>Protect</v>
      </c>
      <c r="E3" s="259" t="str">
        <f>IFERROR(__xludf.DUMMYFUNCTION("REGEXREPLACE(B3,""(.*):(.*):(.*)"",""$3"")"),"1")</f>
        <v>1</v>
      </c>
      <c r="F3" s="63">
        <f t="shared" si="2"/>
        <v>1</v>
      </c>
      <c r="G3" s="260" t="s">
        <v>2740</v>
      </c>
      <c r="H3" s="63">
        <f>SUMIFS(F2:F500, C2:C500, G1, D2:D500, G3)</f>
        <v>2</v>
      </c>
      <c r="J3" s="260" t="s">
        <v>2741</v>
      </c>
      <c r="K3" s="63">
        <f>SUMIFS(F2:F500, C2:C500, J1, D2:D500, J3)</f>
        <v>1</v>
      </c>
      <c r="L3" s="260" t="s">
        <v>2742</v>
      </c>
      <c r="M3" s="63">
        <f>SUMIFS(F2:F500, C2:C500, L1, D2:D500, L3)</f>
        <v>2</v>
      </c>
    </row>
    <row r="4">
      <c r="A4" s="63" t="str">
        <f>IFERROR(__xludf.DUMMYFUNCTION("""COMPUTED_VALUE"""),"Salamence:Dragon Claw:2")</f>
        <v>Salamence:Dragon Claw:2</v>
      </c>
      <c r="B4" s="63" t="str">
        <f>IFERROR(__xludf.DUMMYFUNCTION("""COMPUTED_VALUE"""),"Weavile:Ice Spinner:2")</f>
        <v>Weavile:Ice Spinner:2</v>
      </c>
      <c r="C4" s="63" t="str">
        <f t="shared" si="1"/>
        <v>Weavile</v>
      </c>
      <c r="D4" s="63" t="str">
        <f>IFERROR(__xludf.DUMMYFUNCTION("REGEXREPLACE(B4,""(.*):(.*):(.*)"",""$2"")"),"Ice Spinner")</f>
        <v>Ice Spinner</v>
      </c>
      <c r="E4" s="259" t="str">
        <f>IFERROR(__xludf.DUMMYFUNCTION("REGEXREPLACE(B4,""(.*):(.*):(.*)"",""$3"")"),"2")</f>
        <v>2</v>
      </c>
      <c r="F4" s="63">
        <f t="shared" si="2"/>
        <v>2</v>
      </c>
      <c r="G4" s="261" t="s">
        <v>2743</v>
      </c>
      <c r="H4" s="63">
        <f>SUMIFS(F2:F500, C2:C500, G1, D2:D500, G4)</f>
        <v>2</v>
      </c>
      <c r="J4" s="260" t="s">
        <v>2744</v>
      </c>
      <c r="K4" s="63">
        <f>SUMIFS(F2:F500, C2:C500, J1, D2:D500, J4)</f>
        <v>1</v>
      </c>
      <c r="L4" s="260" t="s">
        <v>2745</v>
      </c>
      <c r="M4" s="63">
        <f>SUMIFS(F2:F500, C2:C500, L1, D2:D500, L4)</f>
        <v>0</v>
      </c>
    </row>
    <row r="5">
      <c r="A5" s="63" t="str">
        <f>IFERROR(__xludf.DUMMYFUNCTION("""COMPUTED_VALUE"""),"Salamence:Dual Wingbeat:1")</f>
        <v>Salamence:Dual Wingbeat:1</v>
      </c>
      <c r="B5" s="63" t="str">
        <f>IFERROR(__xludf.DUMMYFUNCTION("""COMPUTED_VALUE"""),"Weavile:Ice Spinner:1")</f>
        <v>Weavile:Ice Spinner:1</v>
      </c>
      <c r="C5" s="63" t="str">
        <f t="shared" si="1"/>
        <v>Weavile</v>
      </c>
      <c r="D5" s="63" t="str">
        <f>IFERROR(__xludf.DUMMYFUNCTION("REGEXREPLACE(B5,""(.*):(.*):(.*)"",""$2"")"),"Ice Spinner")</f>
        <v>Ice Spinner</v>
      </c>
      <c r="E5" s="259" t="str">
        <f>IFERROR(__xludf.DUMMYFUNCTION("REGEXREPLACE(B5,""(.*):(.*):(.*)"",""$3"")"),"1")</f>
        <v>1</v>
      </c>
      <c r="F5" s="63">
        <f t="shared" si="2"/>
        <v>1</v>
      </c>
      <c r="G5" s="260" t="s">
        <v>2746</v>
      </c>
      <c r="H5" s="63">
        <f>SUMIFS(F2:F500, C2:C500, G1, D2:D500, G5)</f>
        <v>1</v>
      </c>
      <c r="J5" s="260" t="s">
        <v>2747</v>
      </c>
      <c r="K5" s="170">
        <f>SUMIFS(F2:F500, C2:C500, J1, D2:D500, J5)</f>
        <v>1</v>
      </c>
      <c r="L5" s="260" t="s">
        <v>2748</v>
      </c>
      <c r="M5" s="63">
        <f>SUMIFS(F2:F500, C2:C500, L1, D2:D500, L5)</f>
        <v>0</v>
      </c>
    </row>
    <row r="6">
      <c r="A6" s="63" t="str">
        <f>IFERROR(__xludf.DUMMYFUNCTION("""COMPUTED_VALUE"""),"Skeledirge:Will-O-Wisp:1")</f>
        <v>Skeledirge:Will-O-Wisp:1</v>
      </c>
      <c r="B6" s="63" t="str">
        <f>IFERROR(__xludf.DUMMYFUNCTION("""COMPUTED_VALUE"""),"Weavile:Ice Spinner:1")</f>
        <v>Weavile:Ice Spinner:1</v>
      </c>
      <c r="C6" s="63" t="str">
        <f t="shared" si="1"/>
        <v>Weavile</v>
      </c>
      <c r="D6" s="63" t="str">
        <f>IFERROR(__xludf.DUMMYFUNCTION("REGEXREPLACE(B6,""(.*):(.*):(.*)"",""$2"")"),"Ice Spinner")</f>
        <v>Ice Spinner</v>
      </c>
      <c r="E6" s="259" t="str">
        <f>IFERROR(__xludf.DUMMYFUNCTION("REGEXREPLACE(B6,""(.*):(.*):(.*)"",""$3"")"),"1")</f>
        <v>1</v>
      </c>
      <c r="F6" s="63">
        <f t="shared" si="2"/>
        <v>1</v>
      </c>
    </row>
    <row r="7">
      <c r="A7" s="63" t="str">
        <f>IFERROR(__xludf.DUMMYFUNCTION("""COMPUTED_VALUE"""),"Weavile:Fake Out:1")</f>
        <v>Weavile:Fake Out:1</v>
      </c>
      <c r="B7" s="63" t="str">
        <f>IFERROR(__xludf.DUMMYFUNCTION("""COMPUTED_VALUE"""),"Weavile:Foul Play:1")</f>
        <v>Weavile:Foul Play:1</v>
      </c>
      <c r="C7" s="63" t="str">
        <f t="shared" si="1"/>
        <v>Weavile</v>
      </c>
      <c r="D7" s="63" t="str">
        <f>IFERROR(__xludf.DUMMYFUNCTION("REGEXREPLACE(B7,""(.*):(.*):(.*)"",""$2"")"),"Foul Play")</f>
        <v>Foul Play</v>
      </c>
      <c r="E7" s="259" t="str">
        <f>IFERROR(__xludf.DUMMYFUNCTION("REGEXREPLACE(B7,""(.*):(.*):(.*)"",""$3"")"),"1")</f>
        <v>1</v>
      </c>
      <c r="F7" s="63">
        <f t="shared" si="2"/>
        <v>1</v>
      </c>
      <c r="G7" s="169" t="str">
        <f>IF(TRIM('Team Info From Paste'!A38) = TRIM('Team Info From Paste'!C3), 'Team Info From Paste'!E3, TRIM('Team Info From Paste'!A38))</f>
        <v>Weavile</v>
      </c>
      <c r="J7" s="169" t="str">
        <f>IF(TRIM('Team Info From Paste'!A40) = TRIM('Team Info From Paste'!C5), 'Team Info From Paste'!E5, TRIM('Team Info From Paste'!A40))</f>
        <v>Gholdengo</v>
      </c>
      <c r="L7" s="169" t="str">
        <f>IF(TRIM('Team Info From Paste'!A42) = TRIM('Team Info From Paste'!C7), 'Team Info From Paste'!E7, TRIM('Team Info From Paste'!A42))</f>
        <v>Salamence</v>
      </c>
    </row>
    <row r="8">
      <c r="A8" s="63" t="str">
        <f>IFERROR(__xludf.DUMMYFUNCTION("""COMPUTED_VALUE"""),"P1 MOVES END")</f>
        <v>P1 MOVES END</v>
      </c>
      <c r="B8" s="63" t="str">
        <f>IFERROR(__xludf.DUMMYFUNCTION("""COMPUTED_VALUE"""),"Weavile:Foul Play:1")</f>
        <v>Weavile:Foul Play:1</v>
      </c>
      <c r="C8" s="63" t="str">
        <f t="shared" si="1"/>
        <v>Weavile</v>
      </c>
      <c r="D8" s="63" t="str">
        <f>IFERROR(__xludf.DUMMYFUNCTION("REGEXREPLACE(B8,""(.*):(.*):(.*)"",""$2"")"),"Foul Play")</f>
        <v>Foul Play</v>
      </c>
      <c r="E8" s="259" t="str">
        <f>IFERROR(__xludf.DUMMYFUNCTION("REGEXREPLACE(B8,""(.*):(.*):(.*)"",""$3"")"),"1")</f>
        <v>1</v>
      </c>
      <c r="F8" s="63">
        <f t="shared" si="2"/>
        <v>1</v>
      </c>
      <c r="G8" s="260" t="str">
        <f t="array" ref="G8:G11">TRANSPOSE('Team Info From Paste'!F3:I3)</f>
        <v>Fake Out</v>
      </c>
      <c r="H8" s="63">
        <f>SUMIFS(F2:F500, C2:C500, G7, D2:D500, G8)</f>
        <v>2</v>
      </c>
      <c r="J8" s="260" t="str">
        <f t="array" ref="J8:J11">TRANSPOSE('Team Info From Paste'!F5:I5)</f>
        <v>Make It Rain</v>
      </c>
      <c r="K8" s="63">
        <f>SUMIFS(F2:F500, C2:C500, J7, D2:D500, J8)</f>
        <v>4</v>
      </c>
      <c r="L8" s="260" t="str">
        <f t="array" ref="L8:L11">TRANSPOSE('Team Info From Paste'!F7:I7)</f>
        <v>Dragon Dance</v>
      </c>
      <c r="M8" s="63">
        <f>SUMIFS(F2:F500, C2:C500, L7, D2:D500, L8)</f>
        <v>4</v>
      </c>
    </row>
    <row r="9">
      <c r="A9" s="63" t="str">
        <f>IFERROR(__xludf.DUMMYFUNCTION("""COMPUTED_VALUE"""),"Salamence:Dragon Dance:1")</f>
        <v>Salamence:Dragon Dance:1</v>
      </c>
      <c r="B9" s="63" t="str">
        <f>IFERROR(__xludf.DUMMYFUNCTION("""COMPUTED_VALUE"""),"Weavile:Fake Out:1")</f>
        <v>Weavile:Fake Out:1</v>
      </c>
      <c r="C9" s="63" t="str">
        <f t="shared" si="1"/>
        <v>Weavile</v>
      </c>
      <c r="D9" s="63" t="str">
        <f>IFERROR(__xludf.DUMMYFUNCTION("REGEXREPLACE(B9,""(.*):(.*):(.*)"",""$2"")"),"Fake Out")</f>
        <v>Fake Out</v>
      </c>
      <c r="E9" s="259" t="str">
        <f>IFERROR(__xludf.DUMMYFUNCTION("REGEXREPLACE(B9,""(.*):(.*):(.*)"",""$3"")"),"1")</f>
        <v>1</v>
      </c>
      <c r="F9" s="63">
        <f t="shared" si="2"/>
        <v>1</v>
      </c>
      <c r="G9" s="260" t="s">
        <v>2749</v>
      </c>
      <c r="H9" s="63">
        <f>SUMIFS(F2:F500, C2:C500, G7, D2:D500, G9)</f>
        <v>4</v>
      </c>
      <c r="J9" s="260" t="s">
        <v>2750</v>
      </c>
      <c r="K9" s="63">
        <f>SUMIFS(F2:F500, C2:C500, J7, D2:D500, J9)</f>
        <v>0</v>
      </c>
      <c r="L9" s="260" t="s">
        <v>2741</v>
      </c>
      <c r="M9" s="63">
        <f>SUMIFS(F2:F500, C2:C500, L7, D2:D500, L9)</f>
        <v>1</v>
      </c>
    </row>
    <row r="10">
      <c r="A10" s="63" t="str">
        <f>IFERROR(__xludf.DUMMYFUNCTION("""COMPUTED_VALUE"""),"Salamence:Dual Wingbeat:1")</f>
        <v>Salamence:Dual Wingbeat:1</v>
      </c>
      <c r="B10" s="63" t="str">
        <f>IFERROR(__xludf.DUMMYFUNCTION("""COMPUTED_VALUE"""),"Weavile:Fake Out:1")</f>
        <v>Weavile:Fake Out:1</v>
      </c>
      <c r="C10" s="63" t="str">
        <f t="shared" si="1"/>
        <v>Weavile</v>
      </c>
      <c r="D10" s="63" t="str">
        <f>IFERROR(__xludf.DUMMYFUNCTION("REGEXREPLACE(B10,""(.*):(.*):(.*)"",""$2"")"),"Fake Out")</f>
        <v>Fake Out</v>
      </c>
      <c r="E10" s="259" t="str">
        <f>IFERROR(__xludf.DUMMYFUNCTION("REGEXREPLACE(B10,""(.*):(.*):(.*)"",""$3"")"),"1")</f>
        <v>1</v>
      </c>
      <c r="F10" s="63">
        <f t="shared" si="2"/>
        <v>1</v>
      </c>
      <c r="G10" s="260" t="s">
        <v>2741</v>
      </c>
      <c r="H10" s="63">
        <f>SUMIFS(F2:F500, C2:C500, G7, D2:D500, G10)</f>
        <v>2</v>
      </c>
      <c r="J10" s="260" t="s">
        <v>2751</v>
      </c>
      <c r="K10" s="63">
        <f>SUMIFS(F2:F500, C2:C500, J7, D2:D500, J10)</f>
        <v>0</v>
      </c>
      <c r="L10" s="260" t="s">
        <v>2752</v>
      </c>
      <c r="M10" s="63">
        <f>SUMIFS(F2:F500, C2:C500, L7, D2:D500, L10)</f>
        <v>2</v>
      </c>
    </row>
    <row r="11">
      <c r="A11" s="63" t="str">
        <f>IFERROR(__xludf.DUMMYFUNCTION("""COMPUTED_VALUE"""),"Alcremie:Decorate:1")</f>
        <v>Alcremie:Decorate:1</v>
      </c>
      <c r="B11" s="63" t="str">
        <f>IFERROR(__xludf.DUMMYFUNCTION("""COMPUTED_VALUE"""),"Skeledirge:Will-O-Wisp:1")</f>
        <v>Skeledirge:Will-O-Wisp:1</v>
      </c>
      <c r="C11" s="63" t="str">
        <f t="shared" si="1"/>
        <v>Skeledirge</v>
      </c>
      <c r="D11" s="63" t="str">
        <f>IFERROR(__xludf.DUMMYFUNCTION("REGEXREPLACE(B11,""(.*):(.*):(.*)"",""$2"")"),"Will-O-Wisp")</f>
        <v>Will-O-Wisp</v>
      </c>
      <c r="E11" s="259" t="str">
        <f>IFERROR(__xludf.DUMMYFUNCTION("REGEXREPLACE(B11,""(.*):(.*):(.*)"",""$3"")"),"1")</f>
        <v>1</v>
      </c>
      <c r="F11" s="63">
        <f t="shared" si="2"/>
        <v>1</v>
      </c>
      <c r="G11" s="260" t="s">
        <v>2753</v>
      </c>
      <c r="H11" s="63">
        <f>SUMIFS(F2:F500, C2:C500, G7, D2:D500, G11)</f>
        <v>2</v>
      </c>
      <c r="J11" s="260" t="s">
        <v>2754</v>
      </c>
      <c r="K11" s="63">
        <f>SUMIFS(F2:F500, C2:C500, J7, D2:D500, J11)</f>
        <v>0</v>
      </c>
      <c r="L11" s="260" t="s">
        <v>2755</v>
      </c>
      <c r="M11" s="63">
        <f>SUMIFS(F2:F500, C2:C500, L7, D2:D500, L11)</f>
        <v>3</v>
      </c>
    </row>
    <row r="12">
      <c r="A12" s="63" t="str">
        <f>IFERROR(__xludf.DUMMYFUNCTION("""COMPUTED_VALUE"""),"Alcremie:Calm Mind:1")</f>
        <v>Alcremie:Calm Mind:1</v>
      </c>
      <c r="B12" s="63" t="str">
        <f>IFERROR(__xludf.DUMMYFUNCTION("""COMPUTED_VALUE"""),"Skeledirge:Torch Song:2")</f>
        <v>Skeledirge:Torch Song:2</v>
      </c>
      <c r="C12" s="63" t="str">
        <f t="shared" si="1"/>
        <v>Skeledirge</v>
      </c>
      <c r="D12" s="63" t="str">
        <f>IFERROR(__xludf.DUMMYFUNCTION("REGEXREPLACE(B12,""(.*):(.*):(.*)"",""$2"")"),"Torch Song")</f>
        <v>Torch Song</v>
      </c>
      <c r="E12" s="259" t="str">
        <f>IFERROR(__xludf.DUMMYFUNCTION("REGEXREPLACE(B12,""(.*):(.*):(.*)"",""$3"")"),"2")</f>
        <v>2</v>
      </c>
      <c r="F12" s="63">
        <f t="shared" si="2"/>
        <v>2</v>
      </c>
    </row>
    <row r="13">
      <c r="A13" s="63" t="str">
        <f>IFERROR(__xludf.DUMMYFUNCTION("""COMPUTED_VALUE"""),"Gholdengo:Make It Rain:4")</f>
        <v>Gholdengo:Make It Rain:4</v>
      </c>
      <c r="B13" s="63" t="str">
        <f>IFERROR(__xludf.DUMMYFUNCTION("""COMPUTED_VALUE"""),"Skeledirge:Torch Song:1")</f>
        <v>Skeledirge:Torch Song:1</v>
      </c>
      <c r="C13" s="63" t="str">
        <f t="shared" si="1"/>
        <v>Skeledirge</v>
      </c>
      <c r="D13" s="63" t="str">
        <f>IFERROR(__xludf.DUMMYFUNCTION("REGEXREPLACE(B13,""(.*):(.*):(.*)"",""$2"")"),"Torch Song")</f>
        <v>Torch Song</v>
      </c>
      <c r="E13" s="259" t="str">
        <f>IFERROR(__xludf.DUMMYFUNCTION("REGEXREPLACE(B13,""(.*):(.*):(.*)"",""$3"")"),"1")</f>
        <v>1</v>
      </c>
      <c r="F13" s="63">
        <f t="shared" si="2"/>
        <v>1</v>
      </c>
    </row>
    <row r="14">
      <c r="A14" s="63" t="str">
        <f>IFERROR(__xludf.DUMMYFUNCTION("""COMPUTED_VALUE"""),"Weavile:Fake Out:1")</f>
        <v>Weavile:Fake Out:1</v>
      </c>
      <c r="B14" s="63" t="str">
        <f>IFERROR(__xludf.DUMMYFUNCTION("""COMPUTED_VALUE"""),"Skeledirge:Tera Blast:1")</f>
        <v>Skeledirge:Tera Blast:1</v>
      </c>
      <c r="C14" s="63" t="str">
        <f t="shared" si="1"/>
        <v>Skeledirge</v>
      </c>
      <c r="D14" s="63" t="str">
        <f>IFERROR(__xludf.DUMMYFUNCTION("REGEXREPLACE(B14,""(.*):(.*):(.*)"",""$2"")"),"Tera Blast")</f>
        <v>Tera Blast</v>
      </c>
      <c r="E14" s="259" t="str">
        <f>IFERROR(__xludf.DUMMYFUNCTION("REGEXREPLACE(B14,""(.*):(.*):(.*)"",""$3"")"),"1")</f>
        <v>1</v>
      </c>
      <c r="F14" s="63">
        <f t="shared" si="2"/>
        <v>1</v>
      </c>
    </row>
    <row r="15">
      <c r="A15" s="63" t="str">
        <f>IFERROR(__xludf.DUMMYFUNCTION("""COMPUTED_VALUE"""),"Weavile:Protect:1")</f>
        <v>Weavile:Protect:1</v>
      </c>
      <c r="B15" s="63" t="str">
        <f>IFERROR(__xludf.DUMMYFUNCTION("""COMPUTED_VALUE"""),"Skeledirge:Protect:1")</f>
        <v>Skeledirge:Protect:1</v>
      </c>
      <c r="C15" s="63" t="str">
        <f t="shared" si="1"/>
        <v>Skeledirge</v>
      </c>
      <c r="D15" s="63" t="str">
        <f>IFERROR(__xludf.DUMMYFUNCTION("REGEXREPLACE(B15,""(.*):(.*):(.*)"",""$2"")"),"Protect")</f>
        <v>Protect</v>
      </c>
      <c r="E15" s="259" t="str">
        <f>IFERROR(__xludf.DUMMYFUNCTION("REGEXREPLACE(B15,""(.*):(.*):(.*)"",""$3"")"),"1")</f>
        <v>1</v>
      </c>
      <c r="F15" s="63">
        <f t="shared" si="2"/>
        <v>1</v>
      </c>
    </row>
    <row r="16">
      <c r="A16" s="63" t="str">
        <f>IFERROR(__xludf.DUMMYFUNCTION("""COMPUTED_VALUE"""),"Weavile:Ice Spinner:1")</f>
        <v>Weavile:Ice Spinner:1</v>
      </c>
      <c r="B16" s="63" t="str">
        <f>IFERROR(__xludf.DUMMYFUNCTION("""COMPUTED_VALUE"""),"Salamence:Protect:1")</f>
        <v>Salamence:Protect:1</v>
      </c>
      <c r="C16" s="63" t="str">
        <f t="shared" si="1"/>
        <v>Salamence</v>
      </c>
      <c r="D16" s="63" t="str">
        <f>IFERROR(__xludf.DUMMYFUNCTION("REGEXREPLACE(B16,""(.*):(.*):(.*)"",""$2"")"),"Protect")</f>
        <v>Protect</v>
      </c>
      <c r="E16" s="259" t="str">
        <f>IFERROR(__xludf.DUMMYFUNCTION("REGEXREPLACE(B16,""(.*):(.*):(.*)"",""$3"")"),"1")</f>
        <v>1</v>
      </c>
      <c r="F16" s="63">
        <f t="shared" si="2"/>
        <v>1</v>
      </c>
    </row>
    <row r="17">
      <c r="A17" s="63" t="str">
        <f>IFERROR(__xludf.DUMMYFUNCTION("""COMPUTED_VALUE"""),"Weavile:Foul Play:1")</f>
        <v>Weavile:Foul Play:1</v>
      </c>
      <c r="B17" s="63" t="str">
        <f>IFERROR(__xludf.DUMMYFUNCTION("""COMPUTED_VALUE"""),"Salamence:Dual Wingbeat:1")</f>
        <v>Salamence:Dual Wingbeat:1</v>
      </c>
      <c r="C17" s="63" t="str">
        <f t="shared" si="1"/>
        <v>Salamence</v>
      </c>
      <c r="D17" s="63" t="str">
        <f>IFERROR(__xludf.DUMMYFUNCTION("REGEXREPLACE(B17,""(.*):(.*):(.*)"",""$2"")"),"Dual Wingbeat")</f>
        <v>Dual Wingbeat</v>
      </c>
      <c r="E17" s="259" t="str">
        <f>IFERROR(__xludf.DUMMYFUNCTION("REGEXREPLACE(B17,""(.*):(.*):(.*)"",""$3"")"),"1")</f>
        <v>1</v>
      </c>
      <c r="F17" s="63">
        <f t="shared" si="2"/>
        <v>1</v>
      </c>
    </row>
    <row r="18">
      <c r="A18" s="63" t="str">
        <f>IFERROR(__xludf.DUMMYFUNCTION("""COMPUTED_VALUE"""),"P1 MOVES END")</f>
        <v>P1 MOVES END</v>
      </c>
      <c r="B18" s="63" t="str">
        <f>IFERROR(__xludf.DUMMYFUNCTION("""COMPUTED_VALUE"""),"Salamence:Dual Wingbeat:1")</f>
        <v>Salamence:Dual Wingbeat:1</v>
      </c>
      <c r="C18" s="63" t="str">
        <f t="shared" si="1"/>
        <v>Salamence</v>
      </c>
      <c r="D18" s="63" t="str">
        <f>IFERROR(__xludf.DUMMYFUNCTION("REGEXREPLACE(B18,""(.*):(.*):(.*)"",""$2"")"),"Dual Wingbeat")</f>
        <v>Dual Wingbeat</v>
      </c>
      <c r="E18" s="259" t="str">
        <f>IFERROR(__xludf.DUMMYFUNCTION("REGEXREPLACE(B18,""(.*):(.*):(.*)"",""$3"")"),"1")</f>
        <v>1</v>
      </c>
      <c r="F18" s="63">
        <f t="shared" si="2"/>
        <v>1</v>
      </c>
    </row>
    <row r="19">
      <c r="A19" s="63" t="str">
        <f>IFERROR(__xludf.DUMMYFUNCTION("""COMPUTED_VALUE"""),"Skeledirge:Torch Song:1")</f>
        <v>Skeledirge:Torch Song:1</v>
      </c>
      <c r="B19" s="63" t="str">
        <f>IFERROR(__xludf.DUMMYFUNCTION("""COMPUTED_VALUE"""),"Salamence:Dual Wingbeat:1")</f>
        <v>Salamence:Dual Wingbeat:1</v>
      </c>
      <c r="C19" s="63" t="str">
        <f t="shared" si="1"/>
        <v>Salamence</v>
      </c>
      <c r="D19" s="63" t="str">
        <f>IFERROR(__xludf.DUMMYFUNCTION("REGEXREPLACE(B19,""(.*):(.*):(.*)"",""$2"")"),"Dual Wingbeat")</f>
        <v>Dual Wingbeat</v>
      </c>
      <c r="E19" s="259" t="str">
        <f>IFERROR(__xludf.DUMMYFUNCTION("REGEXREPLACE(B19,""(.*):(.*):(.*)"",""$3"")"),"1")</f>
        <v>1</v>
      </c>
      <c r="F19" s="63">
        <f t="shared" si="2"/>
        <v>1</v>
      </c>
    </row>
    <row r="20">
      <c r="A20" s="63" t="str">
        <f>IFERROR(__xludf.DUMMYFUNCTION("""COMPUTED_VALUE"""),"Skeledirge:Tera Blast:1")</f>
        <v>Skeledirge:Tera Blast:1</v>
      </c>
      <c r="B20" s="63" t="str">
        <f>IFERROR(__xludf.DUMMYFUNCTION("""COMPUTED_VALUE"""),"Salamence:Dragon Dance:2")</f>
        <v>Salamence:Dragon Dance:2</v>
      </c>
      <c r="C20" s="63" t="str">
        <f t="shared" si="1"/>
        <v>Salamence</v>
      </c>
      <c r="D20" s="63" t="str">
        <f>IFERROR(__xludf.DUMMYFUNCTION("REGEXREPLACE(B20,""(.*):(.*):(.*)"",""$2"")"),"Dragon Dance")</f>
        <v>Dragon Dance</v>
      </c>
      <c r="E20" s="259" t="str">
        <f>IFERROR(__xludf.DUMMYFUNCTION("REGEXREPLACE(B20,""(.*):(.*):(.*)"",""$3"")"),"2")</f>
        <v>2</v>
      </c>
      <c r="F20" s="63">
        <f t="shared" si="2"/>
        <v>2</v>
      </c>
    </row>
    <row r="21">
      <c r="A21" s="63" t="str">
        <f>IFERROR(__xludf.DUMMYFUNCTION("""COMPUTED_VALUE"""),"Alcremie:Decorate:1")</f>
        <v>Alcremie:Decorate:1</v>
      </c>
      <c r="B21" s="63" t="str">
        <f>IFERROR(__xludf.DUMMYFUNCTION("""COMPUTED_VALUE"""),"Salamence:Dragon Dance:1")</f>
        <v>Salamence:Dragon Dance:1</v>
      </c>
      <c r="C21" s="63" t="str">
        <f t="shared" si="1"/>
        <v>Salamence</v>
      </c>
      <c r="D21" s="63" t="str">
        <f>IFERROR(__xludf.DUMMYFUNCTION("REGEXREPLACE(B21,""(.*):(.*):(.*)"",""$2"")"),"Dragon Dance")</f>
        <v>Dragon Dance</v>
      </c>
      <c r="E21" s="259" t="str">
        <f>IFERROR(__xludf.DUMMYFUNCTION("REGEXREPLACE(B21,""(.*):(.*):(.*)"",""$3"")"),"1")</f>
        <v>1</v>
      </c>
      <c r="F21" s="63">
        <f t="shared" si="2"/>
        <v>1</v>
      </c>
    </row>
    <row r="22">
      <c r="A22" s="63" t="str">
        <f>IFERROR(__xludf.DUMMYFUNCTION("""COMPUTED_VALUE"""),"Exeggutor:Draco Meteor:2")</f>
        <v>Exeggutor:Draco Meteor:2</v>
      </c>
      <c r="B22" s="63" t="str">
        <f>IFERROR(__xludf.DUMMYFUNCTION("""COMPUTED_VALUE"""),"Salamence:Dragon Dance:1")</f>
        <v>Salamence:Dragon Dance:1</v>
      </c>
      <c r="C22" s="63" t="str">
        <f t="shared" si="1"/>
        <v>Salamence</v>
      </c>
      <c r="D22" s="63" t="str">
        <f>IFERROR(__xludf.DUMMYFUNCTION("REGEXREPLACE(B22,""(.*):(.*):(.*)"",""$2"")"),"Dragon Dance")</f>
        <v>Dragon Dance</v>
      </c>
      <c r="E22" s="259" t="str">
        <f>IFERROR(__xludf.DUMMYFUNCTION("REGEXREPLACE(B22,""(.*):(.*):(.*)"",""$3"")"),"1")</f>
        <v>1</v>
      </c>
      <c r="F22" s="63">
        <f t="shared" si="2"/>
        <v>1</v>
      </c>
    </row>
    <row r="23">
      <c r="A23" s="63" t="str">
        <f>IFERROR(__xludf.DUMMYFUNCTION("""COMPUTED_VALUE"""),"Weavile:Ice Spinner:1")</f>
        <v>Weavile:Ice Spinner:1</v>
      </c>
      <c r="B23" s="63" t="str">
        <f>IFERROR(__xludf.DUMMYFUNCTION("""COMPUTED_VALUE"""),"Salamence:Dragon Claw:2")</f>
        <v>Salamence:Dragon Claw:2</v>
      </c>
      <c r="C23" s="63" t="str">
        <f t="shared" si="1"/>
        <v>Salamence</v>
      </c>
      <c r="D23" s="63" t="str">
        <f>IFERROR(__xludf.DUMMYFUNCTION("REGEXREPLACE(B23,""(.*):(.*):(.*)"",""$2"")"),"Dragon Claw")</f>
        <v>Dragon Claw</v>
      </c>
      <c r="E23" s="259" t="str">
        <f>IFERROR(__xludf.DUMMYFUNCTION("REGEXREPLACE(B23,""(.*):(.*):(.*)"",""$3"")"),"2")</f>
        <v>2</v>
      </c>
      <c r="F23" s="63">
        <f t="shared" si="2"/>
        <v>2</v>
      </c>
    </row>
    <row r="24">
      <c r="A24" s="63" t="str">
        <f>IFERROR(__xludf.DUMMYFUNCTION("""COMPUTED_VALUE"""),"Weavile:Foul Play:1")</f>
        <v>Weavile:Foul Play:1</v>
      </c>
      <c r="B24" s="63" t="str">
        <f>IFERROR(__xludf.DUMMYFUNCTION("""COMPUTED_VALUE"""),"Gholdengo:Make It Rain:4")</f>
        <v>Gholdengo:Make It Rain:4</v>
      </c>
      <c r="C24" s="63" t="str">
        <f t="shared" si="1"/>
        <v>Gholdengo</v>
      </c>
      <c r="D24" s="63" t="str">
        <f>IFERROR(__xludf.DUMMYFUNCTION("REGEXREPLACE(B24,""(.*):(.*):(.*)"",""$2"")"),"Make It Rain")</f>
        <v>Make It Rain</v>
      </c>
      <c r="E24" s="259" t="str">
        <f>IFERROR(__xludf.DUMMYFUNCTION("REGEXREPLACE(B24,""(.*):(.*):(.*)"",""$3"")"),"4")</f>
        <v>4</v>
      </c>
      <c r="F24" s="63">
        <f t="shared" si="2"/>
        <v>4</v>
      </c>
    </row>
    <row r="25">
      <c r="A25" s="63" t="str">
        <f>IFERROR(__xludf.DUMMYFUNCTION("""COMPUTED_VALUE"""),"P1 MOVES END")</f>
        <v>P1 MOVES END</v>
      </c>
      <c r="B25" s="63" t="str">
        <f>IFERROR(__xludf.DUMMYFUNCTION("""COMPUTED_VALUE"""),"Exeggutor:Draco Meteor:2")</f>
        <v>Exeggutor:Draco Meteor:2</v>
      </c>
      <c r="C25" s="63" t="str">
        <f t="shared" si="1"/>
        <v>Exeggutor</v>
      </c>
      <c r="D25" s="63" t="str">
        <f>IFERROR(__xludf.DUMMYFUNCTION("REGEXREPLACE(B25,""(.*):(.*):(.*)"",""$2"")"),"Draco Meteor")</f>
        <v>Draco Meteor</v>
      </c>
      <c r="E25" s="259" t="str">
        <f>IFERROR(__xludf.DUMMYFUNCTION("REGEXREPLACE(B25,""(.*):(.*):(.*)"",""$3"")"),"2")</f>
        <v>2</v>
      </c>
      <c r="F25" s="63">
        <f t="shared" si="2"/>
        <v>2</v>
      </c>
    </row>
    <row r="26">
      <c r="A26" s="63" t="str">
        <f>IFERROR(__xludf.DUMMYFUNCTION("""COMPUTED_VALUE"""),"Salamence:Dragon Dance:1")</f>
        <v>Salamence:Dragon Dance:1</v>
      </c>
      <c r="B26" s="63" t="str">
        <f>IFERROR(__xludf.DUMMYFUNCTION("""COMPUTED_VALUE"""),"Alcremie:Draining Kiss:1")</f>
        <v>Alcremie:Draining Kiss:1</v>
      </c>
      <c r="C26" s="63" t="str">
        <f t="shared" si="1"/>
        <v>Alcremie</v>
      </c>
      <c r="D26" s="63" t="str">
        <f>IFERROR(__xludf.DUMMYFUNCTION("REGEXREPLACE(B26,""(.*):(.*):(.*)"",""$2"")"),"Draining Kiss")</f>
        <v>Draining Kiss</v>
      </c>
      <c r="E26" s="259" t="str">
        <f>IFERROR(__xludf.DUMMYFUNCTION("REGEXREPLACE(B26,""(.*):(.*):(.*)"",""$3"")"),"1")</f>
        <v>1</v>
      </c>
      <c r="F26" s="63">
        <f t="shared" si="2"/>
        <v>1</v>
      </c>
    </row>
    <row r="27">
      <c r="A27" s="63" t="str">
        <f>IFERROR(__xludf.DUMMYFUNCTION("""COMPUTED_VALUE"""),"Salamence:Dual Wingbeat:1")</f>
        <v>Salamence:Dual Wingbeat:1</v>
      </c>
      <c r="B27" s="63" t="str">
        <f>IFERROR(__xludf.DUMMYFUNCTION("""COMPUTED_VALUE"""),"Alcremie:Decorate:1")</f>
        <v>Alcremie:Decorate:1</v>
      </c>
      <c r="C27" s="63" t="str">
        <f t="shared" si="1"/>
        <v>Alcremie</v>
      </c>
      <c r="D27" s="63" t="str">
        <f>IFERROR(__xludf.DUMMYFUNCTION("REGEXREPLACE(B27,""(.*):(.*):(.*)"",""$2"")"),"Decorate")</f>
        <v>Decorate</v>
      </c>
      <c r="E27" s="259" t="str">
        <f>IFERROR(__xludf.DUMMYFUNCTION("REGEXREPLACE(B27,""(.*):(.*):(.*)"",""$3"")"),"1")</f>
        <v>1</v>
      </c>
      <c r="F27" s="63">
        <f t="shared" si="2"/>
        <v>1</v>
      </c>
    </row>
    <row r="28">
      <c r="A28" s="63" t="str">
        <f>IFERROR(__xludf.DUMMYFUNCTION("""COMPUTED_VALUE"""),"Salamence:Protect:1")</f>
        <v>Salamence:Protect:1</v>
      </c>
      <c r="B28" s="63" t="str">
        <f>IFERROR(__xludf.DUMMYFUNCTION("""COMPUTED_VALUE"""),"Alcremie:Decorate:1")</f>
        <v>Alcremie:Decorate:1</v>
      </c>
      <c r="C28" s="63" t="str">
        <f t="shared" si="1"/>
        <v>Alcremie</v>
      </c>
      <c r="D28" s="63" t="str">
        <f>IFERROR(__xludf.DUMMYFUNCTION("REGEXREPLACE(B28,""(.*):(.*):(.*)"",""$2"")"),"Decorate")</f>
        <v>Decorate</v>
      </c>
      <c r="E28" s="259" t="str">
        <f>IFERROR(__xludf.DUMMYFUNCTION("REGEXREPLACE(B28,""(.*):(.*):(.*)"",""$3"")"),"1")</f>
        <v>1</v>
      </c>
      <c r="F28" s="63">
        <f t="shared" si="2"/>
        <v>1</v>
      </c>
    </row>
    <row r="29">
      <c r="A29" s="63" t="str">
        <f>IFERROR(__xludf.DUMMYFUNCTION("""COMPUTED_VALUE"""),"Alcremie:Decorate:1")</f>
        <v>Alcremie:Decorate:1</v>
      </c>
      <c r="B29" s="63" t="str">
        <f>IFERROR(__xludf.DUMMYFUNCTION("""COMPUTED_VALUE"""),"Alcremie:Decorate:1")</f>
        <v>Alcremie:Decorate:1</v>
      </c>
      <c r="C29" s="63" t="str">
        <f t="shared" si="1"/>
        <v>Alcremie</v>
      </c>
      <c r="D29" s="63" t="str">
        <f>IFERROR(__xludf.DUMMYFUNCTION("REGEXREPLACE(B29,""(.*):(.*):(.*)"",""$2"")"),"Decorate")</f>
        <v>Decorate</v>
      </c>
      <c r="E29" s="259" t="str">
        <f>IFERROR(__xludf.DUMMYFUNCTION("REGEXREPLACE(B29,""(.*):(.*):(.*)"",""$3"")"),"1")</f>
        <v>1</v>
      </c>
      <c r="F29" s="63">
        <f t="shared" si="2"/>
        <v>1</v>
      </c>
    </row>
    <row r="30">
      <c r="A30" s="63" t="str">
        <f>IFERROR(__xludf.DUMMYFUNCTION("""COMPUTED_VALUE"""),"Alcremie:Calm Mind:1")</f>
        <v>Alcremie:Calm Mind:1</v>
      </c>
      <c r="B30" s="63" t="str">
        <f>IFERROR(__xludf.DUMMYFUNCTION("""COMPUTED_VALUE"""),"Alcremie:Calm Mind:1")</f>
        <v>Alcremie:Calm Mind:1</v>
      </c>
      <c r="C30" s="63" t="str">
        <f t="shared" si="1"/>
        <v>Alcremie</v>
      </c>
      <c r="D30" s="63" t="str">
        <f>IFERROR(__xludf.DUMMYFUNCTION("REGEXREPLACE(B30,""(.*):(.*):(.*)"",""$2"")"),"Calm Mind")</f>
        <v>Calm Mind</v>
      </c>
      <c r="E30" s="259" t="str">
        <f>IFERROR(__xludf.DUMMYFUNCTION("REGEXREPLACE(B30,""(.*):(.*):(.*)"",""$3"")"),"1")</f>
        <v>1</v>
      </c>
      <c r="F30" s="63">
        <f t="shared" si="2"/>
        <v>1</v>
      </c>
    </row>
    <row r="31">
      <c r="A31" s="63" t="str">
        <f>IFERROR(__xludf.DUMMYFUNCTION("""COMPUTED_VALUE"""),"Alcremie:Draining Kiss:1")</f>
        <v>Alcremie:Draining Kiss:1</v>
      </c>
      <c r="B31" s="63" t="str">
        <f>IFERROR(__xludf.DUMMYFUNCTION("""COMPUTED_VALUE"""),"Alcremie:Calm Mind:1")</f>
        <v>Alcremie:Calm Mind:1</v>
      </c>
      <c r="C31" s="63" t="str">
        <f t="shared" si="1"/>
        <v>Alcremie</v>
      </c>
      <c r="D31" s="63" t="str">
        <f>IFERROR(__xludf.DUMMYFUNCTION("REGEXREPLACE(B31,""(.*):(.*):(.*)"",""$2"")"),"Calm Mind")</f>
        <v>Calm Mind</v>
      </c>
      <c r="E31" s="259" t="str">
        <f>IFERROR(__xludf.DUMMYFUNCTION("REGEXREPLACE(B31,""(.*):(.*):(.*)"",""$3"")"),"1")</f>
        <v>1</v>
      </c>
      <c r="F31" s="63">
        <f t="shared" si="2"/>
        <v>1</v>
      </c>
    </row>
    <row r="32">
      <c r="A32" s="63" t="str">
        <f>IFERROR(__xludf.DUMMYFUNCTION("""COMPUTED_VALUE"""),"Skeledirge:Protect:1")</f>
        <v>Skeledirge:Protect:1</v>
      </c>
      <c r="B32" s="63" t="str">
        <f>IFERROR(__xludf.DUMMYFUNCTION("""COMPUTED_VALUE"""),"Alcremie:Baby-Doll Eyes:2")</f>
        <v>Alcremie:Baby-Doll Eyes:2</v>
      </c>
      <c r="C32" s="63" t="str">
        <f t="shared" si="1"/>
        <v>Alcremie</v>
      </c>
      <c r="D32" s="63" t="str">
        <f>IFERROR(__xludf.DUMMYFUNCTION("REGEXREPLACE(B32,""(.*):(.*):(.*)"",""$2"")"),"Baby-Doll Eyes")</f>
        <v>Baby-Doll Eyes</v>
      </c>
      <c r="E32" s="259" t="str">
        <f>IFERROR(__xludf.DUMMYFUNCTION("REGEXREPLACE(B32,""(.*):(.*):(.*)"",""$3"")"),"2")</f>
        <v>2</v>
      </c>
      <c r="F32" s="63">
        <f t="shared" si="2"/>
        <v>2</v>
      </c>
    </row>
    <row r="33">
      <c r="A33" s="63" t="str">
        <f>IFERROR(__xludf.DUMMYFUNCTION("""COMPUTED_VALUE"""),"Skeledirge:Torch Song:2")</f>
        <v>Skeledirge:Torch Song:2</v>
      </c>
      <c r="B33" s="63"/>
      <c r="C33" s="63" t="str">
        <f t="shared" si="1"/>
        <v/>
      </c>
      <c r="D33" s="63" t="str">
        <f>IFERROR(__xludf.DUMMYFUNCTION("REGEXREPLACE(B33,""(.*):(.*):(.*)"",""$2"")"),"")</f>
        <v/>
      </c>
      <c r="E33" s="259" t="str">
        <f>IFERROR(__xludf.DUMMYFUNCTION("REGEXREPLACE(B33,""(.*):(.*):(.*)"",""$3"")"),"")</f>
        <v/>
      </c>
      <c r="F33" s="63">
        <f t="shared" si="2"/>
        <v>0</v>
      </c>
    </row>
    <row r="34">
      <c r="A34" s="63" t="str">
        <f>IFERROR(__xludf.DUMMYFUNCTION("""COMPUTED_VALUE"""),"Weavile:Protect:1")</f>
        <v>Weavile:Protect:1</v>
      </c>
      <c r="B34" s="63"/>
      <c r="C34" s="63" t="str">
        <f t="shared" si="1"/>
        <v/>
      </c>
      <c r="D34" s="63" t="str">
        <f>IFERROR(__xludf.DUMMYFUNCTION("REGEXREPLACE(B34,""(.*):(.*):(.*)"",""$2"")"),"")</f>
        <v/>
      </c>
      <c r="E34" s="259" t="str">
        <f>IFERROR(__xludf.DUMMYFUNCTION("REGEXREPLACE(B34,""(.*):(.*):(.*)"",""$3"")"),"")</f>
        <v/>
      </c>
      <c r="F34" s="63">
        <f t="shared" si="2"/>
        <v>0</v>
      </c>
    </row>
    <row r="35">
      <c r="A35" s="63" t="str">
        <f>IFERROR(__xludf.DUMMYFUNCTION("""COMPUTED_VALUE"""),"Weavile:Ice Spinner:2")</f>
        <v>Weavile:Ice Spinner:2</v>
      </c>
      <c r="B35" s="63"/>
      <c r="C35" s="63" t="str">
        <f t="shared" si="1"/>
        <v/>
      </c>
      <c r="D35" s="63" t="str">
        <f>IFERROR(__xludf.DUMMYFUNCTION("REGEXREPLACE(B35,""(.*):(.*):(.*)"",""$2"")"),"")</f>
        <v/>
      </c>
      <c r="E35" s="259" t="str">
        <f>IFERROR(__xludf.DUMMYFUNCTION("REGEXREPLACE(B35,""(.*):(.*):(.*)"",""$3"")"),"")</f>
        <v/>
      </c>
      <c r="F35" s="63">
        <f t="shared" si="2"/>
        <v>0</v>
      </c>
    </row>
    <row r="36">
      <c r="A36" s="63" t="str">
        <f>IFERROR(__xludf.DUMMYFUNCTION("""COMPUTED_VALUE"""),"P1 MOVES END")</f>
        <v>P1 MOVES END</v>
      </c>
      <c r="B36" s="63"/>
      <c r="C36" s="63" t="str">
        <f t="shared" si="1"/>
        <v/>
      </c>
      <c r="D36" s="63" t="str">
        <f>IFERROR(__xludf.DUMMYFUNCTION("REGEXREPLACE(B36,""(.*):(.*):(.*)"",""$2"")"),"")</f>
        <v/>
      </c>
      <c r="E36" s="259" t="str">
        <f>IFERROR(__xludf.DUMMYFUNCTION("REGEXREPLACE(B36,""(.*):(.*):(.*)"",""$3"")"),"")</f>
        <v/>
      </c>
      <c r="F36" s="63">
        <f t="shared" si="2"/>
        <v>0</v>
      </c>
    </row>
    <row r="37">
      <c r="B37" s="63"/>
      <c r="C37" s="63" t="str">
        <f t="shared" si="1"/>
        <v/>
      </c>
      <c r="D37" s="63" t="str">
        <f>IFERROR(__xludf.DUMMYFUNCTION("REGEXREPLACE(B37,""(.*):(.*):(.*)"",""$2"")"),"")</f>
        <v/>
      </c>
      <c r="E37" s="259" t="str">
        <f>IFERROR(__xludf.DUMMYFUNCTION("REGEXREPLACE(B37,""(.*):(.*):(.*)"",""$3"")"),"")</f>
        <v/>
      </c>
      <c r="F37" s="63">
        <f t="shared" si="2"/>
        <v>0</v>
      </c>
    </row>
    <row r="38">
      <c r="B38" s="63"/>
      <c r="C38" s="63" t="str">
        <f t="shared" si="1"/>
        <v/>
      </c>
      <c r="D38" s="63" t="str">
        <f>IFERROR(__xludf.DUMMYFUNCTION("REGEXREPLACE(B38,""(.*):(.*):(.*)"",""$2"")"),"")</f>
        <v/>
      </c>
      <c r="E38" s="259" t="str">
        <f>IFERROR(__xludf.DUMMYFUNCTION("REGEXREPLACE(B38,""(.*):(.*):(.*)"",""$3"")"),"")</f>
        <v/>
      </c>
      <c r="F38" s="63">
        <f t="shared" si="2"/>
        <v>0</v>
      </c>
    </row>
    <row r="39">
      <c r="B39" s="63"/>
      <c r="C39" s="63" t="str">
        <f t="shared" si="1"/>
        <v/>
      </c>
      <c r="D39" s="63" t="str">
        <f>IFERROR(__xludf.DUMMYFUNCTION("REGEXREPLACE(B39,""(.*):(.*):(.*)"",""$2"")"),"")</f>
        <v/>
      </c>
      <c r="E39" s="259" t="str">
        <f>IFERROR(__xludf.DUMMYFUNCTION("REGEXREPLACE(B39,""(.*):(.*):(.*)"",""$3"")"),"")</f>
        <v/>
      </c>
      <c r="F39" s="63">
        <f t="shared" si="2"/>
        <v>0</v>
      </c>
    </row>
    <row r="40">
      <c r="B40" s="63"/>
      <c r="C40" s="63" t="str">
        <f t="shared" si="1"/>
        <v/>
      </c>
      <c r="D40" s="63" t="str">
        <f>IFERROR(__xludf.DUMMYFUNCTION("REGEXREPLACE(B40,""(.*):(.*):(.*)"",""$2"")"),"")</f>
        <v/>
      </c>
      <c r="E40" s="259" t="str">
        <f>IFERROR(__xludf.DUMMYFUNCTION("REGEXREPLACE(B40,""(.*):(.*):(.*)"",""$3"")"),"")</f>
        <v/>
      </c>
      <c r="F40" s="63">
        <f t="shared" si="2"/>
        <v>0</v>
      </c>
    </row>
    <row r="41">
      <c r="B41" s="63"/>
      <c r="C41" s="63" t="str">
        <f t="shared" si="1"/>
        <v/>
      </c>
      <c r="D41" s="63" t="str">
        <f>IFERROR(__xludf.DUMMYFUNCTION("REGEXREPLACE(B41,""(.*):(.*):(.*)"",""$2"")"),"")</f>
        <v/>
      </c>
      <c r="E41" s="259" t="str">
        <f>IFERROR(__xludf.DUMMYFUNCTION("REGEXREPLACE(B41,""(.*):(.*):(.*)"",""$3"")"),"")</f>
        <v/>
      </c>
      <c r="F41" s="63">
        <f t="shared" si="2"/>
        <v>0</v>
      </c>
    </row>
    <row r="42">
      <c r="B42" s="63"/>
      <c r="C42" s="63" t="str">
        <f t="shared" si="1"/>
        <v/>
      </c>
      <c r="D42" s="63" t="str">
        <f>IFERROR(__xludf.DUMMYFUNCTION("REGEXREPLACE(B42,""(.*):(.*):(.*)"",""$2"")"),"")</f>
        <v/>
      </c>
      <c r="E42" s="259" t="str">
        <f>IFERROR(__xludf.DUMMYFUNCTION("REGEXREPLACE(B42,""(.*):(.*):(.*)"",""$3"")"),"")</f>
        <v/>
      </c>
      <c r="F42" s="63">
        <f t="shared" si="2"/>
        <v>0</v>
      </c>
    </row>
    <row r="43">
      <c r="B43" s="63"/>
      <c r="C43" s="63" t="str">
        <f t="shared" si="1"/>
        <v/>
      </c>
      <c r="D43" s="63" t="str">
        <f>IFERROR(__xludf.DUMMYFUNCTION("REGEXREPLACE(B43,""(.*):(.*):(.*)"",""$2"")"),"")</f>
        <v/>
      </c>
      <c r="E43" s="259" t="str">
        <f>IFERROR(__xludf.DUMMYFUNCTION("REGEXREPLACE(B43,""(.*):(.*):(.*)"",""$3"")"),"")</f>
        <v/>
      </c>
      <c r="F43" s="63">
        <f t="shared" si="2"/>
        <v>0</v>
      </c>
    </row>
    <row r="44">
      <c r="B44" s="63"/>
      <c r="C44" s="63" t="str">
        <f t="shared" si="1"/>
        <v/>
      </c>
      <c r="D44" s="63" t="str">
        <f>IFERROR(__xludf.DUMMYFUNCTION("REGEXREPLACE(B44,""(.*):(.*):(.*)"",""$2"")"),"")</f>
        <v/>
      </c>
      <c r="E44" s="259" t="str">
        <f>IFERROR(__xludf.DUMMYFUNCTION("REGEXREPLACE(B44,""(.*):(.*):(.*)"",""$3"")"),"")</f>
        <v/>
      </c>
      <c r="F44" s="63">
        <f t="shared" si="2"/>
        <v>0</v>
      </c>
    </row>
    <row r="45">
      <c r="B45" s="63"/>
      <c r="C45" s="63" t="str">
        <f t="shared" si="1"/>
        <v/>
      </c>
      <c r="D45" s="63" t="str">
        <f>IFERROR(__xludf.DUMMYFUNCTION("REGEXREPLACE(B45,""(.*):(.*):(.*)"",""$2"")"),"")</f>
        <v/>
      </c>
      <c r="E45" s="259" t="str">
        <f>IFERROR(__xludf.DUMMYFUNCTION("REGEXREPLACE(B45,""(.*):(.*):(.*)"",""$3"")"),"")</f>
        <v/>
      </c>
      <c r="F45" s="63">
        <f t="shared" si="2"/>
        <v>0</v>
      </c>
    </row>
    <row r="46">
      <c r="B46" s="63"/>
      <c r="C46" s="63" t="str">
        <f t="shared" si="1"/>
        <v/>
      </c>
      <c r="D46" s="63" t="str">
        <f>IFERROR(__xludf.DUMMYFUNCTION("REGEXREPLACE(B46,""(.*):(.*):(.*)"",""$2"")"),"")</f>
        <v/>
      </c>
      <c r="E46" s="259" t="str">
        <f>IFERROR(__xludf.DUMMYFUNCTION("REGEXREPLACE(B46,""(.*):(.*):(.*)"",""$3"")"),"")</f>
        <v/>
      </c>
      <c r="F46" s="63">
        <f t="shared" si="2"/>
        <v>0</v>
      </c>
    </row>
    <row r="47">
      <c r="B47" s="63"/>
      <c r="C47" s="63" t="str">
        <f t="shared" si="1"/>
        <v/>
      </c>
      <c r="D47" s="63" t="str">
        <f>IFERROR(__xludf.DUMMYFUNCTION("REGEXREPLACE(B47,""(.*):(.*):(.*)"",""$2"")"),"")</f>
        <v/>
      </c>
      <c r="E47" s="259" t="str">
        <f>IFERROR(__xludf.DUMMYFUNCTION("REGEXREPLACE(B47,""(.*):(.*):(.*)"",""$3"")"),"")</f>
        <v/>
      </c>
      <c r="F47" s="63">
        <f t="shared" si="2"/>
        <v>0</v>
      </c>
    </row>
    <row r="48">
      <c r="B48" s="63"/>
      <c r="C48" s="63" t="str">
        <f t="shared" si="1"/>
        <v/>
      </c>
      <c r="D48" s="63" t="str">
        <f>IFERROR(__xludf.DUMMYFUNCTION("REGEXREPLACE(B48,""(.*):(.*):(.*)"",""$2"")"),"")</f>
        <v/>
      </c>
      <c r="E48" s="259" t="str">
        <f>IFERROR(__xludf.DUMMYFUNCTION("REGEXREPLACE(B48,""(.*):(.*):(.*)"",""$3"")"),"")</f>
        <v/>
      </c>
      <c r="F48" s="63">
        <f t="shared" si="2"/>
        <v>0</v>
      </c>
    </row>
    <row r="49">
      <c r="B49" s="63"/>
      <c r="C49" s="63" t="str">
        <f t="shared" si="1"/>
        <v/>
      </c>
      <c r="D49" s="63" t="str">
        <f>IFERROR(__xludf.DUMMYFUNCTION("REGEXREPLACE(B49,""(.*):(.*):(.*)"",""$2"")"),"")</f>
        <v/>
      </c>
      <c r="E49" s="259" t="str">
        <f>IFERROR(__xludf.DUMMYFUNCTION("REGEXREPLACE(B49,""(.*):(.*):(.*)"",""$3"")"),"")</f>
        <v/>
      </c>
      <c r="F49" s="63">
        <f t="shared" si="2"/>
        <v>0</v>
      </c>
    </row>
    <row r="50">
      <c r="B50" s="63"/>
      <c r="C50" s="63" t="str">
        <f t="shared" si="1"/>
        <v/>
      </c>
      <c r="D50" s="63" t="str">
        <f>IFERROR(__xludf.DUMMYFUNCTION("REGEXREPLACE(B50,""(.*):(.*):(.*)"",""$2"")"),"")</f>
        <v/>
      </c>
      <c r="E50" s="259" t="str">
        <f>IFERROR(__xludf.DUMMYFUNCTION("REGEXREPLACE(B50,""(.*):(.*):(.*)"",""$3"")"),"")</f>
        <v/>
      </c>
      <c r="F50" s="63">
        <f t="shared" si="2"/>
        <v>0</v>
      </c>
    </row>
    <row r="51">
      <c r="B51" s="63"/>
      <c r="C51" s="63" t="str">
        <f t="shared" si="1"/>
        <v/>
      </c>
      <c r="D51" s="63" t="str">
        <f>IFERROR(__xludf.DUMMYFUNCTION("REGEXREPLACE(B51,""(.*):(.*):(.*)"",""$2"")"),"")</f>
        <v/>
      </c>
      <c r="E51" s="259" t="str">
        <f>IFERROR(__xludf.DUMMYFUNCTION("REGEXREPLACE(B51,""(.*):(.*):(.*)"",""$3"")"),"")</f>
        <v/>
      </c>
      <c r="F51" s="63">
        <f t="shared" si="2"/>
        <v>0</v>
      </c>
    </row>
    <row r="52">
      <c r="B52" s="63"/>
      <c r="C52" s="63" t="str">
        <f t="shared" si="1"/>
        <v/>
      </c>
      <c r="D52" s="63" t="str">
        <f>IFERROR(__xludf.DUMMYFUNCTION("REGEXREPLACE(B52,""(.*):(.*):(.*)"",""$2"")"),"")</f>
        <v/>
      </c>
      <c r="E52" s="259" t="str">
        <f>IFERROR(__xludf.DUMMYFUNCTION("REGEXREPLACE(B52,""(.*):(.*):(.*)"",""$3"")"),"")</f>
        <v/>
      </c>
      <c r="F52" s="63">
        <f t="shared" si="2"/>
        <v>0</v>
      </c>
    </row>
    <row r="53">
      <c r="B53" s="63"/>
      <c r="C53" s="63" t="str">
        <f t="shared" si="1"/>
        <v/>
      </c>
      <c r="D53" s="63" t="str">
        <f>IFERROR(__xludf.DUMMYFUNCTION("REGEXREPLACE(B53,""(.*):(.*):(.*)"",""$2"")"),"")</f>
        <v/>
      </c>
      <c r="E53" s="259" t="str">
        <f>IFERROR(__xludf.DUMMYFUNCTION("REGEXREPLACE(B53,""(.*):(.*):(.*)"",""$3"")"),"")</f>
        <v/>
      </c>
      <c r="F53" s="63">
        <f t="shared" si="2"/>
        <v>0</v>
      </c>
    </row>
    <row r="54">
      <c r="B54" s="63"/>
      <c r="C54" s="63" t="str">
        <f t="shared" si="1"/>
        <v/>
      </c>
      <c r="D54" s="63" t="str">
        <f>IFERROR(__xludf.DUMMYFUNCTION("REGEXREPLACE(B54,""(.*):(.*):(.*)"",""$2"")"),"")</f>
        <v/>
      </c>
      <c r="E54" s="259" t="str">
        <f>IFERROR(__xludf.DUMMYFUNCTION("REGEXREPLACE(B54,""(.*):(.*):(.*)"",""$3"")"),"")</f>
        <v/>
      </c>
      <c r="F54" s="63">
        <f t="shared" si="2"/>
        <v>0</v>
      </c>
    </row>
    <row r="55">
      <c r="B55" s="63"/>
      <c r="C55" s="63" t="str">
        <f t="shared" si="1"/>
        <v/>
      </c>
      <c r="D55" s="63" t="str">
        <f>IFERROR(__xludf.DUMMYFUNCTION("REGEXREPLACE(B55,""(.*):(.*):(.*)"",""$2"")"),"")</f>
        <v/>
      </c>
      <c r="E55" s="259" t="str">
        <f>IFERROR(__xludf.DUMMYFUNCTION("REGEXREPLACE(B55,""(.*):(.*):(.*)"",""$3"")"),"")</f>
        <v/>
      </c>
      <c r="F55" s="63">
        <f t="shared" si="2"/>
        <v>0</v>
      </c>
    </row>
    <row r="56">
      <c r="B56" s="63"/>
      <c r="C56" s="63" t="str">
        <f t="shared" si="1"/>
        <v/>
      </c>
      <c r="D56" s="63" t="str">
        <f>IFERROR(__xludf.DUMMYFUNCTION("REGEXREPLACE(B56,""(.*):(.*):(.*)"",""$2"")"),"")</f>
        <v/>
      </c>
      <c r="E56" s="259" t="str">
        <f>IFERROR(__xludf.DUMMYFUNCTION("REGEXREPLACE(B56,""(.*):(.*):(.*)"",""$3"")"),"")</f>
        <v/>
      </c>
      <c r="F56" s="63">
        <f t="shared" si="2"/>
        <v>0</v>
      </c>
    </row>
    <row r="57">
      <c r="B57" s="63"/>
      <c r="C57" s="63" t="str">
        <f t="shared" si="1"/>
        <v/>
      </c>
      <c r="D57" s="63" t="str">
        <f>IFERROR(__xludf.DUMMYFUNCTION("REGEXREPLACE(B57,""(.*):(.*):(.*)"",""$2"")"),"")</f>
        <v/>
      </c>
      <c r="E57" s="259" t="str">
        <f>IFERROR(__xludf.DUMMYFUNCTION("REGEXREPLACE(B57,""(.*):(.*):(.*)"",""$3"")"),"")</f>
        <v/>
      </c>
      <c r="F57" s="63">
        <f t="shared" si="2"/>
        <v>0</v>
      </c>
    </row>
    <row r="58">
      <c r="B58" s="63"/>
      <c r="C58" s="63" t="str">
        <f t="shared" si="1"/>
        <v/>
      </c>
      <c r="D58" s="63" t="str">
        <f>IFERROR(__xludf.DUMMYFUNCTION("REGEXREPLACE(B58,""(.*):(.*):(.*)"",""$2"")"),"")</f>
        <v/>
      </c>
      <c r="E58" s="259" t="str">
        <f>IFERROR(__xludf.DUMMYFUNCTION("REGEXREPLACE(B58,""(.*):(.*):(.*)"",""$3"")"),"")</f>
        <v/>
      </c>
      <c r="F58" s="63">
        <f t="shared" si="2"/>
        <v>0</v>
      </c>
    </row>
    <row r="59">
      <c r="B59" s="63"/>
      <c r="C59" s="63" t="str">
        <f t="shared" si="1"/>
        <v/>
      </c>
      <c r="D59" s="63" t="str">
        <f>IFERROR(__xludf.DUMMYFUNCTION("REGEXREPLACE(B59,""(.*):(.*):(.*)"",""$2"")"),"")</f>
        <v/>
      </c>
      <c r="E59" s="259" t="str">
        <f>IFERROR(__xludf.DUMMYFUNCTION("REGEXREPLACE(B59,""(.*):(.*):(.*)"",""$3"")"),"")</f>
        <v/>
      </c>
      <c r="F59" s="63">
        <f t="shared" si="2"/>
        <v>0</v>
      </c>
    </row>
    <row r="60">
      <c r="B60" s="63"/>
      <c r="C60" s="63" t="str">
        <f t="shared" si="1"/>
        <v/>
      </c>
      <c r="D60" s="63" t="str">
        <f>IFERROR(__xludf.DUMMYFUNCTION("REGEXREPLACE(B60,""(.*):(.*):(.*)"",""$2"")"),"")</f>
        <v/>
      </c>
      <c r="E60" s="259" t="str">
        <f>IFERROR(__xludf.DUMMYFUNCTION("REGEXREPLACE(B60,""(.*):(.*):(.*)"",""$3"")"),"")</f>
        <v/>
      </c>
      <c r="F60" s="63">
        <f t="shared" si="2"/>
        <v>0</v>
      </c>
    </row>
    <row r="61">
      <c r="B61" s="63"/>
      <c r="C61" s="63" t="str">
        <f t="shared" si="1"/>
        <v/>
      </c>
      <c r="D61" s="63" t="str">
        <f>IFERROR(__xludf.DUMMYFUNCTION("REGEXREPLACE(B61,""(.*):(.*):(.*)"",""$2"")"),"")</f>
        <v/>
      </c>
      <c r="E61" s="259" t="str">
        <f>IFERROR(__xludf.DUMMYFUNCTION("REGEXREPLACE(B61,""(.*):(.*):(.*)"",""$3"")"),"")</f>
        <v/>
      </c>
      <c r="F61" s="63">
        <f t="shared" si="2"/>
        <v>0</v>
      </c>
    </row>
    <row r="62">
      <c r="B62" s="63"/>
      <c r="C62" s="63" t="str">
        <f t="shared" si="1"/>
        <v/>
      </c>
      <c r="D62" s="63" t="str">
        <f>IFERROR(__xludf.DUMMYFUNCTION("REGEXREPLACE(B62,""(.*):(.*):(.*)"",""$2"")"),"")</f>
        <v/>
      </c>
      <c r="E62" s="259" t="str">
        <f>IFERROR(__xludf.DUMMYFUNCTION("REGEXREPLACE(B62,""(.*):(.*):(.*)"",""$3"")"),"")</f>
        <v/>
      </c>
      <c r="F62" s="63">
        <f t="shared" si="2"/>
        <v>0</v>
      </c>
    </row>
    <row r="63">
      <c r="B63" s="63"/>
      <c r="C63" s="63" t="str">
        <f t="shared" si="1"/>
        <v/>
      </c>
      <c r="D63" s="63" t="str">
        <f>IFERROR(__xludf.DUMMYFUNCTION("REGEXREPLACE(B63,""(.*):(.*):(.*)"",""$2"")"),"")</f>
        <v/>
      </c>
      <c r="E63" s="259" t="str">
        <f>IFERROR(__xludf.DUMMYFUNCTION("REGEXREPLACE(B63,""(.*):(.*):(.*)"",""$3"")"),"")</f>
        <v/>
      </c>
      <c r="F63" s="63">
        <f t="shared" si="2"/>
        <v>0</v>
      </c>
    </row>
    <row r="64">
      <c r="B64" s="63"/>
      <c r="C64" s="63" t="str">
        <f t="shared" si="1"/>
        <v/>
      </c>
      <c r="D64" s="63" t="str">
        <f>IFERROR(__xludf.DUMMYFUNCTION("REGEXREPLACE(B64,""(.*):(.*):(.*)"",""$2"")"),"")</f>
        <v/>
      </c>
      <c r="E64" s="259" t="str">
        <f>IFERROR(__xludf.DUMMYFUNCTION("REGEXREPLACE(B64,""(.*):(.*):(.*)"",""$3"")"),"")</f>
        <v/>
      </c>
      <c r="F64" s="63">
        <f t="shared" si="2"/>
        <v>0</v>
      </c>
    </row>
    <row r="65">
      <c r="B65" s="63"/>
      <c r="C65" s="63" t="str">
        <f t="shared" si="1"/>
        <v/>
      </c>
      <c r="D65" s="63" t="str">
        <f>IFERROR(__xludf.DUMMYFUNCTION("REGEXREPLACE(B65,""(.*):(.*):(.*)"",""$2"")"),"")</f>
        <v/>
      </c>
      <c r="E65" s="259" t="str">
        <f>IFERROR(__xludf.DUMMYFUNCTION("REGEXREPLACE(B65,""(.*):(.*):(.*)"",""$3"")"),"")</f>
        <v/>
      </c>
      <c r="F65" s="63">
        <f t="shared" si="2"/>
        <v>0</v>
      </c>
    </row>
    <row r="66">
      <c r="B66" s="63"/>
      <c r="C66" s="63" t="str">
        <f t="shared" si="1"/>
        <v/>
      </c>
      <c r="D66" s="63" t="str">
        <f>IFERROR(__xludf.DUMMYFUNCTION("REGEXREPLACE(B66,""(.*):(.*):(.*)"",""$2"")"),"")</f>
        <v/>
      </c>
      <c r="E66" s="259" t="str">
        <f>IFERROR(__xludf.DUMMYFUNCTION("REGEXREPLACE(B66,""(.*):(.*):(.*)"",""$3"")"),"")</f>
        <v/>
      </c>
      <c r="F66" s="63">
        <f t="shared" si="2"/>
        <v>0</v>
      </c>
    </row>
    <row r="67">
      <c r="B67" s="63"/>
      <c r="C67" s="63" t="str">
        <f t="shared" si="1"/>
        <v/>
      </c>
      <c r="D67" s="63" t="str">
        <f>IFERROR(__xludf.DUMMYFUNCTION("REGEXREPLACE(B67,""(.*):(.*):(.*)"",""$2"")"),"")</f>
        <v/>
      </c>
      <c r="E67" s="259" t="str">
        <f>IFERROR(__xludf.DUMMYFUNCTION("REGEXREPLACE(B67,""(.*):(.*):(.*)"",""$3"")"),"")</f>
        <v/>
      </c>
      <c r="F67" s="63">
        <f t="shared" si="2"/>
        <v>0</v>
      </c>
    </row>
    <row r="68">
      <c r="B68" s="63"/>
      <c r="C68" s="63" t="str">
        <f t="shared" si="1"/>
        <v/>
      </c>
      <c r="D68" s="63" t="str">
        <f>IFERROR(__xludf.DUMMYFUNCTION("REGEXREPLACE(B68,""(.*):(.*):(.*)"",""$2"")"),"")</f>
        <v/>
      </c>
      <c r="E68" s="259" t="str">
        <f>IFERROR(__xludf.DUMMYFUNCTION("REGEXREPLACE(B68,""(.*):(.*):(.*)"",""$3"")"),"")</f>
        <v/>
      </c>
      <c r="F68" s="63">
        <f t="shared" si="2"/>
        <v>0</v>
      </c>
    </row>
    <row r="69">
      <c r="B69" s="63"/>
      <c r="C69" s="63" t="str">
        <f t="shared" si="1"/>
        <v/>
      </c>
      <c r="D69" s="63" t="str">
        <f>IFERROR(__xludf.DUMMYFUNCTION("REGEXREPLACE(B69,""(.*):(.*):(.*)"",""$2"")"),"")</f>
        <v/>
      </c>
      <c r="E69" s="259" t="str">
        <f>IFERROR(__xludf.DUMMYFUNCTION("REGEXREPLACE(B69,""(.*):(.*):(.*)"",""$3"")"),"")</f>
        <v/>
      </c>
      <c r="F69" s="63">
        <f t="shared" si="2"/>
        <v>0</v>
      </c>
    </row>
    <row r="70">
      <c r="B70" s="63"/>
      <c r="C70" s="63" t="str">
        <f t="shared" si="1"/>
        <v/>
      </c>
      <c r="D70" s="63" t="str">
        <f>IFERROR(__xludf.DUMMYFUNCTION("REGEXREPLACE(B70,""(.*):(.*):(.*)"",""$2"")"),"")</f>
        <v/>
      </c>
      <c r="E70" s="259" t="str">
        <f>IFERROR(__xludf.DUMMYFUNCTION("REGEXREPLACE(B70,""(.*):(.*):(.*)"",""$3"")"),"")</f>
        <v/>
      </c>
      <c r="F70" s="63">
        <f t="shared" si="2"/>
        <v>0</v>
      </c>
    </row>
    <row r="71">
      <c r="B71" s="63"/>
      <c r="C71" s="63" t="str">
        <f t="shared" si="1"/>
        <v/>
      </c>
      <c r="D71" s="63" t="str">
        <f>IFERROR(__xludf.DUMMYFUNCTION("REGEXREPLACE(B71,""(.*):(.*):(.*)"",""$2"")"),"")</f>
        <v/>
      </c>
      <c r="E71" s="259" t="str">
        <f>IFERROR(__xludf.DUMMYFUNCTION("REGEXREPLACE(B71,""(.*):(.*):(.*)"",""$3"")"),"")</f>
        <v/>
      </c>
      <c r="F71" s="63">
        <f t="shared" si="2"/>
        <v>0</v>
      </c>
    </row>
    <row r="72">
      <c r="B72" s="63"/>
      <c r="C72" s="63" t="str">
        <f t="shared" si="1"/>
        <v/>
      </c>
      <c r="D72" s="63" t="str">
        <f>IFERROR(__xludf.DUMMYFUNCTION("REGEXREPLACE(B72,""(.*):(.*):(.*)"",""$2"")"),"")</f>
        <v/>
      </c>
      <c r="E72" s="259" t="str">
        <f>IFERROR(__xludf.DUMMYFUNCTION("REGEXREPLACE(B72,""(.*):(.*):(.*)"",""$3"")"),"")</f>
        <v/>
      </c>
      <c r="F72" s="63">
        <f t="shared" si="2"/>
        <v>0</v>
      </c>
    </row>
    <row r="73">
      <c r="B73" s="63"/>
      <c r="C73" s="63" t="str">
        <f t="shared" si="1"/>
        <v/>
      </c>
      <c r="D73" s="63" t="str">
        <f>IFERROR(__xludf.DUMMYFUNCTION("REGEXREPLACE(B73,""(.*):(.*):(.*)"",""$2"")"),"")</f>
        <v/>
      </c>
      <c r="E73" s="259" t="str">
        <f>IFERROR(__xludf.DUMMYFUNCTION("REGEXREPLACE(B73,""(.*):(.*):(.*)"",""$3"")"),"")</f>
        <v/>
      </c>
      <c r="F73" s="63">
        <f t="shared" si="2"/>
        <v>0</v>
      </c>
    </row>
    <row r="74">
      <c r="B74" s="63"/>
      <c r="C74" s="63" t="str">
        <f t="shared" si="1"/>
        <v/>
      </c>
      <c r="D74" s="63" t="str">
        <f>IFERROR(__xludf.DUMMYFUNCTION("REGEXREPLACE(B74,""(.*):(.*):(.*)"",""$2"")"),"")</f>
        <v/>
      </c>
      <c r="E74" s="259" t="str">
        <f>IFERROR(__xludf.DUMMYFUNCTION("REGEXREPLACE(B74,""(.*):(.*):(.*)"",""$3"")"),"")</f>
        <v/>
      </c>
      <c r="F74" s="63">
        <f t="shared" si="2"/>
        <v>0</v>
      </c>
    </row>
    <row r="75">
      <c r="B75" s="63"/>
      <c r="C75" s="63" t="str">
        <f t="shared" si="1"/>
        <v/>
      </c>
      <c r="D75" s="63" t="str">
        <f>IFERROR(__xludf.DUMMYFUNCTION("REGEXREPLACE(B75,""(.*):(.*):(.*)"",""$2"")"),"")</f>
        <v/>
      </c>
      <c r="E75" s="259" t="str">
        <f>IFERROR(__xludf.DUMMYFUNCTION("REGEXREPLACE(B75,""(.*):(.*):(.*)"",""$3"")"),"")</f>
        <v/>
      </c>
      <c r="F75" s="63">
        <f t="shared" si="2"/>
        <v>0</v>
      </c>
    </row>
    <row r="76">
      <c r="B76" s="63"/>
      <c r="C76" s="63" t="str">
        <f t="shared" si="1"/>
        <v/>
      </c>
      <c r="D76" s="63" t="str">
        <f>IFERROR(__xludf.DUMMYFUNCTION("REGEXREPLACE(B76,""(.*):(.*):(.*)"",""$2"")"),"")</f>
        <v/>
      </c>
      <c r="E76" s="259" t="str">
        <f>IFERROR(__xludf.DUMMYFUNCTION("REGEXREPLACE(B76,""(.*):(.*):(.*)"",""$3"")"),"")</f>
        <v/>
      </c>
      <c r="F76" s="63">
        <f t="shared" si="2"/>
        <v>0</v>
      </c>
    </row>
    <row r="77">
      <c r="B77" s="63"/>
      <c r="C77" s="63" t="str">
        <f t="shared" si="1"/>
        <v/>
      </c>
      <c r="D77" s="63" t="str">
        <f>IFERROR(__xludf.DUMMYFUNCTION("REGEXREPLACE(B77,""(.*):(.*):(.*)"",""$2"")"),"")</f>
        <v/>
      </c>
      <c r="E77" s="259" t="str">
        <f>IFERROR(__xludf.DUMMYFUNCTION("REGEXREPLACE(B77,""(.*):(.*):(.*)"",""$3"")"),"")</f>
        <v/>
      </c>
      <c r="F77" s="63">
        <f t="shared" si="2"/>
        <v>0</v>
      </c>
    </row>
    <row r="78">
      <c r="B78" s="63"/>
      <c r="C78" s="63" t="str">
        <f t="shared" si="1"/>
        <v/>
      </c>
      <c r="D78" s="63" t="str">
        <f>IFERROR(__xludf.DUMMYFUNCTION("REGEXREPLACE(B78,""(.*):(.*):(.*)"",""$2"")"),"")</f>
        <v/>
      </c>
      <c r="E78" s="259" t="str">
        <f>IFERROR(__xludf.DUMMYFUNCTION("REGEXREPLACE(B78,""(.*):(.*):(.*)"",""$3"")"),"")</f>
        <v/>
      </c>
      <c r="F78" s="63">
        <f t="shared" si="2"/>
        <v>0</v>
      </c>
    </row>
    <row r="79">
      <c r="B79" s="63"/>
      <c r="C79" s="63" t="str">
        <f t="shared" si="1"/>
        <v/>
      </c>
      <c r="D79" s="63" t="str">
        <f>IFERROR(__xludf.DUMMYFUNCTION("REGEXREPLACE(B79,""(.*):(.*):(.*)"",""$2"")"),"")</f>
        <v/>
      </c>
      <c r="E79" s="259" t="str">
        <f>IFERROR(__xludf.DUMMYFUNCTION("REGEXREPLACE(B79,""(.*):(.*):(.*)"",""$3"")"),"")</f>
        <v/>
      </c>
      <c r="F79" s="63">
        <f t="shared" si="2"/>
        <v>0</v>
      </c>
    </row>
    <row r="80">
      <c r="B80" s="63"/>
      <c r="C80" s="63" t="str">
        <f t="shared" si="1"/>
        <v/>
      </c>
      <c r="D80" s="63" t="str">
        <f>IFERROR(__xludf.DUMMYFUNCTION("REGEXREPLACE(B80,""(.*):(.*):(.*)"",""$2"")"),"")</f>
        <v/>
      </c>
      <c r="E80" s="259" t="str">
        <f>IFERROR(__xludf.DUMMYFUNCTION("REGEXREPLACE(B80,""(.*):(.*):(.*)"",""$3"")"),"")</f>
        <v/>
      </c>
      <c r="F80" s="63">
        <f t="shared" si="2"/>
        <v>0</v>
      </c>
    </row>
    <row r="81">
      <c r="B81" s="63"/>
      <c r="C81" s="63" t="str">
        <f t="shared" si="1"/>
        <v/>
      </c>
      <c r="D81" s="63" t="str">
        <f>IFERROR(__xludf.DUMMYFUNCTION("REGEXREPLACE(B81,""(.*):(.*):(.*)"",""$2"")"),"")</f>
        <v/>
      </c>
      <c r="E81" s="259" t="str">
        <f>IFERROR(__xludf.DUMMYFUNCTION("REGEXREPLACE(B81,""(.*):(.*):(.*)"",""$3"")"),"")</f>
        <v/>
      </c>
      <c r="F81" s="63">
        <f t="shared" si="2"/>
        <v>0</v>
      </c>
    </row>
    <row r="82">
      <c r="B82" s="63"/>
      <c r="C82" s="63" t="str">
        <f t="shared" si="1"/>
        <v/>
      </c>
      <c r="D82" s="63" t="str">
        <f>IFERROR(__xludf.DUMMYFUNCTION("REGEXREPLACE(B82,""(.*):(.*):(.*)"",""$2"")"),"")</f>
        <v/>
      </c>
      <c r="E82" s="259" t="str">
        <f>IFERROR(__xludf.DUMMYFUNCTION("REGEXREPLACE(B82,""(.*):(.*):(.*)"",""$3"")"),"")</f>
        <v/>
      </c>
      <c r="F82" s="63">
        <f t="shared" si="2"/>
        <v>0</v>
      </c>
    </row>
    <row r="83">
      <c r="B83" s="63"/>
      <c r="C83" s="63" t="str">
        <f t="shared" si="1"/>
        <v/>
      </c>
      <c r="D83" s="63" t="str">
        <f>IFERROR(__xludf.DUMMYFUNCTION("REGEXREPLACE(B83,""(.*):(.*):(.*)"",""$2"")"),"")</f>
        <v/>
      </c>
      <c r="E83" s="259" t="str">
        <f>IFERROR(__xludf.DUMMYFUNCTION("REGEXREPLACE(B83,""(.*):(.*):(.*)"",""$3"")"),"")</f>
        <v/>
      </c>
      <c r="F83" s="63">
        <f t="shared" si="2"/>
        <v>0</v>
      </c>
    </row>
    <row r="84">
      <c r="B84" s="63"/>
      <c r="C84" s="63" t="str">
        <f t="shared" si="1"/>
        <v/>
      </c>
      <c r="D84" s="63" t="str">
        <f>IFERROR(__xludf.DUMMYFUNCTION("REGEXREPLACE(B84,""(.*):(.*):(.*)"",""$2"")"),"")</f>
        <v/>
      </c>
      <c r="E84" s="259" t="str">
        <f>IFERROR(__xludf.DUMMYFUNCTION("REGEXREPLACE(B84,""(.*):(.*):(.*)"",""$3"")"),"")</f>
        <v/>
      </c>
      <c r="F84" s="63">
        <f t="shared" si="2"/>
        <v>0</v>
      </c>
    </row>
    <row r="85">
      <c r="B85" s="63"/>
      <c r="C85" s="63" t="str">
        <f t="shared" si="1"/>
        <v/>
      </c>
      <c r="D85" s="63" t="str">
        <f>IFERROR(__xludf.DUMMYFUNCTION("REGEXREPLACE(B85,""(.*):(.*):(.*)"",""$2"")"),"")</f>
        <v/>
      </c>
      <c r="E85" s="259" t="str">
        <f>IFERROR(__xludf.DUMMYFUNCTION("REGEXREPLACE(B85,""(.*):(.*):(.*)"",""$3"")"),"")</f>
        <v/>
      </c>
      <c r="F85" s="63">
        <f t="shared" si="2"/>
        <v>0</v>
      </c>
    </row>
    <row r="86">
      <c r="B86" s="63"/>
      <c r="C86" s="63" t="str">
        <f t="shared" si="1"/>
        <v/>
      </c>
      <c r="D86" s="63" t="str">
        <f>IFERROR(__xludf.DUMMYFUNCTION("REGEXREPLACE(B86,""(.*):(.*):(.*)"",""$2"")"),"")</f>
        <v/>
      </c>
      <c r="E86" s="259" t="str">
        <f>IFERROR(__xludf.DUMMYFUNCTION("REGEXREPLACE(B86,""(.*):(.*):(.*)"",""$3"")"),"")</f>
        <v/>
      </c>
      <c r="F86" s="63">
        <f t="shared" si="2"/>
        <v>0</v>
      </c>
    </row>
    <row r="87">
      <c r="B87" s="63"/>
      <c r="C87" s="63" t="str">
        <f t="shared" si="1"/>
        <v/>
      </c>
      <c r="D87" s="63" t="str">
        <f>IFERROR(__xludf.DUMMYFUNCTION("REGEXREPLACE(B87,""(.*):(.*):(.*)"",""$2"")"),"")</f>
        <v/>
      </c>
      <c r="E87" s="259" t="str">
        <f>IFERROR(__xludf.DUMMYFUNCTION("REGEXREPLACE(B87,""(.*):(.*):(.*)"",""$3"")"),"")</f>
        <v/>
      </c>
      <c r="F87" s="63">
        <f t="shared" si="2"/>
        <v>0</v>
      </c>
    </row>
    <row r="88">
      <c r="B88" s="63"/>
      <c r="C88" s="63" t="str">
        <f t="shared" si="1"/>
        <v/>
      </c>
      <c r="D88" s="63" t="str">
        <f>IFERROR(__xludf.DUMMYFUNCTION("REGEXREPLACE(B88,""(.*):(.*):(.*)"",""$2"")"),"")</f>
        <v/>
      </c>
      <c r="E88" s="259" t="str">
        <f>IFERROR(__xludf.DUMMYFUNCTION("REGEXREPLACE(B88,""(.*):(.*):(.*)"",""$3"")"),"")</f>
        <v/>
      </c>
      <c r="F88" s="63">
        <f t="shared" si="2"/>
        <v>0</v>
      </c>
    </row>
    <row r="89">
      <c r="B89" s="63"/>
      <c r="C89" s="63" t="str">
        <f t="shared" si="1"/>
        <v/>
      </c>
      <c r="D89" s="63" t="str">
        <f>IFERROR(__xludf.DUMMYFUNCTION("REGEXREPLACE(B89,""(.*):(.*):(.*)"",""$2"")"),"")</f>
        <v/>
      </c>
      <c r="E89" s="259" t="str">
        <f>IFERROR(__xludf.DUMMYFUNCTION("REGEXREPLACE(B89,""(.*):(.*):(.*)"",""$3"")"),"")</f>
        <v/>
      </c>
      <c r="F89" s="63">
        <f t="shared" si="2"/>
        <v>0</v>
      </c>
    </row>
    <row r="90">
      <c r="B90" s="63"/>
      <c r="C90" s="63" t="str">
        <f t="shared" si="1"/>
        <v/>
      </c>
      <c r="D90" s="63" t="str">
        <f>IFERROR(__xludf.DUMMYFUNCTION("REGEXREPLACE(B90,""(.*):(.*):(.*)"",""$2"")"),"")</f>
        <v/>
      </c>
      <c r="E90" s="259" t="str">
        <f>IFERROR(__xludf.DUMMYFUNCTION("REGEXREPLACE(B90,""(.*):(.*):(.*)"",""$3"")"),"")</f>
        <v/>
      </c>
      <c r="F90" s="63">
        <f t="shared" si="2"/>
        <v>0</v>
      </c>
    </row>
    <row r="91">
      <c r="B91" s="63"/>
      <c r="C91" s="63" t="str">
        <f t="shared" si="1"/>
        <v/>
      </c>
      <c r="D91" s="63" t="str">
        <f>IFERROR(__xludf.DUMMYFUNCTION("REGEXREPLACE(B91,""(.*):(.*):(.*)"",""$2"")"),"")</f>
        <v/>
      </c>
      <c r="E91" s="259" t="str">
        <f>IFERROR(__xludf.DUMMYFUNCTION("REGEXREPLACE(B91,""(.*):(.*):(.*)"",""$3"")"),"")</f>
        <v/>
      </c>
      <c r="F91" s="63">
        <f t="shared" si="2"/>
        <v>0</v>
      </c>
    </row>
    <row r="92">
      <c r="B92" s="63"/>
      <c r="C92" s="63" t="str">
        <f t="shared" si="1"/>
        <v/>
      </c>
      <c r="D92" s="63" t="str">
        <f>IFERROR(__xludf.DUMMYFUNCTION("REGEXREPLACE(B92,""(.*):(.*):(.*)"",""$2"")"),"")</f>
        <v/>
      </c>
      <c r="E92" s="259" t="str">
        <f>IFERROR(__xludf.DUMMYFUNCTION("REGEXREPLACE(B92,""(.*):(.*):(.*)"",""$3"")"),"")</f>
        <v/>
      </c>
      <c r="F92" s="63">
        <f t="shared" si="2"/>
        <v>0</v>
      </c>
    </row>
    <row r="93">
      <c r="B93" s="63"/>
      <c r="C93" s="63" t="str">
        <f t="shared" si="1"/>
        <v/>
      </c>
      <c r="D93" s="63" t="str">
        <f>IFERROR(__xludf.DUMMYFUNCTION("REGEXREPLACE(B93,""(.*):(.*):(.*)"",""$2"")"),"")</f>
        <v/>
      </c>
      <c r="E93" s="259" t="str">
        <f>IFERROR(__xludf.DUMMYFUNCTION("REGEXREPLACE(B93,""(.*):(.*):(.*)"",""$3"")"),"")</f>
        <v/>
      </c>
      <c r="F93" s="63">
        <f t="shared" si="2"/>
        <v>0</v>
      </c>
    </row>
    <row r="94">
      <c r="B94" s="63"/>
      <c r="C94" s="63" t="str">
        <f t="shared" si="1"/>
        <v/>
      </c>
      <c r="D94" s="63" t="str">
        <f>IFERROR(__xludf.DUMMYFUNCTION("REGEXREPLACE(B94,""(.*):(.*):(.*)"",""$2"")"),"")</f>
        <v/>
      </c>
      <c r="E94" s="259" t="str">
        <f>IFERROR(__xludf.DUMMYFUNCTION("REGEXREPLACE(B94,""(.*):(.*):(.*)"",""$3"")"),"")</f>
        <v/>
      </c>
      <c r="F94" s="63">
        <f t="shared" si="2"/>
        <v>0</v>
      </c>
    </row>
    <row r="95">
      <c r="B95" s="63"/>
      <c r="C95" s="63" t="str">
        <f t="shared" si="1"/>
        <v/>
      </c>
      <c r="D95" s="63" t="str">
        <f>IFERROR(__xludf.DUMMYFUNCTION("REGEXREPLACE(B95,""(.*):(.*):(.*)"",""$2"")"),"")</f>
        <v/>
      </c>
      <c r="E95" s="259" t="str">
        <f>IFERROR(__xludf.DUMMYFUNCTION("REGEXREPLACE(B95,""(.*):(.*):(.*)"",""$3"")"),"")</f>
        <v/>
      </c>
      <c r="F95" s="63">
        <f t="shared" si="2"/>
        <v>0</v>
      </c>
    </row>
    <row r="96">
      <c r="B96" s="63"/>
      <c r="C96" s="63" t="str">
        <f t="shared" si="1"/>
        <v/>
      </c>
      <c r="D96" s="63" t="str">
        <f>IFERROR(__xludf.DUMMYFUNCTION("REGEXREPLACE(B96,""(.*):(.*):(.*)"",""$2"")"),"")</f>
        <v/>
      </c>
      <c r="E96" s="259" t="str">
        <f>IFERROR(__xludf.DUMMYFUNCTION("REGEXREPLACE(B96,""(.*):(.*):(.*)"",""$3"")"),"")</f>
        <v/>
      </c>
      <c r="F96" s="63">
        <f t="shared" si="2"/>
        <v>0</v>
      </c>
    </row>
    <row r="97">
      <c r="B97" s="63"/>
      <c r="C97" s="63" t="str">
        <f t="shared" si="1"/>
        <v/>
      </c>
      <c r="D97" s="63" t="str">
        <f>IFERROR(__xludf.DUMMYFUNCTION("REGEXREPLACE(B97,""(.*):(.*):(.*)"",""$2"")"),"")</f>
        <v/>
      </c>
      <c r="E97" s="259" t="str">
        <f>IFERROR(__xludf.DUMMYFUNCTION("REGEXREPLACE(B97,""(.*):(.*):(.*)"",""$3"")"),"")</f>
        <v/>
      </c>
      <c r="F97" s="63">
        <f t="shared" si="2"/>
        <v>0</v>
      </c>
    </row>
    <row r="98">
      <c r="B98" s="63"/>
      <c r="C98" s="63" t="str">
        <f t="shared" si="1"/>
        <v/>
      </c>
      <c r="D98" s="63" t="str">
        <f>IFERROR(__xludf.DUMMYFUNCTION("REGEXREPLACE(B98,""(.*):(.*):(.*)"",""$2"")"),"")</f>
        <v/>
      </c>
      <c r="E98" s="259" t="str">
        <f>IFERROR(__xludf.DUMMYFUNCTION("REGEXREPLACE(B98,""(.*):(.*):(.*)"",""$3"")"),"")</f>
        <v/>
      </c>
      <c r="F98" s="63">
        <f t="shared" si="2"/>
        <v>0</v>
      </c>
    </row>
    <row r="99">
      <c r="B99" s="63"/>
      <c r="C99" s="63" t="str">
        <f t="shared" si="1"/>
        <v/>
      </c>
      <c r="D99" s="63" t="str">
        <f>IFERROR(__xludf.DUMMYFUNCTION("REGEXREPLACE(B99,""(.*):(.*):(.*)"",""$2"")"),"")</f>
        <v/>
      </c>
      <c r="E99" s="259" t="str">
        <f>IFERROR(__xludf.DUMMYFUNCTION("REGEXREPLACE(B99,""(.*):(.*):(.*)"",""$3"")"),"")</f>
        <v/>
      </c>
      <c r="F99" s="63">
        <f t="shared" si="2"/>
        <v>0</v>
      </c>
    </row>
    <row r="100">
      <c r="B100" s="63"/>
      <c r="C100" s="63" t="str">
        <f t="shared" si="1"/>
        <v/>
      </c>
      <c r="D100" s="63" t="str">
        <f>IFERROR(__xludf.DUMMYFUNCTION("REGEXREPLACE(B100,""(.*):(.*):(.*)"",""$2"")"),"")</f>
        <v/>
      </c>
      <c r="E100" s="259" t="str">
        <f>IFERROR(__xludf.DUMMYFUNCTION("REGEXREPLACE(B100,""(.*):(.*):(.*)"",""$3"")"),"")</f>
        <v/>
      </c>
      <c r="F100" s="63">
        <f t="shared" si="2"/>
        <v>0</v>
      </c>
    </row>
    <row r="101">
      <c r="B101" s="63"/>
      <c r="C101" s="63" t="str">
        <f t="shared" si="1"/>
        <v/>
      </c>
      <c r="D101" s="63" t="str">
        <f>IFERROR(__xludf.DUMMYFUNCTION("REGEXREPLACE(B101,""(.*):(.*):(.*)"",""$2"")"),"")</f>
        <v/>
      </c>
      <c r="E101" s="259" t="str">
        <f>IFERROR(__xludf.DUMMYFUNCTION("REGEXREPLACE(B101,""(.*):(.*):(.*)"",""$3"")"),"")</f>
        <v/>
      </c>
      <c r="F101" s="63">
        <f t="shared" si="2"/>
        <v>0</v>
      </c>
    </row>
    <row r="102">
      <c r="B102" s="63"/>
      <c r="C102" s="63" t="str">
        <f t="shared" si="1"/>
        <v/>
      </c>
      <c r="D102" s="63" t="str">
        <f>IFERROR(__xludf.DUMMYFUNCTION("REGEXREPLACE(B102,""(.*):(.*):(.*)"",""$2"")"),"")</f>
        <v/>
      </c>
      <c r="E102" s="259" t="str">
        <f>IFERROR(__xludf.DUMMYFUNCTION("REGEXREPLACE(B102,""(.*):(.*):(.*)"",""$3"")"),"")</f>
        <v/>
      </c>
      <c r="F102" s="63">
        <f t="shared" si="2"/>
        <v>0</v>
      </c>
    </row>
    <row r="103">
      <c r="B103" s="63"/>
      <c r="C103" s="63" t="str">
        <f t="shared" si="1"/>
        <v/>
      </c>
      <c r="D103" s="63" t="str">
        <f>IFERROR(__xludf.DUMMYFUNCTION("REGEXREPLACE(B103,""(.*):(.*):(.*)"",""$2"")"),"")</f>
        <v/>
      </c>
      <c r="E103" s="259" t="str">
        <f>IFERROR(__xludf.DUMMYFUNCTION("REGEXREPLACE(B103,""(.*):(.*):(.*)"",""$3"")"),"")</f>
        <v/>
      </c>
      <c r="F103" s="63">
        <f t="shared" si="2"/>
        <v>0</v>
      </c>
    </row>
    <row r="104">
      <c r="B104" s="63"/>
      <c r="C104" s="63" t="str">
        <f t="shared" si="1"/>
        <v/>
      </c>
      <c r="D104" s="63" t="str">
        <f>IFERROR(__xludf.DUMMYFUNCTION("REGEXREPLACE(B104,""(.*):(.*):(.*)"",""$2"")"),"")</f>
        <v/>
      </c>
      <c r="E104" s="259" t="str">
        <f>IFERROR(__xludf.DUMMYFUNCTION("REGEXREPLACE(B104,""(.*):(.*):(.*)"",""$3"")"),"")</f>
        <v/>
      </c>
      <c r="F104" s="63">
        <f t="shared" si="2"/>
        <v>0</v>
      </c>
    </row>
    <row r="105">
      <c r="B105" s="63"/>
      <c r="C105" s="63" t="str">
        <f t="shared" si="1"/>
        <v/>
      </c>
      <c r="D105" s="63" t="str">
        <f>IFERROR(__xludf.DUMMYFUNCTION("REGEXREPLACE(B105,""(.*):(.*):(.*)"",""$2"")"),"")</f>
        <v/>
      </c>
      <c r="E105" s="259" t="str">
        <f>IFERROR(__xludf.DUMMYFUNCTION("REGEXREPLACE(B105,""(.*):(.*):(.*)"",""$3"")"),"")</f>
        <v/>
      </c>
      <c r="F105" s="63">
        <f t="shared" si="2"/>
        <v>0</v>
      </c>
    </row>
    <row r="106">
      <c r="B106" s="63"/>
      <c r="C106" s="63" t="str">
        <f t="shared" si="1"/>
        <v/>
      </c>
      <c r="D106" s="63" t="str">
        <f>IFERROR(__xludf.DUMMYFUNCTION("REGEXREPLACE(B106,""(.*):(.*):(.*)"",""$2"")"),"")</f>
        <v/>
      </c>
      <c r="E106" s="259" t="str">
        <f>IFERROR(__xludf.DUMMYFUNCTION("REGEXREPLACE(B106,""(.*):(.*):(.*)"",""$3"")"),"")</f>
        <v/>
      </c>
      <c r="F106" s="63">
        <f t="shared" si="2"/>
        <v>0</v>
      </c>
    </row>
    <row r="107">
      <c r="B107" s="63"/>
      <c r="C107" s="63" t="str">
        <f t="shared" si="1"/>
        <v/>
      </c>
      <c r="D107" s="63" t="str">
        <f>IFERROR(__xludf.DUMMYFUNCTION("REGEXREPLACE(B107,""(.*):(.*):(.*)"",""$2"")"),"")</f>
        <v/>
      </c>
      <c r="E107" s="259" t="str">
        <f>IFERROR(__xludf.DUMMYFUNCTION("REGEXREPLACE(B107,""(.*):(.*):(.*)"",""$3"")"),"")</f>
        <v/>
      </c>
      <c r="F107" s="63">
        <f t="shared" si="2"/>
        <v>0</v>
      </c>
    </row>
    <row r="108">
      <c r="B108" s="63"/>
      <c r="C108" s="63" t="str">
        <f t="shared" si="1"/>
        <v/>
      </c>
      <c r="D108" s="63" t="str">
        <f>IFERROR(__xludf.DUMMYFUNCTION("REGEXREPLACE(B108,""(.*):(.*):(.*)"",""$2"")"),"")</f>
        <v/>
      </c>
      <c r="E108" s="259" t="str">
        <f>IFERROR(__xludf.DUMMYFUNCTION("REGEXREPLACE(B108,""(.*):(.*):(.*)"",""$3"")"),"")</f>
        <v/>
      </c>
      <c r="F108" s="63">
        <f t="shared" si="2"/>
        <v>0</v>
      </c>
    </row>
    <row r="109">
      <c r="B109" s="63"/>
      <c r="C109" s="63" t="str">
        <f t="shared" si="1"/>
        <v/>
      </c>
      <c r="D109" s="63" t="str">
        <f>IFERROR(__xludf.DUMMYFUNCTION("REGEXREPLACE(B109,""(.*):(.*):(.*)"",""$2"")"),"")</f>
        <v/>
      </c>
      <c r="E109" s="259" t="str">
        <f>IFERROR(__xludf.DUMMYFUNCTION("REGEXREPLACE(B109,""(.*):(.*):(.*)"",""$3"")"),"")</f>
        <v/>
      </c>
      <c r="F109" s="63">
        <f t="shared" si="2"/>
        <v>0</v>
      </c>
    </row>
    <row r="110">
      <c r="B110" s="63"/>
      <c r="C110" s="63" t="str">
        <f t="shared" si="1"/>
        <v/>
      </c>
      <c r="D110" s="63" t="str">
        <f>IFERROR(__xludf.DUMMYFUNCTION("REGEXREPLACE(B110,""(.*):(.*):(.*)"",""$2"")"),"")</f>
        <v/>
      </c>
      <c r="E110" s="259" t="str">
        <f>IFERROR(__xludf.DUMMYFUNCTION("REGEXREPLACE(B110,""(.*):(.*):(.*)"",""$3"")"),"")</f>
        <v/>
      </c>
      <c r="F110" s="63">
        <f t="shared" si="2"/>
        <v>0</v>
      </c>
    </row>
    <row r="111">
      <c r="B111" s="63"/>
      <c r="C111" s="63" t="str">
        <f t="shared" si="1"/>
        <v/>
      </c>
      <c r="D111" s="63" t="str">
        <f>IFERROR(__xludf.DUMMYFUNCTION("REGEXREPLACE(B111,""(.*):(.*):(.*)"",""$2"")"),"")</f>
        <v/>
      </c>
      <c r="E111" s="259" t="str">
        <f>IFERROR(__xludf.DUMMYFUNCTION("REGEXREPLACE(B111,""(.*):(.*):(.*)"",""$3"")"),"")</f>
        <v/>
      </c>
      <c r="F111" s="63">
        <f t="shared" si="2"/>
        <v>0</v>
      </c>
    </row>
    <row r="112">
      <c r="B112" s="63"/>
      <c r="C112" s="63" t="str">
        <f t="shared" si="1"/>
        <v/>
      </c>
      <c r="D112" s="63" t="str">
        <f>IFERROR(__xludf.DUMMYFUNCTION("REGEXREPLACE(B112,""(.*):(.*):(.*)"",""$2"")"),"")</f>
        <v/>
      </c>
      <c r="E112" s="259" t="str">
        <f>IFERROR(__xludf.DUMMYFUNCTION("REGEXREPLACE(B112,""(.*):(.*):(.*)"",""$3"")"),"")</f>
        <v/>
      </c>
      <c r="F112" s="63">
        <f t="shared" si="2"/>
        <v>0</v>
      </c>
    </row>
    <row r="113">
      <c r="B113" s="63"/>
      <c r="C113" s="63" t="str">
        <f t="shared" si="1"/>
        <v/>
      </c>
      <c r="D113" s="63" t="str">
        <f>IFERROR(__xludf.DUMMYFUNCTION("REGEXREPLACE(B113,""(.*):(.*):(.*)"",""$2"")"),"")</f>
        <v/>
      </c>
      <c r="E113" s="259" t="str">
        <f>IFERROR(__xludf.DUMMYFUNCTION("REGEXREPLACE(B113,""(.*):(.*):(.*)"",""$3"")"),"")</f>
        <v/>
      </c>
      <c r="F113" s="63">
        <f t="shared" si="2"/>
        <v>0</v>
      </c>
    </row>
    <row r="114">
      <c r="B114" s="63"/>
      <c r="C114" s="63" t="str">
        <f t="shared" si="1"/>
        <v/>
      </c>
      <c r="D114" s="63" t="str">
        <f>IFERROR(__xludf.DUMMYFUNCTION("REGEXREPLACE(B114,""(.*):(.*):(.*)"",""$2"")"),"")</f>
        <v/>
      </c>
      <c r="E114" s="259" t="str">
        <f>IFERROR(__xludf.DUMMYFUNCTION("REGEXREPLACE(B114,""(.*):(.*):(.*)"",""$3"")"),"")</f>
        <v/>
      </c>
      <c r="F114" s="63">
        <f t="shared" si="2"/>
        <v>0</v>
      </c>
    </row>
    <row r="115">
      <c r="B115" s="63"/>
      <c r="C115" s="63" t="str">
        <f t="shared" si="1"/>
        <v/>
      </c>
      <c r="D115" s="63" t="str">
        <f>IFERROR(__xludf.DUMMYFUNCTION("REGEXREPLACE(B115,""(.*):(.*):(.*)"",""$2"")"),"")</f>
        <v/>
      </c>
      <c r="E115" s="259" t="str">
        <f>IFERROR(__xludf.DUMMYFUNCTION("REGEXREPLACE(B115,""(.*):(.*):(.*)"",""$3"")"),"")</f>
        <v/>
      </c>
      <c r="F115" s="63">
        <f t="shared" si="2"/>
        <v>0</v>
      </c>
    </row>
    <row r="116">
      <c r="B116" s="63"/>
      <c r="C116" s="63" t="str">
        <f t="shared" si="1"/>
        <v/>
      </c>
      <c r="D116" s="63" t="str">
        <f>IFERROR(__xludf.DUMMYFUNCTION("REGEXREPLACE(B116,""(.*):(.*):(.*)"",""$2"")"),"")</f>
        <v/>
      </c>
      <c r="E116" s="259" t="str">
        <f>IFERROR(__xludf.DUMMYFUNCTION("REGEXREPLACE(B116,""(.*):(.*):(.*)"",""$3"")"),"")</f>
        <v/>
      </c>
      <c r="F116" s="63">
        <f t="shared" si="2"/>
        <v>0</v>
      </c>
    </row>
    <row r="117">
      <c r="B117" s="63"/>
      <c r="C117" s="63" t="str">
        <f t="shared" si="1"/>
        <v/>
      </c>
      <c r="D117" s="63" t="str">
        <f>IFERROR(__xludf.DUMMYFUNCTION("REGEXREPLACE(B117,""(.*):(.*):(.*)"",""$2"")"),"")</f>
        <v/>
      </c>
      <c r="E117" s="259" t="str">
        <f>IFERROR(__xludf.DUMMYFUNCTION("REGEXREPLACE(B117,""(.*):(.*):(.*)"",""$3"")"),"")</f>
        <v/>
      </c>
      <c r="F117" s="63">
        <f t="shared" si="2"/>
        <v>0</v>
      </c>
    </row>
    <row r="118">
      <c r="B118" s="63"/>
      <c r="C118" s="63" t="str">
        <f t="shared" si="1"/>
        <v/>
      </c>
      <c r="D118" s="63" t="str">
        <f>IFERROR(__xludf.DUMMYFUNCTION("REGEXREPLACE(B118,""(.*):(.*):(.*)"",""$2"")"),"")</f>
        <v/>
      </c>
      <c r="E118" s="259" t="str">
        <f>IFERROR(__xludf.DUMMYFUNCTION("REGEXREPLACE(B118,""(.*):(.*):(.*)"",""$3"")"),"")</f>
        <v/>
      </c>
      <c r="F118" s="63">
        <f t="shared" si="2"/>
        <v>0</v>
      </c>
    </row>
    <row r="119">
      <c r="B119" s="63"/>
      <c r="C119" s="63" t="str">
        <f t="shared" si="1"/>
        <v/>
      </c>
      <c r="D119" s="63" t="str">
        <f>IFERROR(__xludf.DUMMYFUNCTION("REGEXREPLACE(B119,""(.*):(.*):(.*)"",""$2"")"),"")</f>
        <v/>
      </c>
      <c r="E119" s="259" t="str">
        <f>IFERROR(__xludf.DUMMYFUNCTION("REGEXREPLACE(B119,""(.*):(.*):(.*)"",""$3"")"),"")</f>
        <v/>
      </c>
      <c r="F119" s="63">
        <f t="shared" si="2"/>
        <v>0</v>
      </c>
    </row>
    <row r="120">
      <c r="B120" s="63"/>
      <c r="C120" s="63" t="str">
        <f t="shared" si="1"/>
        <v/>
      </c>
      <c r="D120" s="63" t="str">
        <f>IFERROR(__xludf.DUMMYFUNCTION("REGEXREPLACE(B120,""(.*):(.*):(.*)"",""$2"")"),"")</f>
        <v/>
      </c>
      <c r="E120" s="259" t="str">
        <f>IFERROR(__xludf.DUMMYFUNCTION("REGEXREPLACE(B120,""(.*):(.*):(.*)"",""$3"")"),"")</f>
        <v/>
      </c>
      <c r="F120" s="63">
        <f t="shared" si="2"/>
        <v>0</v>
      </c>
    </row>
    <row r="121">
      <c r="B121" s="63"/>
      <c r="C121" s="63" t="str">
        <f t="shared" si="1"/>
        <v/>
      </c>
      <c r="D121" s="63" t="str">
        <f>IFERROR(__xludf.DUMMYFUNCTION("REGEXREPLACE(B121,""(.*):(.*):(.*)"",""$2"")"),"")</f>
        <v/>
      </c>
      <c r="E121" s="259" t="str">
        <f>IFERROR(__xludf.DUMMYFUNCTION("REGEXREPLACE(B121,""(.*):(.*):(.*)"",""$3"")"),"")</f>
        <v/>
      </c>
      <c r="F121" s="63">
        <f t="shared" si="2"/>
        <v>0</v>
      </c>
    </row>
    <row r="122">
      <c r="B122" s="63"/>
      <c r="C122" s="63" t="str">
        <f t="shared" si="1"/>
        <v/>
      </c>
      <c r="D122" s="63" t="str">
        <f>IFERROR(__xludf.DUMMYFUNCTION("REGEXREPLACE(B122,""(.*):(.*):(.*)"",""$2"")"),"")</f>
        <v/>
      </c>
      <c r="E122" s="259" t="str">
        <f>IFERROR(__xludf.DUMMYFUNCTION("REGEXREPLACE(B122,""(.*):(.*):(.*)"",""$3"")"),"")</f>
        <v/>
      </c>
      <c r="F122" s="63">
        <f t="shared" si="2"/>
        <v>0</v>
      </c>
    </row>
    <row r="123">
      <c r="B123" s="63"/>
      <c r="C123" s="63" t="str">
        <f t="shared" si="1"/>
        <v/>
      </c>
      <c r="D123" s="63" t="str">
        <f>IFERROR(__xludf.DUMMYFUNCTION("REGEXREPLACE(B123,""(.*):(.*):(.*)"",""$2"")"),"")</f>
        <v/>
      </c>
      <c r="E123" s="259" t="str">
        <f>IFERROR(__xludf.DUMMYFUNCTION("REGEXREPLACE(B123,""(.*):(.*):(.*)"",""$3"")"),"")</f>
        <v/>
      </c>
      <c r="F123" s="63">
        <f t="shared" si="2"/>
        <v>0</v>
      </c>
    </row>
    <row r="124">
      <c r="B124" s="63"/>
      <c r="C124" s="63" t="str">
        <f t="shared" si="1"/>
        <v/>
      </c>
      <c r="D124" s="63" t="str">
        <f>IFERROR(__xludf.DUMMYFUNCTION("REGEXREPLACE(B124,""(.*):(.*):(.*)"",""$2"")"),"")</f>
        <v/>
      </c>
      <c r="E124" s="259" t="str">
        <f>IFERROR(__xludf.DUMMYFUNCTION("REGEXREPLACE(B124,""(.*):(.*):(.*)"",""$3"")"),"")</f>
        <v/>
      </c>
      <c r="F124" s="63">
        <f t="shared" si="2"/>
        <v>0</v>
      </c>
    </row>
    <row r="125">
      <c r="B125" s="63"/>
      <c r="C125" s="63" t="str">
        <f t="shared" si="1"/>
        <v/>
      </c>
      <c r="D125" s="63" t="str">
        <f>IFERROR(__xludf.DUMMYFUNCTION("REGEXREPLACE(B125,""(.*):(.*):(.*)"",""$2"")"),"")</f>
        <v/>
      </c>
      <c r="E125" s="259" t="str">
        <f>IFERROR(__xludf.DUMMYFUNCTION("REGEXREPLACE(B125,""(.*):(.*):(.*)"",""$3"")"),"")</f>
        <v/>
      </c>
      <c r="F125" s="63">
        <f t="shared" si="2"/>
        <v>0</v>
      </c>
    </row>
    <row r="126">
      <c r="B126" s="63"/>
      <c r="C126" s="63" t="str">
        <f t="shared" si="1"/>
        <v/>
      </c>
      <c r="D126" s="63" t="str">
        <f>IFERROR(__xludf.DUMMYFUNCTION("REGEXREPLACE(B126,""(.*):(.*):(.*)"",""$2"")"),"")</f>
        <v/>
      </c>
      <c r="E126" s="259" t="str">
        <f>IFERROR(__xludf.DUMMYFUNCTION("REGEXREPLACE(B126,""(.*):(.*):(.*)"",""$3"")"),"")</f>
        <v/>
      </c>
      <c r="F126" s="63">
        <f t="shared" si="2"/>
        <v>0</v>
      </c>
    </row>
    <row r="127">
      <c r="B127" s="63"/>
      <c r="C127" s="63" t="str">
        <f t="shared" si="1"/>
        <v/>
      </c>
      <c r="D127" s="63" t="str">
        <f>IFERROR(__xludf.DUMMYFUNCTION("REGEXREPLACE(B127,""(.*):(.*):(.*)"",""$2"")"),"")</f>
        <v/>
      </c>
      <c r="E127" s="259" t="str">
        <f>IFERROR(__xludf.DUMMYFUNCTION("REGEXREPLACE(B127,""(.*):(.*):(.*)"",""$3"")"),"")</f>
        <v/>
      </c>
      <c r="F127" s="63">
        <f t="shared" si="2"/>
        <v>0</v>
      </c>
    </row>
    <row r="128">
      <c r="B128" s="63"/>
      <c r="C128" s="63" t="str">
        <f t="shared" si="1"/>
        <v/>
      </c>
      <c r="D128" s="63" t="str">
        <f>IFERROR(__xludf.DUMMYFUNCTION("REGEXREPLACE(B128,""(.*):(.*):(.*)"",""$2"")"),"")</f>
        <v/>
      </c>
      <c r="E128" s="259" t="str">
        <f>IFERROR(__xludf.DUMMYFUNCTION("REGEXREPLACE(B128,""(.*):(.*):(.*)"",""$3"")"),"")</f>
        <v/>
      </c>
      <c r="F128" s="63">
        <f t="shared" si="2"/>
        <v>0</v>
      </c>
    </row>
    <row r="129">
      <c r="B129" s="63"/>
      <c r="C129" s="63" t="str">
        <f t="shared" si="1"/>
        <v/>
      </c>
      <c r="D129" s="63" t="str">
        <f>IFERROR(__xludf.DUMMYFUNCTION("REGEXREPLACE(B129,""(.*):(.*):(.*)"",""$2"")"),"")</f>
        <v/>
      </c>
      <c r="E129" s="259" t="str">
        <f>IFERROR(__xludf.DUMMYFUNCTION("REGEXREPLACE(B129,""(.*):(.*):(.*)"",""$3"")"),"")</f>
        <v/>
      </c>
      <c r="F129" s="63">
        <f t="shared" si="2"/>
        <v>0</v>
      </c>
    </row>
    <row r="130">
      <c r="B130" s="63"/>
      <c r="C130" s="63" t="str">
        <f t="shared" si="1"/>
        <v/>
      </c>
      <c r="D130" s="63" t="str">
        <f>IFERROR(__xludf.DUMMYFUNCTION("REGEXREPLACE(B130,""(.*):(.*):(.*)"",""$2"")"),"")</f>
        <v/>
      </c>
      <c r="E130" s="259" t="str">
        <f>IFERROR(__xludf.DUMMYFUNCTION("REGEXREPLACE(B130,""(.*):(.*):(.*)"",""$3"")"),"")</f>
        <v/>
      </c>
      <c r="F130" s="63">
        <f t="shared" si="2"/>
        <v>0</v>
      </c>
    </row>
    <row r="131">
      <c r="B131" s="63"/>
      <c r="C131" s="63" t="str">
        <f t="shared" si="1"/>
        <v/>
      </c>
      <c r="D131" s="63" t="str">
        <f>IFERROR(__xludf.DUMMYFUNCTION("REGEXREPLACE(B131,""(.*):(.*):(.*)"",""$2"")"),"")</f>
        <v/>
      </c>
      <c r="E131" s="259" t="str">
        <f>IFERROR(__xludf.DUMMYFUNCTION("REGEXREPLACE(B131,""(.*):(.*):(.*)"",""$3"")"),"")</f>
        <v/>
      </c>
      <c r="F131" s="63">
        <f t="shared" si="2"/>
        <v>0</v>
      </c>
    </row>
    <row r="132">
      <c r="B132" s="63"/>
      <c r="C132" s="63" t="str">
        <f t="shared" si="1"/>
        <v/>
      </c>
      <c r="D132" s="63" t="str">
        <f>IFERROR(__xludf.DUMMYFUNCTION("REGEXREPLACE(B132,""(.*):(.*):(.*)"",""$2"")"),"")</f>
        <v/>
      </c>
      <c r="E132" s="259" t="str">
        <f>IFERROR(__xludf.DUMMYFUNCTION("REGEXREPLACE(B132,""(.*):(.*):(.*)"",""$3"")"),"")</f>
        <v/>
      </c>
      <c r="F132" s="63">
        <f t="shared" si="2"/>
        <v>0</v>
      </c>
    </row>
    <row r="133">
      <c r="B133" s="63"/>
      <c r="C133" s="63" t="str">
        <f t="shared" si="1"/>
        <v/>
      </c>
      <c r="D133" s="63" t="str">
        <f>IFERROR(__xludf.DUMMYFUNCTION("REGEXREPLACE(B133,""(.*):(.*):(.*)"",""$2"")"),"")</f>
        <v/>
      </c>
      <c r="E133" s="259" t="str">
        <f>IFERROR(__xludf.DUMMYFUNCTION("REGEXREPLACE(B133,""(.*):(.*):(.*)"",""$3"")"),"")</f>
        <v/>
      </c>
      <c r="F133" s="63">
        <f t="shared" si="2"/>
        <v>0</v>
      </c>
    </row>
    <row r="134">
      <c r="B134" s="63"/>
      <c r="C134" s="63" t="str">
        <f t="shared" si="1"/>
        <v/>
      </c>
      <c r="D134" s="63" t="str">
        <f>IFERROR(__xludf.DUMMYFUNCTION("REGEXREPLACE(B134,""(.*):(.*):(.*)"",""$2"")"),"")</f>
        <v/>
      </c>
      <c r="E134" s="259" t="str">
        <f>IFERROR(__xludf.DUMMYFUNCTION("REGEXREPLACE(B134,""(.*):(.*):(.*)"",""$3"")"),"")</f>
        <v/>
      </c>
      <c r="F134" s="63">
        <f t="shared" si="2"/>
        <v>0</v>
      </c>
    </row>
    <row r="135">
      <c r="B135" s="63"/>
      <c r="C135" s="63" t="str">
        <f t="shared" si="1"/>
        <v/>
      </c>
      <c r="D135" s="63" t="str">
        <f>IFERROR(__xludf.DUMMYFUNCTION("REGEXREPLACE(B135,""(.*):(.*):(.*)"",""$2"")"),"")</f>
        <v/>
      </c>
      <c r="E135" s="259" t="str">
        <f>IFERROR(__xludf.DUMMYFUNCTION("REGEXREPLACE(B135,""(.*):(.*):(.*)"",""$3"")"),"")</f>
        <v/>
      </c>
      <c r="F135" s="63">
        <f t="shared" si="2"/>
        <v>0</v>
      </c>
    </row>
    <row r="136">
      <c r="B136" s="63"/>
      <c r="C136" s="63" t="str">
        <f t="shared" si="1"/>
        <v/>
      </c>
      <c r="D136" s="63" t="str">
        <f>IFERROR(__xludf.DUMMYFUNCTION("REGEXREPLACE(B136,""(.*):(.*):(.*)"",""$2"")"),"")</f>
        <v/>
      </c>
      <c r="E136" s="259" t="str">
        <f>IFERROR(__xludf.DUMMYFUNCTION("REGEXREPLACE(B136,""(.*):(.*):(.*)"",""$3"")"),"")</f>
        <v/>
      </c>
      <c r="F136" s="63">
        <f t="shared" si="2"/>
        <v>0</v>
      </c>
    </row>
    <row r="137">
      <c r="B137" s="63"/>
      <c r="C137" s="63" t="str">
        <f t="shared" si="1"/>
        <v/>
      </c>
      <c r="D137" s="63" t="str">
        <f>IFERROR(__xludf.DUMMYFUNCTION("REGEXREPLACE(B137,""(.*):(.*):(.*)"",""$2"")"),"")</f>
        <v/>
      </c>
      <c r="E137" s="259" t="str">
        <f>IFERROR(__xludf.DUMMYFUNCTION("REGEXREPLACE(B137,""(.*):(.*):(.*)"",""$3"")"),"")</f>
        <v/>
      </c>
      <c r="F137" s="63">
        <f t="shared" si="2"/>
        <v>0</v>
      </c>
    </row>
    <row r="138">
      <c r="B138" s="63"/>
      <c r="C138" s="63" t="str">
        <f t="shared" si="1"/>
        <v/>
      </c>
      <c r="D138" s="63" t="str">
        <f>IFERROR(__xludf.DUMMYFUNCTION("REGEXREPLACE(B138,""(.*):(.*):(.*)"",""$2"")"),"")</f>
        <v/>
      </c>
      <c r="E138" s="259" t="str">
        <f>IFERROR(__xludf.DUMMYFUNCTION("REGEXREPLACE(B138,""(.*):(.*):(.*)"",""$3"")"),"")</f>
        <v/>
      </c>
      <c r="F138" s="63">
        <f t="shared" si="2"/>
        <v>0</v>
      </c>
    </row>
    <row r="139">
      <c r="B139" s="63"/>
      <c r="C139" s="63" t="str">
        <f t="shared" si="1"/>
        <v/>
      </c>
      <c r="D139" s="63" t="str">
        <f>IFERROR(__xludf.DUMMYFUNCTION("REGEXREPLACE(B139,""(.*):(.*):(.*)"",""$2"")"),"")</f>
        <v/>
      </c>
      <c r="E139" s="259" t="str">
        <f>IFERROR(__xludf.DUMMYFUNCTION("REGEXREPLACE(B139,""(.*):(.*):(.*)"",""$3"")"),"")</f>
        <v/>
      </c>
      <c r="F139" s="63">
        <f t="shared" si="2"/>
        <v>0</v>
      </c>
    </row>
    <row r="140">
      <c r="B140" s="63"/>
      <c r="C140" s="63" t="str">
        <f t="shared" si="1"/>
        <v/>
      </c>
      <c r="D140" s="63" t="str">
        <f>IFERROR(__xludf.DUMMYFUNCTION("REGEXREPLACE(B140,""(.*):(.*):(.*)"",""$2"")"),"")</f>
        <v/>
      </c>
      <c r="E140" s="259" t="str">
        <f>IFERROR(__xludf.DUMMYFUNCTION("REGEXREPLACE(B140,""(.*):(.*):(.*)"",""$3"")"),"")</f>
        <v/>
      </c>
      <c r="F140" s="63">
        <f t="shared" si="2"/>
        <v>0</v>
      </c>
    </row>
    <row r="141">
      <c r="B141" s="63"/>
      <c r="C141" s="63" t="str">
        <f t="shared" si="1"/>
        <v/>
      </c>
      <c r="D141" s="63" t="str">
        <f>IFERROR(__xludf.DUMMYFUNCTION("REGEXREPLACE(B141,""(.*):(.*):(.*)"",""$2"")"),"")</f>
        <v/>
      </c>
      <c r="E141" s="259" t="str">
        <f>IFERROR(__xludf.DUMMYFUNCTION("REGEXREPLACE(B141,""(.*):(.*):(.*)"",""$3"")"),"")</f>
        <v/>
      </c>
      <c r="F141" s="63">
        <f t="shared" si="2"/>
        <v>0</v>
      </c>
    </row>
    <row r="142">
      <c r="B142" s="63"/>
      <c r="C142" s="63" t="str">
        <f t="shared" si="1"/>
        <v/>
      </c>
      <c r="D142" s="63" t="str">
        <f>IFERROR(__xludf.DUMMYFUNCTION("REGEXREPLACE(B142,""(.*):(.*):(.*)"",""$2"")"),"")</f>
        <v/>
      </c>
      <c r="E142" s="259" t="str">
        <f>IFERROR(__xludf.DUMMYFUNCTION("REGEXREPLACE(B142,""(.*):(.*):(.*)"",""$3"")"),"")</f>
        <v/>
      </c>
      <c r="F142" s="63">
        <f t="shared" si="2"/>
        <v>0</v>
      </c>
    </row>
    <row r="143">
      <c r="B143" s="63"/>
      <c r="C143" s="63" t="str">
        <f t="shared" si="1"/>
        <v/>
      </c>
      <c r="D143" s="63" t="str">
        <f>IFERROR(__xludf.DUMMYFUNCTION("REGEXREPLACE(B143,""(.*):(.*):(.*)"",""$2"")"),"")</f>
        <v/>
      </c>
      <c r="E143" s="259" t="str">
        <f>IFERROR(__xludf.DUMMYFUNCTION("REGEXREPLACE(B143,""(.*):(.*):(.*)"",""$3"")"),"")</f>
        <v/>
      </c>
      <c r="F143" s="63">
        <f t="shared" si="2"/>
        <v>0</v>
      </c>
    </row>
    <row r="144">
      <c r="B144" s="63"/>
      <c r="C144" s="63" t="str">
        <f t="shared" si="1"/>
        <v/>
      </c>
      <c r="D144" s="63" t="str">
        <f>IFERROR(__xludf.DUMMYFUNCTION("REGEXREPLACE(B144,""(.*):(.*):(.*)"",""$2"")"),"")</f>
        <v/>
      </c>
      <c r="E144" s="259" t="str">
        <f>IFERROR(__xludf.DUMMYFUNCTION("REGEXREPLACE(B144,""(.*):(.*):(.*)"",""$3"")"),"")</f>
        <v/>
      </c>
      <c r="F144" s="63">
        <f t="shared" si="2"/>
        <v>0</v>
      </c>
    </row>
    <row r="145">
      <c r="B145" s="63"/>
      <c r="C145" s="63" t="str">
        <f t="shared" si="1"/>
        <v/>
      </c>
      <c r="D145" s="63" t="str">
        <f>IFERROR(__xludf.DUMMYFUNCTION("REGEXREPLACE(B145,""(.*):(.*):(.*)"",""$2"")"),"")</f>
        <v/>
      </c>
      <c r="E145" s="259" t="str">
        <f>IFERROR(__xludf.DUMMYFUNCTION("REGEXREPLACE(B145,""(.*):(.*):(.*)"",""$3"")"),"")</f>
        <v/>
      </c>
      <c r="F145" s="63">
        <f t="shared" si="2"/>
        <v>0</v>
      </c>
    </row>
    <row r="146">
      <c r="B146" s="63"/>
      <c r="C146" s="63" t="str">
        <f t="shared" si="1"/>
        <v/>
      </c>
      <c r="D146" s="63" t="str">
        <f>IFERROR(__xludf.DUMMYFUNCTION("REGEXREPLACE(B146,""(.*):(.*):(.*)"",""$2"")"),"")</f>
        <v/>
      </c>
      <c r="E146" s="259" t="str">
        <f>IFERROR(__xludf.DUMMYFUNCTION("REGEXREPLACE(B146,""(.*):(.*):(.*)"",""$3"")"),"")</f>
        <v/>
      </c>
      <c r="F146" s="63">
        <f t="shared" si="2"/>
        <v>0</v>
      </c>
    </row>
    <row r="147">
      <c r="B147" s="63"/>
      <c r="C147" s="63" t="str">
        <f t="shared" si="1"/>
        <v/>
      </c>
      <c r="D147" s="63" t="str">
        <f>IFERROR(__xludf.DUMMYFUNCTION("REGEXREPLACE(B147,""(.*):(.*):(.*)"",""$2"")"),"")</f>
        <v/>
      </c>
      <c r="E147" s="259" t="str">
        <f>IFERROR(__xludf.DUMMYFUNCTION("REGEXREPLACE(B147,""(.*):(.*):(.*)"",""$3"")"),"")</f>
        <v/>
      </c>
      <c r="F147" s="63">
        <f t="shared" si="2"/>
        <v>0</v>
      </c>
    </row>
    <row r="148">
      <c r="B148" s="63"/>
      <c r="C148" s="63" t="str">
        <f t="shared" si="1"/>
        <v/>
      </c>
      <c r="D148" s="63" t="str">
        <f>IFERROR(__xludf.DUMMYFUNCTION("REGEXREPLACE(B148,""(.*):(.*):(.*)"",""$2"")"),"")</f>
        <v/>
      </c>
      <c r="E148" s="259" t="str">
        <f>IFERROR(__xludf.DUMMYFUNCTION("REGEXREPLACE(B148,""(.*):(.*):(.*)"",""$3"")"),"")</f>
        <v/>
      </c>
      <c r="F148" s="63">
        <f t="shared" si="2"/>
        <v>0</v>
      </c>
    </row>
    <row r="149">
      <c r="B149" s="63"/>
      <c r="C149" s="63" t="str">
        <f t="shared" si="1"/>
        <v/>
      </c>
      <c r="D149" s="63" t="str">
        <f>IFERROR(__xludf.DUMMYFUNCTION("REGEXREPLACE(B149,""(.*):(.*):(.*)"",""$2"")"),"")</f>
        <v/>
      </c>
      <c r="E149" s="259" t="str">
        <f>IFERROR(__xludf.DUMMYFUNCTION("REGEXREPLACE(B149,""(.*):(.*):(.*)"",""$3"")"),"")</f>
        <v/>
      </c>
      <c r="F149" s="63">
        <f t="shared" si="2"/>
        <v>0</v>
      </c>
    </row>
    <row r="150">
      <c r="B150" s="63"/>
      <c r="C150" s="63" t="str">
        <f t="shared" si="1"/>
        <v/>
      </c>
      <c r="D150" s="63" t="str">
        <f>IFERROR(__xludf.DUMMYFUNCTION("REGEXREPLACE(B150,""(.*):(.*):(.*)"",""$2"")"),"")</f>
        <v/>
      </c>
      <c r="E150" s="259" t="str">
        <f>IFERROR(__xludf.DUMMYFUNCTION("REGEXREPLACE(B150,""(.*):(.*):(.*)"",""$3"")"),"")</f>
        <v/>
      </c>
      <c r="F150" s="63">
        <f t="shared" si="2"/>
        <v>0</v>
      </c>
    </row>
    <row r="151">
      <c r="B151" s="63"/>
      <c r="C151" s="63" t="str">
        <f t="shared" si="1"/>
        <v/>
      </c>
      <c r="D151" s="63" t="str">
        <f>IFERROR(__xludf.DUMMYFUNCTION("REGEXREPLACE(B151,""(.*):(.*):(.*)"",""$2"")"),"")</f>
        <v/>
      </c>
      <c r="E151" s="259" t="str">
        <f>IFERROR(__xludf.DUMMYFUNCTION("REGEXREPLACE(B151,""(.*):(.*):(.*)"",""$3"")"),"")</f>
        <v/>
      </c>
      <c r="F151" s="63">
        <f t="shared" si="2"/>
        <v>0</v>
      </c>
    </row>
    <row r="152">
      <c r="B152" s="63"/>
      <c r="C152" s="63" t="str">
        <f t="shared" si="1"/>
        <v/>
      </c>
      <c r="D152" s="63" t="str">
        <f>IFERROR(__xludf.DUMMYFUNCTION("REGEXREPLACE(B152,""(.*):(.*):(.*)"",""$2"")"),"")</f>
        <v/>
      </c>
      <c r="E152" s="259" t="str">
        <f>IFERROR(__xludf.DUMMYFUNCTION("REGEXREPLACE(B152,""(.*):(.*):(.*)"",""$3"")"),"")</f>
        <v/>
      </c>
      <c r="F152" s="63">
        <f t="shared" si="2"/>
        <v>0</v>
      </c>
    </row>
    <row r="153">
      <c r="B153" s="63"/>
      <c r="C153" s="63" t="str">
        <f t="shared" si="1"/>
        <v/>
      </c>
      <c r="D153" s="63" t="str">
        <f>IFERROR(__xludf.DUMMYFUNCTION("REGEXREPLACE(B153,""(.*):(.*):(.*)"",""$2"")"),"")</f>
        <v/>
      </c>
      <c r="E153" s="259" t="str">
        <f>IFERROR(__xludf.DUMMYFUNCTION("REGEXREPLACE(B153,""(.*):(.*):(.*)"",""$3"")"),"")</f>
        <v/>
      </c>
      <c r="F153" s="63">
        <f t="shared" si="2"/>
        <v>0</v>
      </c>
    </row>
    <row r="154">
      <c r="B154" s="63"/>
      <c r="C154" s="63" t="str">
        <f t="shared" si="1"/>
        <v/>
      </c>
      <c r="D154" s="63" t="str">
        <f>IFERROR(__xludf.DUMMYFUNCTION("REGEXREPLACE(B154,""(.*):(.*):(.*)"",""$2"")"),"")</f>
        <v/>
      </c>
      <c r="E154" s="259" t="str">
        <f>IFERROR(__xludf.DUMMYFUNCTION("REGEXREPLACE(B154,""(.*):(.*):(.*)"",""$3"")"),"")</f>
        <v/>
      </c>
      <c r="F154" s="63">
        <f t="shared" si="2"/>
        <v>0</v>
      </c>
    </row>
    <row r="155">
      <c r="B155" s="63"/>
      <c r="C155" s="63" t="str">
        <f t="shared" si="1"/>
        <v/>
      </c>
      <c r="D155" s="63" t="str">
        <f>IFERROR(__xludf.DUMMYFUNCTION("REGEXREPLACE(B155,""(.*):(.*):(.*)"",""$2"")"),"")</f>
        <v/>
      </c>
      <c r="E155" s="259" t="str">
        <f>IFERROR(__xludf.DUMMYFUNCTION("REGEXREPLACE(B155,""(.*):(.*):(.*)"",""$3"")"),"")</f>
        <v/>
      </c>
      <c r="F155" s="63">
        <f t="shared" si="2"/>
        <v>0</v>
      </c>
    </row>
    <row r="156">
      <c r="B156" s="63"/>
      <c r="C156" s="63" t="str">
        <f t="shared" si="1"/>
        <v/>
      </c>
      <c r="D156" s="63" t="str">
        <f>IFERROR(__xludf.DUMMYFUNCTION("REGEXREPLACE(B156,""(.*):(.*):(.*)"",""$2"")"),"")</f>
        <v/>
      </c>
      <c r="E156" s="259" t="str">
        <f>IFERROR(__xludf.DUMMYFUNCTION("REGEXREPLACE(B156,""(.*):(.*):(.*)"",""$3"")"),"")</f>
        <v/>
      </c>
      <c r="F156" s="63">
        <f t="shared" si="2"/>
        <v>0</v>
      </c>
    </row>
    <row r="157">
      <c r="B157" s="63"/>
      <c r="C157" s="63" t="str">
        <f t="shared" si="1"/>
        <v/>
      </c>
      <c r="D157" s="63" t="str">
        <f>IFERROR(__xludf.DUMMYFUNCTION("REGEXREPLACE(B157,""(.*):(.*):(.*)"",""$2"")"),"")</f>
        <v/>
      </c>
      <c r="E157" s="259" t="str">
        <f>IFERROR(__xludf.DUMMYFUNCTION("REGEXREPLACE(B157,""(.*):(.*):(.*)"",""$3"")"),"")</f>
        <v/>
      </c>
      <c r="F157" s="63">
        <f t="shared" si="2"/>
        <v>0</v>
      </c>
    </row>
    <row r="158">
      <c r="B158" s="63"/>
      <c r="C158" s="63" t="str">
        <f t="shared" si="1"/>
        <v/>
      </c>
      <c r="D158" s="63" t="str">
        <f>IFERROR(__xludf.DUMMYFUNCTION("REGEXREPLACE(B158,""(.*):(.*):(.*)"",""$2"")"),"")</f>
        <v/>
      </c>
      <c r="E158" s="259" t="str">
        <f>IFERROR(__xludf.DUMMYFUNCTION("REGEXREPLACE(B158,""(.*):(.*):(.*)"",""$3"")"),"")</f>
        <v/>
      </c>
      <c r="F158" s="63">
        <f t="shared" si="2"/>
        <v>0</v>
      </c>
    </row>
    <row r="159">
      <c r="B159" s="63"/>
      <c r="C159" s="63" t="str">
        <f t="shared" si="1"/>
        <v/>
      </c>
      <c r="D159" s="63" t="str">
        <f>IFERROR(__xludf.DUMMYFUNCTION("REGEXREPLACE(B159,""(.*):(.*):(.*)"",""$2"")"),"")</f>
        <v/>
      </c>
      <c r="E159" s="259" t="str">
        <f>IFERROR(__xludf.DUMMYFUNCTION("REGEXREPLACE(B159,""(.*):(.*):(.*)"",""$3"")"),"")</f>
        <v/>
      </c>
      <c r="F159" s="63">
        <f t="shared" si="2"/>
        <v>0</v>
      </c>
    </row>
    <row r="160">
      <c r="B160" s="63"/>
      <c r="C160" s="63" t="str">
        <f t="shared" si="1"/>
        <v/>
      </c>
      <c r="D160" s="63" t="str">
        <f>IFERROR(__xludf.DUMMYFUNCTION("REGEXREPLACE(B160,""(.*):(.*):(.*)"",""$2"")"),"")</f>
        <v/>
      </c>
      <c r="E160" s="259" t="str">
        <f>IFERROR(__xludf.DUMMYFUNCTION("REGEXREPLACE(B160,""(.*):(.*):(.*)"",""$3"")"),"")</f>
        <v/>
      </c>
      <c r="F160" s="63">
        <f t="shared" si="2"/>
        <v>0</v>
      </c>
    </row>
    <row r="161">
      <c r="B161" s="63"/>
      <c r="C161" s="63" t="str">
        <f t="shared" si="1"/>
        <v/>
      </c>
      <c r="D161" s="63" t="str">
        <f>IFERROR(__xludf.DUMMYFUNCTION("REGEXREPLACE(B161,""(.*):(.*):(.*)"",""$2"")"),"")</f>
        <v/>
      </c>
      <c r="E161" s="259" t="str">
        <f>IFERROR(__xludf.DUMMYFUNCTION("REGEXREPLACE(B161,""(.*):(.*):(.*)"",""$3"")"),"")</f>
        <v/>
      </c>
      <c r="F161" s="63">
        <f t="shared" si="2"/>
        <v>0</v>
      </c>
    </row>
    <row r="162">
      <c r="B162" s="63"/>
      <c r="C162" s="63" t="str">
        <f t="shared" si="1"/>
        <v/>
      </c>
      <c r="D162" s="63" t="str">
        <f>IFERROR(__xludf.DUMMYFUNCTION("REGEXREPLACE(B162,""(.*):(.*):(.*)"",""$2"")"),"")</f>
        <v/>
      </c>
      <c r="E162" s="259" t="str">
        <f>IFERROR(__xludf.DUMMYFUNCTION("REGEXREPLACE(B162,""(.*):(.*):(.*)"",""$3"")"),"")</f>
        <v/>
      </c>
      <c r="F162" s="63">
        <f t="shared" si="2"/>
        <v>0</v>
      </c>
    </row>
    <row r="163">
      <c r="B163" s="63"/>
      <c r="C163" s="63" t="str">
        <f t="shared" si="1"/>
        <v/>
      </c>
      <c r="D163" s="63" t="str">
        <f>IFERROR(__xludf.DUMMYFUNCTION("REGEXREPLACE(B163,""(.*):(.*):(.*)"",""$2"")"),"")</f>
        <v/>
      </c>
      <c r="E163" s="259" t="str">
        <f>IFERROR(__xludf.DUMMYFUNCTION("REGEXREPLACE(B163,""(.*):(.*):(.*)"",""$3"")"),"")</f>
        <v/>
      </c>
      <c r="F163" s="63">
        <f t="shared" si="2"/>
        <v>0</v>
      </c>
    </row>
    <row r="164">
      <c r="B164" s="63"/>
      <c r="C164" s="63" t="str">
        <f t="shared" si="1"/>
        <v/>
      </c>
      <c r="D164" s="63" t="str">
        <f>IFERROR(__xludf.DUMMYFUNCTION("REGEXREPLACE(B164,""(.*):(.*):(.*)"",""$2"")"),"")</f>
        <v/>
      </c>
      <c r="E164" s="259" t="str">
        <f>IFERROR(__xludf.DUMMYFUNCTION("REGEXREPLACE(B164,""(.*):(.*):(.*)"",""$3"")"),"")</f>
        <v/>
      </c>
      <c r="F164" s="63">
        <f t="shared" si="2"/>
        <v>0</v>
      </c>
    </row>
    <row r="165">
      <c r="B165" s="63"/>
      <c r="C165" s="63" t="str">
        <f t="shared" si="1"/>
        <v/>
      </c>
      <c r="D165" s="63" t="str">
        <f>IFERROR(__xludf.DUMMYFUNCTION("REGEXREPLACE(B165,""(.*):(.*):(.*)"",""$2"")"),"")</f>
        <v/>
      </c>
      <c r="E165" s="259" t="str">
        <f>IFERROR(__xludf.DUMMYFUNCTION("REGEXREPLACE(B165,""(.*):(.*):(.*)"",""$3"")"),"")</f>
        <v/>
      </c>
      <c r="F165" s="63">
        <f t="shared" si="2"/>
        <v>0</v>
      </c>
    </row>
    <row r="166">
      <c r="B166" s="63"/>
      <c r="C166" s="63" t="str">
        <f t="shared" si="1"/>
        <v/>
      </c>
      <c r="D166" s="63" t="str">
        <f>IFERROR(__xludf.DUMMYFUNCTION("REGEXREPLACE(B166,""(.*):(.*):(.*)"",""$2"")"),"")</f>
        <v/>
      </c>
      <c r="E166" s="259" t="str">
        <f>IFERROR(__xludf.DUMMYFUNCTION("REGEXREPLACE(B166,""(.*):(.*):(.*)"",""$3"")"),"")</f>
        <v/>
      </c>
      <c r="F166" s="63">
        <f t="shared" si="2"/>
        <v>0</v>
      </c>
    </row>
    <row r="167">
      <c r="B167" s="63"/>
      <c r="C167" s="63" t="str">
        <f t="shared" si="1"/>
        <v/>
      </c>
      <c r="D167" s="63" t="str">
        <f>IFERROR(__xludf.DUMMYFUNCTION("REGEXREPLACE(B167,""(.*):(.*):(.*)"",""$2"")"),"")</f>
        <v/>
      </c>
      <c r="E167" s="259" t="str">
        <f>IFERROR(__xludf.DUMMYFUNCTION("REGEXREPLACE(B167,""(.*):(.*):(.*)"",""$3"")"),"")</f>
        <v/>
      </c>
      <c r="F167" s="63">
        <f t="shared" si="2"/>
        <v>0</v>
      </c>
    </row>
    <row r="168">
      <c r="B168" s="63"/>
      <c r="C168" s="63" t="str">
        <f t="shared" si="1"/>
        <v/>
      </c>
      <c r="D168" s="63" t="str">
        <f>IFERROR(__xludf.DUMMYFUNCTION("REGEXREPLACE(B168,""(.*):(.*):(.*)"",""$2"")"),"")</f>
        <v/>
      </c>
      <c r="E168" s="259" t="str">
        <f>IFERROR(__xludf.DUMMYFUNCTION("REGEXREPLACE(B168,""(.*):(.*):(.*)"",""$3"")"),"")</f>
        <v/>
      </c>
      <c r="F168" s="63">
        <f t="shared" si="2"/>
        <v>0</v>
      </c>
    </row>
    <row r="169">
      <c r="B169" s="63"/>
      <c r="C169" s="63" t="str">
        <f t="shared" si="1"/>
        <v/>
      </c>
      <c r="D169" s="63" t="str">
        <f>IFERROR(__xludf.DUMMYFUNCTION("REGEXREPLACE(B169,""(.*):(.*):(.*)"",""$2"")"),"")</f>
        <v/>
      </c>
      <c r="E169" s="259" t="str">
        <f>IFERROR(__xludf.DUMMYFUNCTION("REGEXREPLACE(B169,""(.*):(.*):(.*)"",""$3"")"),"")</f>
        <v/>
      </c>
      <c r="F169" s="63">
        <f t="shared" si="2"/>
        <v>0</v>
      </c>
    </row>
    <row r="170">
      <c r="B170" s="63"/>
      <c r="C170" s="63" t="str">
        <f t="shared" si="1"/>
        <v/>
      </c>
      <c r="D170" s="63" t="str">
        <f>IFERROR(__xludf.DUMMYFUNCTION("REGEXREPLACE(B170,""(.*):(.*):(.*)"",""$2"")"),"")</f>
        <v/>
      </c>
      <c r="E170" s="259" t="str">
        <f>IFERROR(__xludf.DUMMYFUNCTION("REGEXREPLACE(B170,""(.*):(.*):(.*)"",""$3"")"),"")</f>
        <v/>
      </c>
      <c r="F170" s="63">
        <f t="shared" si="2"/>
        <v>0</v>
      </c>
    </row>
    <row r="171">
      <c r="B171" s="63"/>
      <c r="C171" s="63" t="str">
        <f t="shared" si="1"/>
        <v/>
      </c>
      <c r="D171" s="63" t="str">
        <f>IFERROR(__xludf.DUMMYFUNCTION("REGEXREPLACE(B171,""(.*):(.*):(.*)"",""$2"")"),"")</f>
        <v/>
      </c>
      <c r="E171" s="259" t="str">
        <f>IFERROR(__xludf.DUMMYFUNCTION("REGEXREPLACE(B171,""(.*):(.*):(.*)"",""$3"")"),"")</f>
        <v/>
      </c>
      <c r="F171" s="63">
        <f t="shared" si="2"/>
        <v>0</v>
      </c>
    </row>
    <row r="172">
      <c r="B172" s="63"/>
      <c r="C172" s="63" t="str">
        <f t="shared" si="1"/>
        <v/>
      </c>
      <c r="D172" s="63" t="str">
        <f>IFERROR(__xludf.DUMMYFUNCTION("REGEXREPLACE(B172,""(.*):(.*):(.*)"",""$2"")"),"")</f>
        <v/>
      </c>
      <c r="E172" s="259" t="str">
        <f>IFERROR(__xludf.DUMMYFUNCTION("REGEXREPLACE(B172,""(.*):(.*):(.*)"",""$3"")"),"")</f>
        <v/>
      </c>
      <c r="F172" s="63">
        <f t="shared" si="2"/>
        <v>0</v>
      </c>
    </row>
    <row r="173">
      <c r="B173" s="63"/>
      <c r="C173" s="63" t="str">
        <f t="shared" si="1"/>
        <v/>
      </c>
      <c r="D173" s="63" t="str">
        <f>IFERROR(__xludf.DUMMYFUNCTION("REGEXREPLACE(B173,""(.*):(.*):(.*)"",""$2"")"),"")</f>
        <v/>
      </c>
      <c r="E173" s="259" t="str">
        <f>IFERROR(__xludf.DUMMYFUNCTION("REGEXREPLACE(B173,""(.*):(.*):(.*)"",""$3"")"),"")</f>
        <v/>
      </c>
      <c r="F173" s="63">
        <f t="shared" si="2"/>
        <v>0</v>
      </c>
    </row>
    <row r="174">
      <c r="B174" s="63"/>
      <c r="C174" s="63" t="str">
        <f t="shared" si="1"/>
        <v/>
      </c>
      <c r="D174" s="63" t="str">
        <f>IFERROR(__xludf.DUMMYFUNCTION("REGEXREPLACE(B174,""(.*):(.*):(.*)"",""$2"")"),"")</f>
        <v/>
      </c>
      <c r="E174" s="259" t="str">
        <f>IFERROR(__xludf.DUMMYFUNCTION("REGEXREPLACE(B174,""(.*):(.*):(.*)"",""$3"")"),"")</f>
        <v/>
      </c>
      <c r="F174" s="63">
        <f t="shared" si="2"/>
        <v>0</v>
      </c>
    </row>
    <row r="175">
      <c r="B175" s="63"/>
      <c r="C175" s="63" t="str">
        <f t="shared" si="1"/>
        <v/>
      </c>
      <c r="D175" s="63" t="str">
        <f>IFERROR(__xludf.DUMMYFUNCTION("REGEXREPLACE(B175,""(.*):(.*):(.*)"",""$2"")"),"")</f>
        <v/>
      </c>
      <c r="E175" s="259" t="str">
        <f>IFERROR(__xludf.DUMMYFUNCTION("REGEXREPLACE(B175,""(.*):(.*):(.*)"",""$3"")"),"")</f>
        <v/>
      </c>
      <c r="F175" s="63">
        <f t="shared" si="2"/>
        <v>0</v>
      </c>
    </row>
    <row r="176">
      <c r="B176" s="63"/>
      <c r="C176" s="63" t="str">
        <f t="shared" si="1"/>
        <v/>
      </c>
      <c r="D176" s="63" t="str">
        <f>IFERROR(__xludf.DUMMYFUNCTION("REGEXREPLACE(B176,""(.*):(.*):(.*)"",""$2"")"),"")</f>
        <v/>
      </c>
      <c r="E176" s="259" t="str">
        <f>IFERROR(__xludf.DUMMYFUNCTION("REGEXREPLACE(B176,""(.*):(.*):(.*)"",""$3"")"),"")</f>
        <v/>
      </c>
      <c r="F176" s="63">
        <f t="shared" si="2"/>
        <v>0</v>
      </c>
    </row>
    <row r="177">
      <c r="B177" s="63"/>
      <c r="C177" s="63" t="str">
        <f t="shared" si="1"/>
        <v/>
      </c>
      <c r="D177" s="63" t="str">
        <f>IFERROR(__xludf.DUMMYFUNCTION("REGEXREPLACE(B177,""(.*):(.*):(.*)"",""$2"")"),"")</f>
        <v/>
      </c>
      <c r="E177" s="259" t="str">
        <f>IFERROR(__xludf.DUMMYFUNCTION("REGEXREPLACE(B177,""(.*):(.*):(.*)"",""$3"")"),"")</f>
        <v/>
      </c>
      <c r="F177" s="63">
        <f t="shared" si="2"/>
        <v>0</v>
      </c>
    </row>
    <row r="178">
      <c r="B178" s="63"/>
      <c r="C178" s="63" t="str">
        <f t="shared" si="1"/>
        <v/>
      </c>
      <c r="D178" s="63" t="str">
        <f>IFERROR(__xludf.DUMMYFUNCTION("REGEXREPLACE(B178,""(.*):(.*):(.*)"",""$2"")"),"")</f>
        <v/>
      </c>
      <c r="E178" s="259" t="str">
        <f>IFERROR(__xludf.DUMMYFUNCTION("REGEXREPLACE(B178,""(.*):(.*):(.*)"",""$3"")"),"")</f>
        <v/>
      </c>
      <c r="F178" s="63">
        <f t="shared" si="2"/>
        <v>0</v>
      </c>
    </row>
    <row r="179">
      <c r="B179" s="63"/>
      <c r="C179" s="63" t="str">
        <f t="shared" si="1"/>
        <v/>
      </c>
      <c r="D179" s="63" t="str">
        <f>IFERROR(__xludf.DUMMYFUNCTION("REGEXREPLACE(B179,""(.*):(.*):(.*)"",""$2"")"),"")</f>
        <v/>
      </c>
      <c r="E179" s="259" t="str">
        <f>IFERROR(__xludf.DUMMYFUNCTION("REGEXREPLACE(B179,""(.*):(.*):(.*)"",""$3"")"),"")</f>
        <v/>
      </c>
      <c r="F179" s="63">
        <f t="shared" si="2"/>
        <v>0</v>
      </c>
    </row>
    <row r="180">
      <c r="B180" s="63"/>
      <c r="C180" s="63" t="str">
        <f t="shared" si="1"/>
        <v/>
      </c>
      <c r="D180" s="63" t="str">
        <f>IFERROR(__xludf.DUMMYFUNCTION("REGEXREPLACE(B180,""(.*):(.*):(.*)"",""$2"")"),"")</f>
        <v/>
      </c>
      <c r="E180" s="259" t="str">
        <f>IFERROR(__xludf.DUMMYFUNCTION("REGEXREPLACE(B180,""(.*):(.*):(.*)"",""$3"")"),"")</f>
        <v/>
      </c>
      <c r="F180" s="63">
        <f t="shared" si="2"/>
        <v>0</v>
      </c>
    </row>
    <row r="181">
      <c r="B181" s="63"/>
      <c r="C181" s="63" t="str">
        <f t="shared" si="1"/>
        <v/>
      </c>
      <c r="D181" s="63" t="str">
        <f>IFERROR(__xludf.DUMMYFUNCTION("REGEXREPLACE(B181,""(.*):(.*):(.*)"",""$2"")"),"")</f>
        <v/>
      </c>
      <c r="E181" s="259" t="str">
        <f>IFERROR(__xludf.DUMMYFUNCTION("REGEXREPLACE(B181,""(.*):(.*):(.*)"",""$3"")"),"")</f>
        <v/>
      </c>
      <c r="F181" s="63">
        <f t="shared" si="2"/>
        <v>0</v>
      </c>
    </row>
    <row r="182">
      <c r="B182" s="63"/>
      <c r="C182" s="63" t="str">
        <f t="shared" si="1"/>
        <v/>
      </c>
      <c r="D182" s="63" t="str">
        <f>IFERROR(__xludf.DUMMYFUNCTION("REGEXREPLACE(B182,""(.*):(.*):(.*)"",""$2"")"),"")</f>
        <v/>
      </c>
      <c r="E182" s="259" t="str">
        <f>IFERROR(__xludf.DUMMYFUNCTION("REGEXREPLACE(B182,""(.*):(.*):(.*)"",""$3"")"),"")</f>
        <v/>
      </c>
      <c r="F182" s="63">
        <f t="shared" si="2"/>
        <v>0</v>
      </c>
    </row>
    <row r="183">
      <c r="B183" s="63"/>
      <c r="C183" s="63" t="str">
        <f t="shared" si="1"/>
        <v/>
      </c>
      <c r="D183" s="63" t="str">
        <f>IFERROR(__xludf.DUMMYFUNCTION("REGEXREPLACE(B183,""(.*):(.*):(.*)"",""$2"")"),"")</f>
        <v/>
      </c>
      <c r="E183" s="259" t="str">
        <f>IFERROR(__xludf.DUMMYFUNCTION("REGEXREPLACE(B183,""(.*):(.*):(.*)"",""$3"")"),"")</f>
        <v/>
      </c>
      <c r="F183" s="63">
        <f t="shared" si="2"/>
        <v>0</v>
      </c>
    </row>
    <row r="184">
      <c r="B184" s="63"/>
      <c r="C184" s="63" t="str">
        <f t="shared" si="1"/>
        <v/>
      </c>
      <c r="D184" s="63" t="str">
        <f>IFERROR(__xludf.DUMMYFUNCTION("REGEXREPLACE(B184,""(.*):(.*):(.*)"",""$2"")"),"")</f>
        <v/>
      </c>
      <c r="E184" s="259" t="str">
        <f>IFERROR(__xludf.DUMMYFUNCTION("REGEXREPLACE(B184,""(.*):(.*):(.*)"",""$3"")"),"")</f>
        <v/>
      </c>
      <c r="F184" s="63">
        <f t="shared" si="2"/>
        <v>0</v>
      </c>
    </row>
    <row r="185">
      <c r="B185" s="63"/>
      <c r="C185" s="63" t="str">
        <f t="shared" si="1"/>
        <v/>
      </c>
      <c r="D185" s="63" t="str">
        <f>IFERROR(__xludf.DUMMYFUNCTION("REGEXREPLACE(B185,""(.*):(.*):(.*)"",""$2"")"),"")</f>
        <v/>
      </c>
      <c r="E185" s="259" t="str">
        <f>IFERROR(__xludf.DUMMYFUNCTION("REGEXREPLACE(B185,""(.*):(.*):(.*)"",""$3"")"),"")</f>
        <v/>
      </c>
      <c r="F185" s="63">
        <f t="shared" si="2"/>
        <v>0</v>
      </c>
    </row>
    <row r="186">
      <c r="B186" s="63"/>
      <c r="C186" s="63" t="str">
        <f t="shared" si="1"/>
        <v/>
      </c>
      <c r="D186" s="63" t="str">
        <f>IFERROR(__xludf.DUMMYFUNCTION("REGEXREPLACE(B186,""(.*):(.*):(.*)"",""$2"")"),"")</f>
        <v/>
      </c>
      <c r="E186" s="259" t="str">
        <f>IFERROR(__xludf.DUMMYFUNCTION("REGEXREPLACE(B186,""(.*):(.*):(.*)"",""$3"")"),"")</f>
        <v/>
      </c>
      <c r="F186" s="63">
        <f t="shared" si="2"/>
        <v>0</v>
      </c>
    </row>
    <row r="187">
      <c r="B187" s="63"/>
      <c r="C187" s="63" t="str">
        <f t="shared" si="1"/>
        <v/>
      </c>
      <c r="D187" s="63" t="str">
        <f>IFERROR(__xludf.DUMMYFUNCTION("REGEXREPLACE(B187,""(.*):(.*):(.*)"",""$2"")"),"")</f>
        <v/>
      </c>
      <c r="E187" s="259" t="str">
        <f>IFERROR(__xludf.DUMMYFUNCTION("REGEXREPLACE(B187,""(.*):(.*):(.*)"",""$3"")"),"")</f>
        <v/>
      </c>
      <c r="F187" s="63">
        <f t="shared" si="2"/>
        <v>0</v>
      </c>
    </row>
    <row r="188">
      <c r="B188" s="63"/>
      <c r="C188" s="63" t="str">
        <f t="shared" si="1"/>
        <v/>
      </c>
      <c r="D188" s="63" t="str">
        <f>IFERROR(__xludf.DUMMYFUNCTION("REGEXREPLACE(B188,""(.*):(.*):(.*)"",""$2"")"),"")</f>
        <v/>
      </c>
      <c r="E188" s="259" t="str">
        <f>IFERROR(__xludf.DUMMYFUNCTION("REGEXREPLACE(B188,""(.*):(.*):(.*)"",""$3"")"),"")</f>
        <v/>
      </c>
      <c r="F188" s="63">
        <f t="shared" si="2"/>
        <v>0</v>
      </c>
    </row>
    <row r="189">
      <c r="B189" s="63"/>
      <c r="C189" s="63" t="str">
        <f t="shared" si="1"/>
        <v/>
      </c>
      <c r="D189" s="63" t="str">
        <f>IFERROR(__xludf.DUMMYFUNCTION("REGEXREPLACE(B189,""(.*):(.*):(.*)"",""$2"")"),"")</f>
        <v/>
      </c>
      <c r="E189" s="259" t="str">
        <f>IFERROR(__xludf.DUMMYFUNCTION("REGEXREPLACE(B189,""(.*):(.*):(.*)"",""$3"")"),"")</f>
        <v/>
      </c>
      <c r="F189" s="63">
        <f t="shared" si="2"/>
        <v>0</v>
      </c>
    </row>
    <row r="190">
      <c r="B190" s="63"/>
      <c r="C190" s="63" t="str">
        <f t="shared" si="1"/>
        <v/>
      </c>
      <c r="D190" s="63" t="str">
        <f>IFERROR(__xludf.DUMMYFUNCTION("REGEXREPLACE(B190,""(.*):(.*):(.*)"",""$2"")"),"")</f>
        <v/>
      </c>
      <c r="E190" s="259" t="str">
        <f>IFERROR(__xludf.DUMMYFUNCTION("REGEXREPLACE(B190,""(.*):(.*):(.*)"",""$3"")"),"")</f>
        <v/>
      </c>
      <c r="F190" s="63">
        <f t="shared" si="2"/>
        <v>0</v>
      </c>
    </row>
    <row r="191">
      <c r="B191" s="63"/>
      <c r="C191" s="63" t="str">
        <f t="shared" si="1"/>
        <v/>
      </c>
      <c r="D191" s="63" t="str">
        <f>IFERROR(__xludf.DUMMYFUNCTION("REGEXREPLACE(B191,""(.*):(.*):(.*)"",""$2"")"),"")</f>
        <v/>
      </c>
      <c r="E191" s="259" t="str">
        <f>IFERROR(__xludf.DUMMYFUNCTION("REGEXREPLACE(B191,""(.*):(.*):(.*)"",""$3"")"),"")</f>
        <v/>
      </c>
      <c r="F191" s="63">
        <f t="shared" si="2"/>
        <v>0</v>
      </c>
    </row>
    <row r="192">
      <c r="B192" s="63"/>
      <c r="C192" s="63" t="str">
        <f t="shared" si="1"/>
        <v/>
      </c>
      <c r="D192" s="63" t="str">
        <f>IFERROR(__xludf.DUMMYFUNCTION("REGEXREPLACE(B192,""(.*):(.*):(.*)"",""$2"")"),"")</f>
        <v/>
      </c>
      <c r="E192" s="259" t="str">
        <f>IFERROR(__xludf.DUMMYFUNCTION("REGEXREPLACE(B192,""(.*):(.*):(.*)"",""$3"")"),"")</f>
        <v/>
      </c>
      <c r="F192" s="63">
        <f t="shared" si="2"/>
        <v>0</v>
      </c>
    </row>
    <row r="193">
      <c r="B193" s="63"/>
      <c r="C193" s="63" t="str">
        <f t="shared" si="1"/>
        <v/>
      </c>
      <c r="D193" s="63" t="str">
        <f>IFERROR(__xludf.DUMMYFUNCTION("REGEXREPLACE(B193,""(.*):(.*):(.*)"",""$2"")"),"")</f>
        <v/>
      </c>
      <c r="E193" s="259" t="str">
        <f>IFERROR(__xludf.DUMMYFUNCTION("REGEXREPLACE(B193,""(.*):(.*):(.*)"",""$3"")"),"")</f>
        <v/>
      </c>
      <c r="F193" s="63">
        <f t="shared" si="2"/>
        <v>0</v>
      </c>
    </row>
    <row r="194">
      <c r="B194" s="63"/>
      <c r="C194" s="63" t="str">
        <f t="shared" si="1"/>
        <v/>
      </c>
      <c r="D194" s="63" t="str">
        <f>IFERROR(__xludf.DUMMYFUNCTION("REGEXREPLACE(B194,""(.*):(.*):(.*)"",""$2"")"),"")</f>
        <v/>
      </c>
      <c r="E194" s="259" t="str">
        <f>IFERROR(__xludf.DUMMYFUNCTION("REGEXREPLACE(B194,""(.*):(.*):(.*)"",""$3"")"),"")</f>
        <v/>
      </c>
      <c r="F194" s="63">
        <f t="shared" si="2"/>
        <v>0</v>
      </c>
    </row>
    <row r="195">
      <c r="B195" s="63"/>
      <c r="C195" s="63" t="str">
        <f t="shared" si="1"/>
        <v/>
      </c>
      <c r="D195" s="63" t="str">
        <f>IFERROR(__xludf.DUMMYFUNCTION("REGEXREPLACE(B195,""(.*):(.*):(.*)"",""$2"")"),"")</f>
        <v/>
      </c>
      <c r="E195" s="259" t="str">
        <f>IFERROR(__xludf.DUMMYFUNCTION("REGEXREPLACE(B195,""(.*):(.*):(.*)"",""$3"")"),"")</f>
        <v/>
      </c>
      <c r="F195" s="63">
        <f t="shared" si="2"/>
        <v>0</v>
      </c>
    </row>
    <row r="196">
      <c r="B196" s="63"/>
      <c r="C196" s="63" t="str">
        <f t="shared" si="1"/>
        <v/>
      </c>
      <c r="D196" s="63" t="str">
        <f>IFERROR(__xludf.DUMMYFUNCTION("REGEXREPLACE(B196,""(.*):(.*):(.*)"",""$2"")"),"")</f>
        <v/>
      </c>
      <c r="E196" s="259" t="str">
        <f>IFERROR(__xludf.DUMMYFUNCTION("REGEXREPLACE(B196,""(.*):(.*):(.*)"",""$3"")"),"")</f>
        <v/>
      </c>
      <c r="F196" s="63">
        <f t="shared" si="2"/>
        <v>0</v>
      </c>
    </row>
    <row r="197">
      <c r="B197" s="63"/>
      <c r="C197" s="63" t="str">
        <f t="shared" si="1"/>
        <v/>
      </c>
      <c r="D197" s="63" t="str">
        <f>IFERROR(__xludf.DUMMYFUNCTION("REGEXREPLACE(B197,""(.*):(.*):(.*)"",""$2"")"),"")</f>
        <v/>
      </c>
      <c r="E197" s="259" t="str">
        <f>IFERROR(__xludf.DUMMYFUNCTION("REGEXREPLACE(B197,""(.*):(.*):(.*)"",""$3"")"),"")</f>
        <v/>
      </c>
      <c r="F197" s="63">
        <f t="shared" si="2"/>
        <v>0</v>
      </c>
    </row>
    <row r="198">
      <c r="B198" s="63"/>
      <c r="C198" s="63" t="str">
        <f t="shared" si="1"/>
        <v/>
      </c>
      <c r="D198" s="63" t="str">
        <f>IFERROR(__xludf.DUMMYFUNCTION("REGEXREPLACE(B198,""(.*):(.*):(.*)"",""$2"")"),"")</f>
        <v/>
      </c>
      <c r="E198" s="259" t="str">
        <f>IFERROR(__xludf.DUMMYFUNCTION("REGEXREPLACE(B198,""(.*):(.*):(.*)"",""$3"")"),"")</f>
        <v/>
      </c>
      <c r="F198" s="63">
        <f t="shared" si="2"/>
        <v>0</v>
      </c>
    </row>
    <row r="199">
      <c r="B199" s="63"/>
      <c r="C199" s="63" t="str">
        <f t="shared" si="1"/>
        <v/>
      </c>
      <c r="D199" s="63" t="str">
        <f>IFERROR(__xludf.DUMMYFUNCTION("REGEXREPLACE(B199,""(.*):(.*):(.*)"",""$2"")"),"")</f>
        <v/>
      </c>
      <c r="E199" s="259" t="str">
        <f>IFERROR(__xludf.DUMMYFUNCTION("REGEXREPLACE(B199,""(.*):(.*):(.*)"",""$3"")"),"")</f>
        <v/>
      </c>
      <c r="F199" s="63">
        <f t="shared" si="2"/>
        <v>0</v>
      </c>
    </row>
    <row r="200">
      <c r="B200" s="63"/>
      <c r="C200" s="63" t="str">
        <f t="shared" si="1"/>
        <v/>
      </c>
      <c r="D200" s="63" t="str">
        <f>IFERROR(__xludf.DUMMYFUNCTION("REGEXREPLACE(B200,""(.*):(.*):(.*)"",""$2"")"),"")</f>
        <v/>
      </c>
      <c r="E200" s="259" t="str">
        <f>IFERROR(__xludf.DUMMYFUNCTION("REGEXREPLACE(B200,""(.*):(.*):(.*)"",""$3"")"),"")</f>
        <v/>
      </c>
      <c r="F200" s="63">
        <f t="shared" si="2"/>
        <v>0</v>
      </c>
    </row>
    <row r="201">
      <c r="B201" s="63"/>
      <c r="C201" s="63" t="str">
        <f t="shared" si="1"/>
        <v/>
      </c>
      <c r="D201" s="63" t="str">
        <f>IFERROR(__xludf.DUMMYFUNCTION("REGEXREPLACE(B201,""(.*):(.*):(.*)"",""$2"")"),"")</f>
        <v/>
      </c>
      <c r="E201" s="259" t="str">
        <f>IFERROR(__xludf.DUMMYFUNCTION("REGEXREPLACE(B201,""(.*):(.*):(.*)"",""$3"")"),"")</f>
        <v/>
      </c>
      <c r="F201" s="63">
        <f t="shared" si="2"/>
        <v>0</v>
      </c>
    </row>
    <row r="202">
      <c r="B202" s="63"/>
      <c r="C202" s="63" t="str">
        <f t="shared" si="1"/>
        <v/>
      </c>
      <c r="D202" s="63" t="str">
        <f>IFERROR(__xludf.DUMMYFUNCTION("REGEXREPLACE(B202,""(.*):(.*):(.*)"",""$2"")"),"")</f>
        <v/>
      </c>
      <c r="E202" s="259" t="str">
        <f>IFERROR(__xludf.DUMMYFUNCTION("REGEXREPLACE(B202,""(.*):(.*):(.*)"",""$3"")"),"")</f>
        <v/>
      </c>
      <c r="F202" s="63">
        <f t="shared" si="2"/>
        <v>0</v>
      </c>
    </row>
    <row r="203">
      <c r="B203" s="63"/>
      <c r="C203" s="63" t="str">
        <f t="shared" si="1"/>
        <v/>
      </c>
      <c r="D203" s="63" t="str">
        <f>IFERROR(__xludf.DUMMYFUNCTION("REGEXREPLACE(B203,""(.*):(.*):(.*)"",""$2"")"),"")</f>
        <v/>
      </c>
      <c r="E203" s="259" t="str">
        <f>IFERROR(__xludf.DUMMYFUNCTION("REGEXREPLACE(B203,""(.*):(.*):(.*)"",""$3"")"),"")</f>
        <v/>
      </c>
      <c r="F203" s="63">
        <f t="shared" si="2"/>
        <v>0</v>
      </c>
    </row>
    <row r="204">
      <c r="B204" s="63"/>
      <c r="C204" s="63" t="str">
        <f t="shared" si="1"/>
        <v/>
      </c>
      <c r="D204" s="63" t="str">
        <f>IFERROR(__xludf.DUMMYFUNCTION("REGEXREPLACE(B204,""(.*):(.*):(.*)"",""$2"")"),"")</f>
        <v/>
      </c>
      <c r="E204" s="259" t="str">
        <f>IFERROR(__xludf.DUMMYFUNCTION("REGEXREPLACE(B204,""(.*):(.*):(.*)"",""$3"")"),"")</f>
        <v/>
      </c>
      <c r="F204" s="63">
        <f t="shared" si="2"/>
        <v>0</v>
      </c>
    </row>
    <row r="205">
      <c r="B205" s="63"/>
      <c r="C205" s="63" t="str">
        <f t="shared" si="1"/>
        <v/>
      </c>
      <c r="D205" s="63" t="str">
        <f>IFERROR(__xludf.DUMMYFUNCTION("REGEXREPLACE(B205,""(.*):(.*):(.*)"",""$2"")"),"")</f>
        <v/>
      </c>
      <c r="E205" s="259" t="str">
        <f>IFERROR(__xludf.DUMMYFUNCTION("REGEXREPLACE(B205,""(.*):(.*):(.*)"",""$3"")"),"")</f>
        <v/>
      </c>
      <c r="F205" s="63">
        <f t="shared" si="2"/>
        <v>0</v>
      </c>
    </row>
    <row r="206">
      <c r="B206" s="63"/>
      <c r="C206" s="63" t="str">
        <f t="shared" si="1"/>
        <v/>
      </c>
      <c r="D206" s="63" t="str">
        <f>IFERROR(__xludf.DUMMYFUNCTION("REGEXREPLACE(B206,""(.*):(.*):(.*)"",""$2"")"),"")</f>
        <v/>
      </c>
      <c r="E206" s="259" t="str">
        <f>IFERROR(__xludf.DUMMYFUNCTION("REGEXREPLACE(B206,""(.*):(.*):(.*)"",""$3"")"),"")</f>
        <v/>
      </c>
      <c r="F206" s="63">
        <f t="shared" si="2"/>
        <v>0</v>
      </c>
    </row>
    <row r="207">
      <c r="B207" s="63"/>
      <c r="C207" s="63" t="str">
        <f t="shared" si="1"/>
        <v/>
      </c>
      <c r="D207" s="63" t="str">
        <f>IFERROR(__xludf.DUMMYFUNCTION("REGEXREPLACE(B207,""(.*):(.*):(.*)"",""$2"")"),"")</f>
        <v/>
      </c>
      <c r="E207" s="259" t="str">
        <f>IFERROR(__xludf.DUMMYFUNCTION("REGEXREPLACE(B207,""(.*):(.*):(.*)"",""$3"")"),"")</f>
        <v/>
      </c>
      <c r="F207" s="63">
        <f t="shared" si="2"/>
        <v>0</v>
      </c>
    </row>
    <row r="208">
      <c r="B208" s="63"/>
      <c r="C208" s="63" t="str">
        <f t="shared" si="1"/>
        <v/>
      </c>
      <c r="D208" s="63" t="str">
        <f>IFERROR(__xludf.DUMMYFUNCTION("REGEXREPLACE(B208,""(.*):(.*):(.*)"",""$2"")"),"")</f>
        <v/>
      </c>
      <c r="E208" s="259" t="str">
        <f>IFERROR(__xludf.DUMMYFUNCTION("REGEXREPLACE(B208,""(.*):(.*):(.*)"",""$3"")"),"")</f>
        <v/>
      </c>
      <c r="F208" s="63">
        <f t="shared" si="2"/>
        <v>0</v>
      </c>
    </row>
    <row r="209">
      <c r="B209" s="63"/>
      <c r="C209" s="63" t="str">
        <f t="shared" si="1"/>
        <v/>
      </c>
      <c r="D209" s="63" t="str">
        <f>IFERROR(__xludf.DUMMYFUNCTION("REGEXREPLACE(B209,""(.*):(.*):(.*)"",""$2"")"),"")</f>
        <v/>
      </c>
      <c r="E209" s="259" t="str">
        <f>IFERROR(__xludf.DUMMYFUNCTION("REGEXREPLACE(B209,""(.*):(.*):(.*)"",""$3"")"),"")</f>
        <v/>
      </c>
      <c r="F209" s="63">
        <f t="shared" si="2"/>
        <v>0</v>
      </c>
    </row>
    <row r="210">
      <c r="B210" s="63"/>
      <c r="C210" s="63" t="str">
        <f t="shared" si="1"/>
        <v/>
      </c>
      <c r="D210" s="63" t="str">
        <f>IFERROR(__xludf.DUMMYFUNCTION("REGEXREPLACE(B210,""(.*):(.*):(.*)"",""$2"")"),"")</f>
        <v/>
      </c>
      <c r="E210" s="259" t="str">
        <f>IFERROR(__xludf.DUMMYFUNCTION("REGEXREPLACE(B210,""(.*):(.*):(.*)"",""$3"")"),"")</f>
        <v/>
      </c>
      <c r="F210" s="63">
        <f t="shared" si="2"/>
        <v>0</v>
      </c>
    </row>
    <row r="211">
      <c r="B211" s="63"/>
      <c r="C211" s="63" t="str">
        <f t="shared" si="1"/>
        <v/>
      </c>
      <c r="D211" s="63" t="str">
        <f>IFERROR(__xludf.DUMMYFUNCTION("REGEXREPLACE(B211,""(.*):(.*):(.*)"",""$2"")"),"")</f>
        <v/>
      </c>
      <c r="E211" s="259" t="str">
        <f>IFERROR(__xludf.DUMMYFUNCTION("REGEXREPLACE(B211,""(.*):(.*):(.*)"",""$3"")"),"")</f>
        <v/>
      </c>
      <c r="F211" s="63">
        <f t="shared" si="2"/>
        <v>0</v>
      </c>
    </row>
    <row r="212">
      <c r="B212" s="63"/>
      <c r="C212" s="63" t="str">
        <f t="shared" si="1"/>
        <v/>
      </c>
      <c r="D212" s="63" t="str">
        <f>IFERROR(__xludf.DUMMYFUNCTION("REGEXREPLACE(B212,""(.*):(.*):(.*)"",""$2"")"),"")</f>
        <v/>
      </c>
      <c r="E212" s="259" t="str">
        <f>IFERROR(__xludf.DUMMYFUNCTION("REGEXREPLACE(B212,""(.*):(.*):(.*)"",""$3"")"),"")</f>
        <v/>
      </c>
      <c r="F212" s="63">
        <f t="shared" si="2"/>
        <v>0</v>
      </c>
    </row>
    <row r="213">
      <c r="B213" s="63"/>
      <c r="C213" s="63" t="str">
        <f t="shared" si="1"/>
        <v/>
      </c>
      <c r="D213" s="63" t="str">
        <f>IFERROR(__xludf.DUMMYFUNCTION("REGEXREPLACE(B213,""(.*):(.*):(.*)"",""$2"")"),"")</f>
        <v/>
      </c>
      <c r="E213" s="259" t="str">
        <f>IFERROR(__xludf.DUMMYFUNCTION("REGEXREPLACE(B213,""(.*):(.*):(.*)"",""$3"")"),"")</f>
        <v/>
      </c>
      <c r="F213" s="63">
        <f t="shared" si="2"/>
        <v>0</v>
      </c>
    </row>
    <row r="214">
      <c r="B214" s="63"/>
      <c r="C214" s="63" t="str">
        <f t="shared" si="1"/>
        <v/>
      </c>
      <c r="D214" s="63" t="str">
        <f>IFERROR(__xludf.DUMMYFUNCTION("REGEXREPLACE(B214,""(.*):(.*):(.*)"",""$2"")"),"")</f>
        <v/>
      </c>
      <c r="E214" s="259" t="str">
        <f>IFERROR(__xludf.DUMMYFUNCTION("REGEXREPLACE(B214,""(.*):(.*):(.*)"",""$3"")"),"")</f>
        <v/>
      </c>
      <c r="F214" s="63">
        <f t="shared" si="2"/>
        <v>0</v>
      </c>
    </row>
    <row r="215">
      <c r="B215" s="63"/>
      <c r="C215" s="63" t="str">
        <f t="shared" si="1"/>
        <v/>
      </c>
      <c r="D215" s="63" t="str">
        <f>IFERROR(__xludf.DUMMYFUNCTION("REGEXREPLACE(B215,""(.*):(.*):(.*)"",""$2"")"),"")</f>
        <v/>
      </c>
      <c r="E215" s="259" t="str">
        <f>IFERROR(__xludf.DUMMYFUNCTION("REGEXREPLACE(B215,""(.*):(.*):(.*)"",""$3"")"),"")</f>
        <v/>
      </c>
      <c r="F215" s="63">
        <f t="shared" si="2"/>
        <v>0</v>
      </c>
    </row>
    <row r="216">
      <c r="B216" s="63"/>
      <c r="C216" s="63" t="str">
        <f t="shared" si="1"/>
        <v/>
      </c>
      <c r="D216" s="63" t="str">
        <f>IFERROR(__xludf.DUMMYFUNCTION("REGEXREPLACE(B216,""(.*):(.*):(.*)"",""$2"")"),"")</f>
        <v/>
      </c>
      <c r="E216" s="259" t="str">
        <f>IFERROR(__xludf.DUMMYFUNCTION("REGEXREPLACE(B216,""(.*):(.*):(.*)"",""$3"")"),"")</f>
        <v/>
      </c>
      <c r="F216" s="63">
        <f t="shared" si="2"/>
        <v>0</v>
      </c>
    </row>
    <row r="217">
      <c r="B217" s="63"/>
      <c r="C217" s="63" t="str">
        <f t="shared" si="1"/>
        <v/>
      </c>
      <c r="D217" s="63" t="str">
        <f>IFERROR(__xludf.DUMMYFUNCTION("REGEXREPLACE(B217,""(.*):(.*):(.*)"",""$2"")"),"")</f>
        <v/>
      </c>
      <c r="E217" s="259" t="str">
        <f>IFERROR(__xludf.DUMMYFUNCTION("REGEXREPLACE(B217,""(.*):(.*):(.*)"",""$3"")"),"")</f>
        <v/>
      </c>
      <c r="F217" s="63">
        <f t="shared" si="2"/>
        <v>0</v>
      </c>
    </row>
    <row r="218">
      <c r="B218" s="63"/>
      <c r="C218" s="63" t="str">
        <f t="shared" si="1"/>
        <v/>
      </c>
      <c r="D218" s="63" t="str">
        <f>IFERROR(__xludf.DUMMYFUNCTION("REGEXREPLACE(B218,""(.*):(.*):(.*)"",""$2"")"),"")</f>
        <v/>
      </c>
      <c r="E218" s="259" t="str">
        <f>IFERROR(__xludf.DUMMYFUNCTION("REGEXREPLACE(B218,""(.*):(.*):(.*)"",""$3"")"),"")</f>
        <v/>
      </c>
      <c r="F218" s="63">
        <f t="shared" si="2"/>
        <v>0</v>
      </c>
    </row>
    <row r="219">
      <c r="B219" s="63"/>
      <c r="C219" s="63" t="str">
        <f t="shared" si="1"/>
        <v/>
      </c>
      <c r="D219" s="63" t="str">
        <f>IFERROR(__xludf.DUMMYFUNCTION("REGEXREPLACE(B219,""(.*):(.*):(.*)"",""$2"")"),"")</f>
        <v/>
      </c>
      <c r="E219" s="259" t="str">
        <f>IFERROR(__xludf.DUMMYFUNCTION("REGEXREPLACE(B219,""(.*):(.*):(.*)"",""$3"")"),"")</f>
        <v/>
      </c>
      <c r="F219" s="63">
        <f t="shared" si="2"/>
        <v>0</v>
      </c>
    </row>
    <row r="220">
      <c r="B220" s="63"/>
      <c r="C220" s="63" t="str">
        <f t="shared" si="1"/>
        <v/>
      </c>
      <c r="D220" s="63" t="str">
        <f>IFERROR(__xludf.DUMMYFUNCTION("REGEXREPLACE(B220,""(.*):(.*):(.*)"",""$2"")"),"")</f>
        <v/>
      </c>
      <c r="E220" s="259" t="str">
        <f>IFERROR(__xludf.DUMMYFUNCTION("REGEXREPLACE(B220,""(.*):(.*):(.*)"",""$3"")"),"")</f>
        <v/>
      </c>
      <c r="F220" s="63">
        <f t="shared" si="2"/>
        <v>0</v>
      </c>
    </row>
    <row r="221">
      <c r="B221" s="63"/>
      <c r="C221" s="63" t="str">
        <f t="shared" si="1"/>
        <v/>
      </c>
      <c r="D221" s="63" t="str">
        <f>IFERROR(__xludf.DUMMYFUNCTION("REGEXREPLACE(B221,""(.*):(.*):(.*)"",""$2"")"),"")</f>
        <v/>
      </c>
      <c r="E221" s="259" t="str">
        <f>IFERROR(__xludf.DUMMYFUNCTION("REGEXREPLACE(B221,""(.*):(.*):(.*)"",""$3"")"),"")</f>
        <v/>
      </c>
      <c r="F221" s="63">
        <f t="shared" si="2"/>
        <v>0</v>
      </c>
    </row>
    <row r="222">
      <c r="B222" s="63"/>
      <c r="C222" s="63" t="str">
        <f t="shared" si="1"/>
        <v/>
      </c>
      <c r="D222" s="63" t="str">
        <f>IFERROR(__xludf.DUMMYFUNCTION("REGEXREPLACE(B222,""(.*):(.*):(.*)"",""$2"")"),"")</f>
        <v/>
      </c>
      <c r="E222" s="259" t="str">
        <f>IFERROR(__xludf.DUMMYFUNCTION("REGEXREPLACE(B222,""(.*):(.*):(.*)"",""$3"")"),"")</f>
        <v/>
      </c>
      <c r="F222" s="63">
        <f t="shared" si="2"/>
        <v>0</v>
      </c>
    </row>
    <row r="223">
      <c r="B223" s="63"/>
      <c r="C223" s="63" t="str">
        <f t="shared" si="1"/>
        <v/>
      </c>
      <c r="D223" s="63" t="str">
        <f>IFERROR(__xludf.DUMMYFUNCTION("REGEXREPLACE(B223,""(.*):(.*):(.*)"",""$2"")"),"")</f>
        <v/>
      </c>
      <c r="E223" s="259" t="str">
        <f>IFERROR(__xludf.DUMMYFUNCTION("REGEXREPLACE(B223,""(.*):(.*):(.*)"",""$3"")"),"")</f>
        <v/>
      </c>
      <c r="F223" s="63">
        <f t="shared" si="2"/>
        <v>0</v>
      </c>
    </row>
    <row r="224">
      <c r="B224" s="63"/>
      <c r="C224" s="63" t="str">
        <f t="shared" si="1"/>
        <v/>
      </c>
      <c r="D224" s="63" t="str">
        <f>IFERROR(__xludf.DUMMYFUNCTION("REGEXREPLACE(B224,""(.*):(.*):(.*)"",""$2"")"),"")</f>
        <v/>
      </c>
      <c r="E224" s="259" t="str">
        <f>IFERROR(__xludf.DUMMYFUNCTION("REGEXREPLACE(B224,""(.*):(.*):(.*)"",""$3"")"),"")</f>
        <v/>
      </c>
      <c r="F224" s="63">
        <f t="shared" si="2"/>
        <v>0</v>
      </c>
    </row>
    <row r="225">
      <c r="B225" s="63"/>
      <c r="C225" s="63" t="str">
        <f t="shared" si="1"/>
        <v/>
      </c>
      <c r="D225" s="63" t="str">
        <f>IFERROR(__xludf.DUMMYFUNCTION("REGEXREPLACE(B225,""(.*):(.*):(.*)"",""$2"")"),"")</f>
        <v/>
      </c>
      <c r="E225" s="259" t="str">
        <f>IFERROR(__xludf.DUMMYFUNCTION("REGEXREPLACE(B225,""(.*):(.*):(.*)"",""$3"")"),"")</f>
        <v/>
      </c>
      <c r="F225" s="63">
        <f t="shared" si="2"/>
        <v>0</v>
      </c>
    </row>
    <row r="226">
      <c r="B226" s="63"/>
      <c r="C226" s="63" t="str">
        <f t="shared" si="1"/>
        <v/>
      </c>
      <c r="D226" s="63" t="str">
        <f>IFERROR(__xludf.DUMMYFUNCTION("REGEXREPLACE(B226,""(.*):(.*):(.*)"",""$2"")"),"")</f>
        <v/>
      </c>
      <c r="E226" s="259" t="str">
        <f>IFERROR(__xludf.DUMMYFUNCTION("REGEXREPLACE(B226,""(.*):(.*):(.*)"",""$3"")"),"")</f>
        <v/>
      </c>
      <c r="F226" s="63">
        <f t="shared" si="2"/>
        <v>0</v>
      </c>
    </row>
    <row r="227">
      <c r="B227" s="63"/>
      <c r="C227" s="63" t="str">
        <f t="shared" si="1"/>
        <v/>
      </c>
      <c r="D227" s="63" t="str">
        <f>IFERROR(__xludf.DUMMYFUNCTION("REGEXREPLACE(B227,""(.*):(.*):(.*)"",""$2"")"),"")</f>
        <v/>
      </c>
      <c r="E227" s="259" t="str">
        <f>IFERROR(__xludf.DUMMYFUNCTION("REGEXREPLACE(B227,""(.*):(.*):(.*)"",""$3"")"),"")</f>
        <v/>
      </c>
      <c r="F227" s="63">
        <f t="shared" si="2"/>
        <v>0</v>
      </c>
    </row>
    <row r="228">
      <c r="B228" s="63"/>
      <c r="C228" s="63" t="str">
        <f t="shared" si="1"/>
        <v/>
      </c>
      <c r="D228" s="63" t="str">
        <f>IFERROR(__xludf.DUMMYFUNCTION("REGEXREPLACE(B228,""(.*):(.*):(.*)"",""$2"")"),"")</f>
        <v/>
      </c>
      <c r="E228" s="259" t="str">
        <f>IFERROR(__xludf.DUMMYFUNCTION("REGEXREPLACE(B228,""(.*):(.*):(.*)"",""$3"")"),"")</f>
        <v/>
      </c>
      <c r="F228" s="63">
        <f t="shared" si="2"/>
        <v>0</v>
      </c>
    </row>
    <row r="229">
      <c r="B229" s="63"/>
      <c r="C229" s="63" t="str">
        <f t="shared" si="1"/>
        <v/>
      </c>
      <c r="D229" s="63" t="str">
        <f>IFERROR(__xludf.DUMMYFUNCTION("REGEXREPLACE(B229,""(.*):(.*):(.*)"",""$2"")"),"")</f>
        <v/>
      </c>
      <c r="E229" s="259" t="str">
        <f>IFERROR(__xludf.DUMMYFUNCTION("REGEXREPLACE(B229,""(.*):(.*):(.*)"",""$3"")"),"")</f>
        <v/>
      </c>
      <c r="F229" s="63">
        <f t="shared" si="2"/>
        <v>0</v>
      </c>
    </row>
    <row r="230">
      <c r="B230" s="63"/>
      <c r="C230" s="63" t="str">
        <f t="shared" si="1"/>
        <v/>
      </c>
      <c r="D230" s="63" t="str">
        <f>IFERROR(__xludf.DUMMYFUNCTION("REGEXREPLACE(B230,""(.*):(.*):(.*)"",""$2"")"),"")</f>
        <v/>
      </c>
      <c r="E230" s="259" t="str">
        <f>IFERROR(__xludf.DUMMYFUNCTION("REGEXREPLACE(B230,""(.*):(.*):(.*)"",""$3"")"),"")</f>
        <v/>
      </c>
      <c r="F230" s="63">
        <f t="shared" si="2"/>
        <v>0</v>
      </c>
    </row>
    <row r="231">
      <c r="B231" s="63"/>
      <c r="C231" s="63" t="str">
        <f t="shared" si="1"/>
        <v/>
      </c>
      <c r="D231" s="63" t="str">
        <f>IFERROR(__xludf.DUMMYFUNCTION("REGEXREPLACE(B231,""(.*):(.*):(.*)"",""$2"")"),"")</f>
        <v/>
      </c>
      <c r="E231" s="259" t="str">
        <f>IFERROR(__xludf.DUMMYFUNCTION("REGEXREPLACE(B231,""(.*):(.*):(.*)"",""$3"")"),"")</f>
        <v/>
      </c>
      <c r="F231" s="63">
        <f t="shared" si="2"/>
        <v>0</v>
      </c>
    </row>
    <row r="232">
      <c r="B232" s="63"/>
      <c r="C232" s="63" t="str">
        <f t="shared" si="1"/>
        <v/>
      </c>
      <c r="D232" s="63" t="str">
        <f>IFERROR(__xludf.DUMMYFUNCTION("REGEXREPLACE(B232,""(.*):(.*):(.*)"",""$2"")"),"")</f>
        <v/>
      </c>
      <c r="E232" s="259" t="str">
        <f>IFERROR(__xludf.DUMMYFUNCTION("REGEXREPLACE(B232,""(.*):(.*):(.*)"",""$3"")"),"")</f>
        <v/>
      </c>
      <c r="F232" s="63">
        <f t="shared" si="2"/>
        <v>0</v>
      </c>
    </row>
    <row r="233">
      <c r="B233" s="63"/>
      <c r="C233" s="63" t="str">
        <f t="shared" si="1"/>
        <v/>
      </c>
      <c r="D233" s="63" t="str">
        <f>IFERROR(__xludf.DUMMYFUNCTION("REGEXREPLACE(B233,""(.*):(.*):(.*)"",""$2"")"),"")</f>
        <v/>
      </c>
      <c r="E233" s="259" t="str">
        <f>IFERROR(__xludf.DUMMYFUNCTION("REGEXREPLACE(B233,""(.*):(.*):(.*)"",""$3"")"),"")</f>
        <v/>
      </c>
      <c r="F233" s="63">
        <f t="shared" si="2"/>
        <v>0</v>
      </c>
    </row>
    <row r="234">
      <c r="B234" s="63"/>
      <c r="C234" s="63" t="str">
        <f t="shared" si="1"/>
        <v/>
      </c>
      <c r="D234" s="63" t="str">
        <f>IFERROR(__xludf.DUMMYFUNCTION("REGEXREPLACE(B234,""(.*):(.*):(.*)"",""$2"")"),"")</f>
        <v/>
      </c>
      <c r="E234" s="259" t="str">
        <f>IFERROR(__xludf.DUMMYFUNCTION("REGEXREPLACE(B234,""(.*):(.*):(.*)"",""$3"")"),"")</f>
        <v/>
      </c>
      <c r="F234" s="63">
        <f t="shared" si="2"/>
        <v>0</v>
      </c>
    </row>
    <row r="235">
      <c r="B235" s="63"/>
      <c r="C235" s="63" t="str">
        <f t="shared" si="1"/>
        <v/>
      </c>
      <c r="D235" s="63" t="str">
        <f>IFERROR(__xludf.DUMMYFUNCTION("REGEXREPLACE(B235,""(.*):(.*):(.*)"",""$2"")"),"")</f>
        <v/>
      </c>
      <c r="E235" s="259" t="str">
        <f>IFERROR(__xludf.DUMMYFUNCTION("REGEXREPLACE(B235,""(.*):(.*):(.*)"",""$3"")"),"")</f>
        <v/>
      </c>
      <c r="F235" s="63">
        <f t="shared" si="2"/>
        <v>0</v>
      </c>
    </row>
    <row r="236">
      <c r="B236" s="63"/>
      <c r="C236" s="63" t="str">
        <f t="shared" si="1"/>
        <v/>
      </c>
      <c r="D236" s="63" t="str">
        <f>IFERROR(__xludf.DUMMYFUNCTION("REGEXREPLACE(B236,""(.*):(.*):(.*)"",""$2"")"),"")</f>
        <v/>
      </c>
      <c r="E236" s="259" t="str">
        <f>IFERROR(__xludf.DUMMYFUNCTION("REGEXREPLACE(B236,""(.*):(.*):(.*)"",""$3"")"),"")</f>
        <v/>
      </c>
      <c r="F236" s="63">
        <f t="shared" si="2"/>
        <v>0</v>
      </c>
    </row>
    <row r="237">
      <c r="B237" s="63"/>
      <c r="C237" s="63" t="str">
        <f t="shared" si="1"/>
        <v/>
      </c>
      <c r="D237" s="63" t="str">
        <f>IFERROR(__xludf.DUMMYFUNCTION("REGEXREPLACE(B237,""(.*):(.*):(.*)"",""$2"")"),"")</f>
        <v/>
      </c>
      <c r="E237" s="259" t="str">
        <f>IFERROR(__xludf.DUMMYFUNCTION("REGEXREPLACE(B237,""(.*):(.*):(.*)"",""$3"")"),"")</f>
        <v/>
      </c>
      <c r="F237" s="63">
        <f t="shared" si="2"/>
        <v>0</v>
      </c>
    </row>
    <row r="238">
      <c r="B238" s="63"/>
      <c r="C238" s="63" t="str">
        <f t="shared" si="1"/>
        <v/>
      </c>
      <c r="D238" s="63" t="str">
        <f>IFERROR(__xludf.DUMMYFUNCTION("REGEXREPLACE(B238,""(.*):(.*):(.*)"",""$2"")"),"")</f>
        <v/>
      </c>
      <c r="E238" s="259" t="str">
        <f>IFERROR(__xludf.DUMMYFUNCTION("REGEXREPLACE(B238,""(.*):(.*):(.*)"",""$3"")"),"")</f>
        <v/>
      </c>
      <c r="F238" s="63">
        <f t="shared" si="2"/>
        <v>0</v>
      </c>
    </row>
    <row r="239">
      <c r="B239" s="63"/>
      <c r="C239" s="63" t="str">
        <f t="shared" si="1"/>
        <v/>
      </c>
      <c r="D239" s="63" t="str">
        <f>IFERROR(__xludf.DUMMYFUNCTION("REGEXREPLACE(B239,""(.*):(.*):(.*)"",""$2"")"),"")</f>
        <v/>
      </c>
      <c r="E239" s="259" t="str">
        <f>IFERROR(__xludf.DUMMYFUNCTION("REGEXREPLACE(B239,""(.*):(.*):(.*)"",""$3"")"),"")</f>
        <v/>
      </c>
      <c r="F239" s="63">
        <f t="shared" si="2"/>
        <v>0</v>
      </c>
    </row>
    <row r="240">
      <c r="B240" s="63"/>
      <c r="C240" s="63" t="str">
        <f t="shared" si="1"/>
        <v/>
      </c>
      <c r="D240" s="63" t="str">
        <f>IFERROR(__xludf.DUMMYFUNCTION("REGEXREPLACE(B240,""(.*):(.*):(.*)"",""$2"")"),"")</f>
        <v/>
      </c>
      <c r="E240" s="259" t="str">
        <f>IFERROR(__xludf.DUMMYFUNCTION("REGEXREPLACE(B240,""(.*):(.*):(.*)"",""$3"")"),"")</f>
        <v/>
      </c>
      <c r="F240" s="63">
        <f t="shared" si="2"/>
        <v>0</v>
      </c>
    </row>
    <row r="241">
      <c r="B241" s="63"/>
      <c r="C241" s="63" t="str">
        <f t="shared" si="1"/>
        <v/>
      </c>
      <c r="D241" s="63" t="str">
        <f>IFERROR(__xludf.DUMMYFUNCTION("REGEXREPLACE(B241,""(.*):(.*):(.*)"",""$2"")"),"")</f>
        <v/>
      </c>
      <c r="E241" s="259" t="str">
        <f>IFERROR(__xludf.DUMMYFUNCTION("REGEXREPLACE(B241,""(.*):(.*):(.*)"",""$3"")"),"")</f>
        <v/>
      </c>
      <c r="F241" s="63">
        <f t="shared" si="2"/>
        <v>0</v>
      </c>
    </row>
    <row r="242">
      <c r="B242" s="63"/>
      <c r="C242" s="63" t="str">
        <f t="shared" si="1"/>
        <v/>
      </c>
      <c r="D242" s="63" t="str">
        <f>IFERROR(__xludf.DUMMYFUNCTION("REGEXREPLACE(B242,""(.*):(.*):(.*)"",""$2"")"),"")</f>
        <v/>
      </c>
      <c r="E242" s="259" t="str">
        <f>IFERROR(__xludf.DUMMYFUNCTION("REGEXREPLACE(B242,""(.*):(.*):(.*)"",""$3"")"),"")</f>
        <v/>
      </c>
      <c r="F242" s="63">
        <f t="shared" si="2"/>
        <v>0</v>
      </c>
    </row>
    <row r="243">
      <c r="B243" s="63"/>
      <c r="C243" s="63" t="str">
        <f t="shared" si="1"/>
        <v/>
      </c>
      <c r="D243" s="63" t="str">
        <f>IFERROR(__xludf.DUMMYFUNCTION("REGEXREPLACE(B243,""(.*):(.*):(.*)"",""$2"")"),"")</f>
        <v/>
      </c>
      <c r="E243" s="259" t="str">
        <f>IFERROR(__xludf.DUMMYFUNCTION("REGEXREPLACE(B243,""(.*):(.*):(.*)"",""$3"")"),"")</f>
        <v/>
      </c>
      <c r="F243" s="63">
        <f t="shared" si="2"/>
        <v>0</v>
      </c>
    </row>
    <row r="244">
      <c r="B244" s="63"/>
      <c r="C244" s="63" t="str">
        <f t="shared" si="1"/>
        <v/>
      </c>
      <c r="D244" s="63" t="str">
        <f>IFERROR(__xludf.DUMMYFUNCTION("REGEXREPLACE(B244,""(.*):(.*):(.*)"",""$2"")"),"")</f>
        <v/>
      </c>
      <c r="E244" s="259" t="str">
        <f>IFERROR(__xludf.DUMMYFUNCTION("REGEXREPLACE(B244,""(.*):(.*):(.*)"",""$3"")"),"")</f>
        <v/>
      </c>
      <c r="F244" s="63">
        <f t="shared" si="2"/>
        <v>0</v>
      </c>
    </row>
    <row r="245">
      <c r="B245" s="63"/>
      <c r="C245" s="63" t="str">
        <f t="shared" si="1"/>
        <v/>
      </c>
      <c r="D245" s="63" t="str">
        <f>IFERROR(__xludf.DUMMYFUNCTION("REGEXREPLACE(B245,""(.*):(.*):(.*)"",""$2"")"),"")</f>
        <v/>
      </c>
      <c r="E245" s="259" t="str">
        <f>IFERROR(__xludf.DUMMYFUNCTION("REGEXREPLACE(B245,""(.*):(.*):(.*)"",""$3"")"),"")</f>
        <v/>
      </c>
      <c r="F245" s="63">
        <f t="shared" si="2"/>
        <v>0</v>
      </c>
    </row>
    <row r="246">
      <c r="B246" s="63"/>
      <c r="C246" s="63" t="str">
        <f t="shared" si="1"/>
        <v/>
      </c>
      <c r="D246" s="63" t="str">
        <f>IFERROR(__xludf.DUMMYFUNCTION("REGEXREPLACE(B246,""(.*):(.*):(.*)"",""$2"")"),"")</f>
        <v/>
      </c>
      <c r="E246" s="259" t="str">
        <f>IFERROR(__xludf.DUMMYFUNCTION("REGEXREPLACE(B246,""(.*):(.*):(.*)"",""$3"")"),"")</f>
        <v/>
      </c>
      <c r="F246" s="63">
        <f t="shared" si="2"/>
        <v>0</v>
      </c>
    </row>
    <row r="247">
      <c r="B247" s="63"/>
      <c r="C247" s="63" t="str">
        <f t="shared" si="1"/>
        <v/>
      </c>
      <c r="D247" s="63" t="str">
        <f>IFERROR(__xludf.DUMMYFUNCTION("REGEXREPLACE(B247,""(.*):(.*):(.*)"",""$2"")"),"")</f>
        <v/>
      </c>
      <c r="E247" s="259" t="str">
        <f>IFERROR(__xludf.DUMMYFUNCTION("REGEXREPLACE(B247,""(.*):(.*):(.*)"",""$3"")"),"")</f>
        <v/>
      </c>
      <c r="F247" s="63">
        <f t="shared" si="2"/>
        <v>0</v>
      </c>
    </row>
    <row r="248">
      <c r="B248" s="63"/>
      <c r="C248" s="63" t="str">
        <f t="shared" si="1"/>
        <v/>
      </c>
      <c r="D248" s="63" t="str">
        <f>IFERROR(__xludf.DUMMYFUNCTION("REGEXREPLACE(B248,""(.*):(.*):(.*)"",""$2"")"),"")</f>
        <v/>
      </c>
      <c r="E248" s="259" t="str">
        <f>IFERROR(__xludf.DUMMYFUNCTION("REGEXREPLACE(B248,""(.*):(.*):(.*)"",""$3"")"),"")</f>
        <v/>
      </c>
      <c r="F248" s="63">
        <f t="shared" si="2"/>
        <v>0</v>
      </c>
    </row>
    <row r="249">
      <c r="B249" s="63"/>
      <c r="C249" s="63" t="str">
        <f t="shared" si="1"/>
        <v/>
      </c>
      <c r="D249" s="63" t="str">
        <f>IFERROR(__xludf.DUMMYFUNCTION("REGEXREPLACE(B249,""(.*):(.*):(.*)"",""$2"")"),"")</f>
        <v/>
      </c>
      <c r="E249" s="259" t="str">
        <f>IFERROR(__xludf.DUMMYFUNCTION("REGEXREPLACE(B249,""(.*):(.*):(.*)"",""$3"")"),"")</f>
        <v/>
      </c>
      <c r="F249" s="63">
        <f t="shared" si="2"/>
        <v>0</v>
      </c>
    </row>
    <row r="250">
      <c r="B250" s="63"/>
      <c r="C250" s="63" t="str">
        <f t="shared" si="1"/>
        <v/>
      </c>
      <c r="D250" s="63" t="str">
        <f>IFERROR(__xludf.DUMMYFUNCTION("REGEXREPLACE(B250,""(.*):(.*):(.*)"",""$2"")"),"")</f>
        <v/>
      </c>
      <c r="E250" s="259" t="str">
        <f>IFERROR(__xludf.DUMMYFUNCTION("REGEXREPLACE(B250,""(.*):(.*):(.*)"",""$3"")"),"")</f>
        <v/>
      </c>
      <c r="F250" s="63">
        <f t="shared" si="2"/>
        <v>0</v>
      </c>
    </row>
    <row r="251">
      <c r="B251" s="63"/>
      <c r="C251" s="63" t="str">
        <f t="shared" si="1"/>
        <v/>
      </c>
      <c r="D251" s="63" t="str">
        <f>IFERROR(__xludf.DUMMYFUNCTION("REGEXREPLACE(B251,""(.*):(.*):(.*)"",""$2"")"),"")</f>
        <v/>
      </c>
      <c r="E251" s="259" t="str">
        <f>IFERROR(__xludf.DUMMYFUNCTION("REGEXREPLACE(B251,""(.*):(.*):(.*)"",""$3"")"),"")</f>
        <v/>
      </c>
      <c r="F251" s="63">
        <f t="shared" si="2"/>
        <v>0</v>
      </c>
    </row>
    <row r="252">
      <c r="B252" s="63"/>
      <c r="C252" s="63" t="str">
        <f t="shared" si="1"/>
        <v/>
      </c>
      <c r="D252" s="63" t="str">
        <f>IFERROR(__xludf.DUMMYFUNCTION("REGEXREPLACE(B252,""(.*):(.*):(.*)"",""$2"")"),"")</f>
        <v/>
      </c>
      <c r="E252" s="259" t="str">
        <f>IFERROR(__xludf.DUMMYFUNCTION("REGEXREPLACE(B252,""(.*):(.*):(.*)"",""$3"")"),"")</f>
        <v/>
      </c>
      <c r="F252" s="63">
        <f t="shared" si="2"/>
        <v>0</v>
      </c>
    </row>
    <row r="253">
      <c r="B253" s="63"/>
      <c r="C253" s="63" t="str">
        <f t="shared" si="1"/>
        <v/>
      </c>
      <c r="D253" s="63" t="str">
        <f>IFERROR(__xludf.DUMMYFUNCTION("REGEXREPLACE(B253,""(.*):(.*):(.*)"",""$2"")"),"")</f>
        <v/>
      </c>
      <c r="E253" s="259" t="str">
        <f>IFERROR(__xludf.DUMMYFUNCTION("REGEXREPLACE(B253,""(.*):(.*):(.*)"",""$3"")"),"")</f>
        <v/>
      </c>
      <c r="F253" s="63">
        <f t="shared" si="2"/>
        <v>0</v>
      </c>
    </row>
    <row r="254">
      <c r="B254" s="63"/>
      <c r="C254" s="63" t="str">
        <f t="shared" si="1"/>
        <v/>
      </c>
      <c r="D254" s="63" t="str">
        <f>IFERROR(__xludf.DUMMYFUNCTION("REGEXREPLACE(B254,""(.*):(.*):(.*)"",""$2"")"),"")</f>
        <v/>
      </c>
      <c r="E254" s="259" t="str">
        <f>IFERROR(__xludf.DUMMYFUNCTION("REGEXREPLACE(B254,""(.*):(.*):(.*)"",""$3"")"),"")</f>
        <v/>
      </c>
      <c r="F254" s="63">
        <f t="shared" si="2"/>
        <v>0</v>
      </c>
    </row>
    <row r="255">
      <c r="B255" s="63"/>
      <c r="C255" s="63" t="str">
        <f t="shared" si="1"/>
        <v/>
      </c>
      <c r="D255" s="63" t="str">
        <f>IFERROR(__xludf.DUMMYFUNCTION("REGEXREPLACE(B255,""(.*):(.*):(.*)"",""$2"")"),"")</f>
        <v/>
      </c>
      <c r="E255" s="259" t="str">
        <f>IFERROR(__xludf.DUMMYFUNCTION("REGEXREPLACE(B255,""(.*):(.*):(.*)"",""$3"")"),"")</f>
        <v/>
      </c>
      <c r="F255" s="63">
        <f t="shared" si="2"/>
        <v>0</v>
      </c>
    </row>
    <row r="256">
      <c r="B256" s="63"/>
      <c r="C256" s="63" t="str">
        <f t="shared" si="1"/>
        <v/>
      </c>
      <c r="D256" s="63" t="str">
        <f>IFERROR(__xludf.DUMMYFUNCTION("REGEXREPLACE(B256,""(.*):(.*):(.*)"",""$2"")"),"")</f>
        <v/>
      </c>
      <c r="E256" s="259" t="str">
        <f>IFERROR(__xludf.DUMMYFUNCTION("REGEXREPLACE(B256,""(.*):(.*):(.*)"",""$3"")"),"")</f>
        <v/>
      </c>
      <c r="F256" s="63">
        <f t="shared" si="2"/>
        <v>0</v>
      </c>
    </row>
    <row r="257">
      <c r="B257" s="63"/>
      <c r="C257" s="63" t="str">
        <f t="shared" si="1"/>
        <v/>
      </c>
      <c r="D257" s="63" t="str">
        <f>IFERROR(__xludf.DUMMYFUNCTION("REGEXREPLACE(B257,""(.*):(.*):(.*)"",""$2"")"),"")</f>
        <v/>
      </c>
      <c r="E257" s="259" t="str">
        <f>IFERROR(__xludf.DUMMYFUNCTION("REGEXREPLACE(B257,""(.*):(.*):(.*)"",""$3"")"),"")</f>
        <v/>
      </c>
      <c r="F257" s="63">
        <f t="shared" si="2"/>
        <v>0</v>
      </c>
    </row>
    <row r="258">
      <c r="B258" s="63"/>
      <c r="C258" s="63" t="str">
        <f t="shared" si="1"/>
        <v/>
      </c>
      <c r="D258" s="63" t="str">
        <f>IFERROR(__xludf.DUMMYFUNCTION("REGEXREPLACE(B258,""(.*):(.*):(.*)"",""$2"")"),"")</f>
        <v/>
      </c>
      <c r="E258" s="259" t="str">
        <f>IFERROR(__xludf.DUMMYFUNCTION("REGEXREPLACE(B258,""(.*):(.*):(.*)"",""$3"")"),"")</f>
        <v/>
      </c>
      <c r="F258" s="63">
        <f t="shared" si="2"/>
        <v>0</v>
      </c>
    </row>
    <row r="259">
      <c r="B259" s="63"/>
      <c r="C259" s="63" t="str">
        <f t="shared" si="1"/>
        <v/>
      </c>
      <c r="D259" s="63" t="str">
        <f>IFERROR(__xludf.DUMMYFUNCTION("REGEXREPLACE(B259,""(.*):(.*):(.*)"",""$2"")"),"")</f>
        <v/>
      </c>
      <c r="E259" s="259" t="str">
        <f>IFERROR(__xludf.DUMMYFUNCTION("REGEXREPLACE(B259,""(.*):(.*):(.*)"",""$3"")"),"")</f>
        <v/>
      </c>
      <c r="F259" s="63">
        <f t="shared" si="2"/>
        <v>0</v>
      </c>
    </row>
    <row r="260">
      <c r="B260" s="63"/>
      <c r="C260" s="63" t="str">
        <f t="shared" si="1"/>
        <v/>
      </c>
      <c r="D260" s="63" t="str">
        <f>IFERROR(__xludf.DUMMYFUNCTION("REGEXREPLACE(B260,""(.*):(.*):(.*)"",""$2"")"),"")</f>
        <v/>
      </c>
      <c r="E260" s="259" t="str">
        <f>IFERROR(__xludf.DUMMYFUNCTION("REGEXREPLACE(B260,""(.*):(.*):(.*)"",""$3"")"),"")</f>
        <v/>
      </c>
      <c r="F260" s="63">
        <f t="shared" si="2"/>
        <v>0</v>
      </c>
    </row>
    <row r="261">
      <c r="B261" s="63"/>
      <c r="C261" s="63" t="str">
        <f t="shared" si="1"/>
        <v/>
      </c>
      <c r="D261" s="63" t="str">
        <f>IFERROR(__xludf.DUMMYFUNCTION("REGEXREPLACE(B261,""(.*):(.*):(.*)"",""$2"")"),"")</f>
        <v/>
      </c>
      <c r="E261" s="259" t="str">
        <f>IFERROR(__xludf.DUMMYFUNCTION("REGEXREPLACE(B261,""(.*):(.*):(.*)"",""$3"")"),"")</f>
        <v/>
      </c>
      <c r="F261" s="63">
        <f t="shared" si="2"/>
        <v>0</v>
      </c>
    </row>
    <row r="262">
      <c r="B262" s="63"/>
      <c r="C262" s="63" t="str">
        <f t="shared" si="1"/>
        <v/>
      </c>
      <c r="D262" s="63" t="str">
        <f>IFERROR(__xludf.DUMMYFUNCTION("REGEXREPLACE(B262,""(.*):(.*):(.*)"",""$2"")"),"")</f>
        <v/>
      </c>
      <c r="E262" s="259" t="str">
        <f>IFERROR(__xludf.DUMMYFUNCTION("REGEXREPLACE(B262,""(.*):(.*):(.*)"",""$3"")"),"")</f>
        <v/>
      </c>
      <c r="F262" s="63">
        <f t="shared" si="2"/>
        <v>0</v>
      </c>
    </row>
    <row r="263">
      <c r="B263" s="63"/>
      <c r="C263" s="63" t="str">
        <f t="shared" si="1"/>
        <v/>
      </c>
      <c r="D263" s="63" t="str">
        <f>IFERROR(__xludf.DUMMYFUNCTION("REGEXREPLACE(B263,""(.*):(.*):(.*)"",""$2"")"),"")</f>
        <v/>
      </c>
      <c r="E263" s="259" t="str">
        <f>IFERROR(__xludf.DUMMYFUNCTION("REGEXREPLACE(B263,""(.*):(.*):(.*)"",""$3"")"),"")</f>
        <v/>
      </c>
      <c r="F263" s="63">
        <f t="shared" si="2"/>
        <v>0</v>
      </c>
    </row>
    <row r="264">
      <c r="B264" s="63"/>
      <c r="C264" s="63" t="str">
        <f t="shared" si="1"/>
        <v/>
      </c>
      <c r="D264" s="63" t="str">
        <f>IFERROR(__xludf.DUMMYFUNCTION("REGEXREPLACE(B264,""(.*):(.*):(.*)"",""$2"")"),"")</f>
        <v/>
      </c>
      <c r="E264" s="259" t="str">
        <f>IFERROR(__xludf.DUMMYFUNCTION("REGEXREPLACE(B264,""(.*):(.*):(.*)"",""$3"")"),"")</f>
        <v/>
      </c>
      <c r="F264" s="63">
        <f t="shared" si="2"/>
        <v>0</v>
      </c>
    </row>
    <row r="265">
      <c r="B265" s="63"/>
      <c r="C265" s="63" t="str">
        <f t="shared" si="1"/>
        <v/>
      </c>
      <c r="D265" s="63" t="str">
        <f>IFERROR(__xludf.DUMMYFUNCTION("REGEXREPLACE(B265,""(.*):(.*):(.*)"",""$2"")"),"")</f>
        <v/>
      </c>
      <c r="E265" s="259" t="str">
        <f>IFERROR(__xludf.DUMMYFUNCTION("REGEXREPLACE(B265,""(.*):(.*):(.*)"",""$3"")"),"")</f>
        <v/>
      </c>
      <c r="F265" s="63">
        <f t="shared" si="2"/>
        <v>0</v>
      </c>
    </row>
    <row r="266">
      <c r="B266" s="63"/>
      <c r="C266" s="63" t="str">
        <f t="shared" si="1"/>
        <v/>
      </c>
      <c r="D266" s="63" t="str">
        <f>IFERROR(__xludf.DUMMYFUNCTION("REGEXREPLACE(B266,""(.*):(.*):(.*)"",""$2"")"),"")</f>
        <v/>
      </c>
      <c r="E266" s="259" t="str">
        <f>IFERROR(__xludf.DUMMYFUNCTION("REGEXREPLACE(B266,""(.*):(.*):(.*)"",""$3"")"),"")</f>
        <v/>
      </c>
      <c r="F266" s="63">
        <f t="shared" si="2"/>
        <v>0</v>
      </c>
    </row>
    <row r="267">
      <c r="B267" s="63"/>
      <c r="C267" s="63" t="str">
        <f t="shared" si="1"/>
        <v/>
      </c>
      <c r="D267" s="63" t="str">
        <f>IFERROR(__xludf.DUMMYFUNCTION("REGEXREPLACE(B267,""(.*):(.*):(.*)"",""$2"")"),"")</f>
        <v/>
      </c>
      <c r="E267" s="259" t="str">
        <f>IFERROR(__xludf.DUMMYFUNCTION("REGEXREPLACE(B267,""(.*):(.*):(.*)"",""$3"")"),"")</f>
        <v/>
      </c>
      <c r="F267" s="63">
        <f t="shared" si="2"/>
        <v>0</v>
      </c>
    </row>
    <row r="268">
      <c r="B268" s="63"/>
      <c r="C268" s="63" t="str">
        <f t="shared" si="1"/>
        <v/>
      </c>
      <c r="D268" s="63" t="str">
        <f>IFERROR(__xludf.DUMMYFUNCTION("REGEXREPLACE(B268,""(.*):(.*):(.*)"",""$2"")"),"")</f>
        <v/>
      </c>
      <c r="E268" s="259" t="str">
        <f>IFERROR(__xludf.DUMMYFUNCTION("REGEXREPLACE(B268,""(.*):(.*):(.*)"",""$3"")"),"")</f>
        <v/>
      </c>
      <c r="F268" s="63">
        <f t="shared" si="2"/>
        <v>0</v>
      </c>
    </row>
    <row r="269">
      <c r="B269" s="63"/>
      <c r="C269" s="63" t="str">
        <f t="shared" si="1"/>
        <v/>
      </c>
      <c r="D269" s="63" t="str">
        <f>IFERROR(__xludf.DUMMYFUNCTION("REGEXREPLACE(B269,""(.*):(.*):(.*)"",""$2"")"),"")</f>
        <v/>
      </c>
      <c r="E269" s="259" t="str">
        <f>IFERROR(__xludf.DUMMYFUNCTION("REGEXREPLACE(B269,""(.*):(.*):(.*)"",""$3"")"),"")</f>
        <v/>
      </c>
      <c r="F269" s="63">
        <f t="shared" si="2"/>
        <v>0</v>
      </c>
    </row>
    <row r="270">
      <c r="B270" s="63"/>
      <c r="C270" s="63" t="str">
        <f t="shared" si="1"/>
        <v/>
      </c>
      <c r="D270" s="63" t="str">
        <f>IFERROR(__xludf.DUMMYFUNCTION("REGEXREPLACE(B270,""(.*):(.*):(.*)"",""$2"")"),"")</f>
        <v/>
      </c>
      <c r="E270" s="259" t="str">
        <f>IFERROR(__xludf.DUMMYFUNCTION("REGEXREPLACE(B270,""(.*):(.*):(.*)"",""$3"")"),"")</f>
        <v/>
      </c>
      <c r="F270" s="63">
        <f t="shared" si="2"/>
        <v>0</v>
      </c>
    </row>
    <row r="271">
      <c r="B271" s="63"/>
      <c r="C271" s="63" t="str">
        <f t="shared" si="1"/>
        <v/>
      </c>
      <c r="D271" s="63" t="str">
        <f>IFERROR(__xludf.DUMMYFUNCTION("REGEXREPLACE(B271,""(.*):(.*):(.*)"",""$2"")"),"")</f>
        <v/>
      </c>
      <c r="E271" s="259" t="str">
        <f>IFERROR(__xludf.DUMMYFUNCTION("REGEXREPLACE(B271,""(.*):(.*):(.*)"",""$3"")"),"")</f>
        <v/>
      </c>
      <c r="F271" s="63">
        <f t="shared" si="2"/>
        <v>0</v>
      </c>
    </row>
    <row r="272">
      <c r="B272" s="63"/>
      <c r="C272" s="63" t="str">
        <f t="shared" si="1"/>
        <v/>
      </c>
      <c r="D272" s="63" t="str">
        <f>IFERROR(__xludf.DUMMYFUNCTION("REGEXREPLACE(B272,""(.*):(.*):(.*)"",""$2"")"),"")</f>
        <v/>
      </c>
      <c r="E272" s="259" t="str">
        <f>IFERROR(__xludf.DUMMYFUNCTION("REGEXREPLACE(B272,""(.*):(.*):(.*)"",""$3"")"),"")</f>
        <v/>
      </c>
      <c r="F272" s="63">
        <f t="shared" si="2"/>
        <v>0</v>
      </c>
    </row>
    <row r="273">
      <c r="B273" s="63"/>
      <c r="C273" s="63" t="str">
        <f t="shared" si="1"/>
        <v/>
      </c>
      <c r="D273" s="63" t="str">
        <f>IFERROR(__xludf.DUMMYFUNCTION("REGEXREPLACE(B273,""(.*):(.*):(.*)"",""$2"")"),"")</f>
        <v/>
      </c>
      <c r="E273" s="259" t="str">
        <f>IFERROR(__xludf.DUMMYFUNCTION("REGEXREPLACE(B273,""(.*):(.*):(.*)"",""$3"")"),"")</f>
        <v/>
      </c>
      <c r="F273" s="63">
        <f t="shared" si="2"/>
        <v>0</v>
      </c>
    </row>
    <row r="274">
      <c r="B274" s="63"/>
      <c r="C274" s="63" t="str">
        <f t="shared" si="1"/>
        <v/>
      </c>
      <c r="D274" s="63" t="str">
        <f>IFERROR(__xludf.DUMMYFUNCTION("REGEXREPLACE(B274,""(.*):(.*):(.*)"",""$2"")"),"")</f>
        <v/>
      </c>
      <c r="E274" s="259" t="str">
        <f>IFERROR(__xludf.DUMMYFUNCTION("REGEXREPLACE(B274,""(.*):(.*):(.*)"",""$3"")"),"")</f>
        <v/>
      </c>
      <c r="F274" s="63">
        <f t="shared" si="2"/>
        <v>0</v>
      </c>
    </row>
    <row r="275">
      <c r="B275" s="63"/>
      <c r="C275" s="63" t="str">
        <f t="shared" si="1"/>
        <v/>
      </c>
      <c r="D275" s="63" t="str">
        <f>IFERROR(__xludf.DUMMYFUNCTION("REGEXREPLACE(B275,""(.*):(.*):(.*)"",""$2"")"),"")</f>
        <v/>
      </c>
      <c r="E275" s="259" t="str">
        <f>IFERROR(__xludf.DUMMYFUNCTION("REGEXREPLACE(B275,""(.*):(.*):(.*)"",""$3"")"),"")</f>
        <v/>
      </c>
      <c r="F275" s="63">
        <f t="shared" si="2"/>
        <v>0</v>
      </c>
    </row>
    <row r="276">
      <c r="B276" s="63"/>
      <c r="C276" s="63" t="str">
        <f t="shared" si="1"/>
        <v/>
      </c>
      <c r="D276" s="63" t="str">
        <f>IFERROR(__xludf.DUMMYFUNCTION("REGEXREPLACE(B276,""(.*):(.*):(.*)"",""$2"")"),"")</f>
        <v/>
      </c>
      <c r="E276" s="259" t="str">
        <f>IFERROR(__xludf.DUMMYFUNCTION("REGEXREPLACE(B276,""(.*):(.*):(.*)"",""$3"")"),"")</f>
        <v/>
      </c>
      <c r="F276" s="63">
        <f t="shared" si="2"/>
        <v>0</v>
      </c>
    </row>
    <row r="277">
      <c r="B277" s="63"/>
      <c r="C277" s="63" t="str">
        <f t="shared" si="1"/>
        <v/>
      </c>
      <c r="D277" s="63" t="str">
        <f>IFERROR(__xludf.DUMMYFUNCTION("REGEXREPLACE(B277,""(.*):(.*):(.*)"",""$2"")"),"")</f>
        <v/>
      </c>
      <c r="E277" s="259" t="str">
        <f>IFERROR(__xludf.DUMMYFUNCTION("REGEXREPLACE(B277,""(.*):(.*):(.*)"",""$3"")"),"")</f>
        <v/>
      </c>
      <c r="F277" s="63">
        <f t="shared" si="2"/>
        <v>0</v>
      </c>
    </row>
    <row r="278">
      <c r="B278" s="63"/>
      <c r="C278" s="63" t="str">
        <f t="shared" si="1"/>
        <v/>
      </c>
      <c r="D278" s="63" t="str">
        <f>IFERROR(__xludf.DUMMYFUNCTION("REGEXREPLACE(B278,""(.*):(.*):(.*)"",""$2"")"),"")</f>
        <v/>
      </c>
      <c r="E278" s="259" t="str">
        <f>IFERROR(__xludf.DUMMYFUNCTION("REGEXREPLACE(B278,""(.*):(.*):(.*)"",""$3"")"),"")</f>
        <v/>
      </c>
      <c r="F278" s="63">
        <f t="shared" si="2"/>
        <v>0</v>
      </c>
    </row>
    <row r="279">
      <c r="B279" s="63"/>
      <c r="C279" s="63" t="str">
        <f t="shared" si="1"/>
        <v/>
      </c>
      <c r="D279" s="63" t="str">
        <f>IFERROR(__xludf.DUMMYFUNCTION("REGEXREPLACE(B279,""(.*):(.*):(.*)"",""$2"")"),"")</f>
        <v/>
      </c>
      <c r="E279" s="259" t="str">
        <f>IFERROR(__xludf.DUMMYFUNCTION("REGEXREPLACE(B279,""(.*):(.*):(.*)"",""$3"")"),"")</f>
        <v/>
      </c>
      <c r="F279" s="63">
        <f t="shared" si="2"/>
        <v>0</v>
      </c>
    </row>
    <row r="280">
      <c r="B280" s="63"/>
      <c r="C280" s="63" t="str">
        <f t="shared" si="1"/>
        <v/>
      </c>
      <c r="D280" s="63" t="str">
        <f>IFERROR(__xludf.DUMMYFUNCTION("REGEXREPLACE(B280,""(.*):(.*):(.*)"",""$2"")"),"")</f>
        <v/>
      </c>
      <c r="E280" s="259" t="str">
        <f>IFERROR(__xludf.DUMMYFUNCTION("REGEXREPLACE(B280,""(.*):(.*):(.*)"",""$3"")"),"")</f>
        <v/>
      </c>
      <c r="F280" s="63">
        <f t="shared" si="2"/>
        <v>0</v>
      </c>
    </row>
    <row r="281">
      <c r="B281" s="63"/>
      <c r="C281" s="63" t="str">
        <f t="shared" si="1"/>
        <v/>
      </c>
      <c r="D281" s="63" t="str">
        <f>IFERROR(__xludf.DUMMYFUNCTION("REGEXREPLACE(B281,""(.*):(.*):(.*)"",""$2"")"),"")</f>
        <v/>
      </c>
      <c r="E281" s="259" t="str">
        <f>IFERROR(__xludf.DUMMYFUNCTION("REGEXREPLACE(B281,""(.*):(.*):(.*)"",""$3"")"),"")</f>
        <v/>
      </c>
      <c r="F281" s="63">
        <f t="shared" si="2"/>
        <v>0</v>
      </c>
    </row>
    <row r="282">
      <c r="B282" s="63"/>
      <c r="C282" s="63" t="str">
        <f t="shared" si="1"/>
        <v/>
      </c>
      <c r="D282" s="63" t="str">
        <f>IFERROR(__xludf.DUMMYFUNCTION("REGEXREPLACE(B282,""(.*):(.*):(.*)"",""$2"")"),"")</f>
        <v/>
      </c>
      <c r="E282" s="259" t="str">
        <f>IFERROR(__xludf.DUMMYFUNCTION("REGEXREPLACE(B282,""(.*):(.*):(.*)"",""$3"")"),"")</f>
        <v/>
      </c>
      <c r="F282" s="63">
        <f t="shared" si="2"/>
        <v>0</v>
      </c>
    </row>
    <row r="283">
      <c r="B283" s="63"/>
      <c r="C283" s="63" t="str">
        <f t="shared" si="1"/>
        <v/>
      </c>
      <c r="D283" s="63" t="str">
        <f>IFERROR(__xludf.DUMMYFUNCTION("REGEXREPLACE(B283,""(.*):(.*):(.*)"",""$2"")"),"")</f>
        <v/>
      </c>
      <c r="E283" s="259" t="str">
        <f>IFERROR(__xludf.DUMMYFUNCTION("REGEXREPLACE(B283,""(.*):(.*):(.*)"",""$3"")"),"")</f>
        <v/>
      </c>
      <c r="F283" s="63">
        <f t="shared" si="2"/>
        <v>0</v>
      </c>
    </row>
    <row r="284">
      <c r="B284" s="63"/>
      <c r="C284" s="63" t="str">
        <f t="shared" si="1"/>
        <v/>
      </c>
      <c r="D284" s="63" t="str">
        <f>IFERROR(__xludf.DUMMYFUNCTION("REGEXREPLACE(B284,""(.*):(.*):(.*)"",""$2"")"),"")</f>
        <v/>
      </c>
      <c r="E284" s="259" t="str">
        <f>IFERROR(__xludf.DUMMYFUNCTION("REGEXREPLACE(B284,""(.*):(.*):(.*)"",""$3"")"),"")</f>
        <v/>
      </c>
      <c r="F284" s="63">
        <f t="shared" si="2"/>
        <v>0</v>
      </c>
    </row>
    <row r="285">
      <c r="B285" s="63"/>
      <c r="C285" s="63" t="str">
        <f t="shared" si="1"/>
        <v/>
      </c>
      <c r="D285" s="63" t="str">
        <f>IFERROR(__xludf.DUMMYFUNCTION("REGEXREPLACE(B285,""(.*):(.*):(.*)"",""$2"")"),"")</f>
        <v/>
      </c>
      <c r="E285" s="259" t="str">
        <f>IFERROR(__xludf.DUMMYFUNCTION("REGEXREPLACE(B285,""(.*):(.*):(.*)"",""$3"")"),"")</f>
        <v/>
      </c>
      <c r="F285" s="63">
        <f t="shared" si="2"/>
        <v>0</v>
      </c>
    </row>
    <row r="286">
      <c r="B286" s="63"/>
      <c r="C286" s="63" t="str">
        <f t="shared" si="1"/>
        <v/>
      </c>
      <c r="D286" s="63" t="str">
        <f>IFERROR(__xludf.DUMMYFUNCTION("REGEXREPLACE(B286,""(.*):(.*):(.*)"",""$2"")"),"")</f>
        <v/>
      </c>
      <c r="E286" s="259" t="str">
        <f>IFERROR(__xludf.DUMMYFUNCTION("REGEXREPLACE(B286,""(.*):(.*):(.*)"",""$3"")"),"")</f>
        <v/>
      </c>
      <c r="F286" s="63">
        <f t="shared" si="2"/>
        <v>0</v>
      </c>
    </row>
    <row r="287">
      <c r="B287" s="63"/>
      <c r="C287" s="63" t="str">
        <f t="shared" si="1"/>
        <v/>
      </c>
      <c r="D287" s="63" t="str">
        <f>IFERROR(__xludf.DUMMYFUNCTION("REGEXREPLACE(B287,""(.*):(.*):(.*)"",""$2"")"),"")</f>
        <v/>
      </c>
      <c r="E287" s="259" t="str">
        <f>IFERROR(__xludf.DUMMYFUNCTION("REGEXREPLACE(B287,""(.*):(.*):(.*)"",""$3"")"),"")</f>
        <v/>
      </c>
      <c r="F287" s="63">
        <f t="shared" si="2"/>
        <v>0</v>
      </c>
    </row>
    <row r="288">
      <c r="B288" s="63"/>
      <c r="C288" s="63" t="str">
        <f t="shared" si="1"/>
        <v/>
      </c>
      <c r="D288" s="63" t="str">
        <f>IFERROR(__xludf.DUMMYFUNCTION("REGEXREPLACE(B288,""(.*):(.*):(.*)"",""$2"")"),"")</f>
        <v/>
      </c>
      <c r="E288" s="259" t="str">
        <f>IFERROR(__xludf.DUMMYFUNCTION("REGEXREPLACE(B288,""(.*):(.*):(.*)"",""$3"")"),"")</f>
        <v/>
      </c>
      <c r="F288" s="63">
        <f t="shared" si="2"/>
        <v>0</v>
      </c>
    </row>
    <row r="289">
      <c r="B289" s="63"/>
      <c r="C289" s="63" t="str">
        <f t="shared" si="1"/>
        <v/>
      </c>
      <c r="D289" s="63" t="str">
        <f>IFERROR(__xludf.DUMMYFUNCTION("REGEXREPLACE(B289,""(.*):(.*):(.*)"",""$2"")"),"")</f>
        <v/>
      </c>
      <c r="E289" s="259" t="str">
        <f>IFERROR(__xludf.DUMMYFUNCTION("REGEXREPLACE(B289,""(.*):(.*):(.*)"",""$3"")"),"")</f>
        <v/>
      </c>
      <c r="F289" s="63">
        <f t="shared" si="2"/>
        <v>0</v>
      </c>
    </row>
    <row r="290">
      <c r="B290" s="63"/>
      <c r="C290" s="63" t="str">
        <f t="shared" si="1"/>
        <v/>
      </c>
      <c r="D290" s="63" t="str">
        <f>IFERROR(__xludf.DUMMYFUNCTION("REGEXREPLACE(B290,""(.*):(.*):(.*)"",""$2"")"),"")</f>
        <v/>
      </c>
      <c r="E290" s="259" t="str">
        <f>IFERROR(__xludf.DUMMYFUNCTION("REGEXREPLACE(B290,""(.*):(.*):(.*)"",""$3"")"),"")</f>
        <v/>
      </c>
      <c r="F290" s="63">
        <f t="shared" si="2"/>
        <v>0</v>
      </c>
    </row>
    <row r="291">
      <c r="B291" s="63"/>
      <c r="C291" s="63" t="str">
        <f t="shared" si="1"/>
        <v/>
      </c>
      <c r="D291" s="63" t="str">
        <f>IFERROR(__xludf.DUMMYFUNCTION("REGEXREPLACE(B291,""(.*):(.*):(.*)"",""$2"")"),"")</f>
        <v/>
      </c>
      <c r="E291" s="259" t="str">
        <f>IFERROR(__xludf.DUMMYFUNCTION("REGEXREPLACE(B291,""(.*):(.*):(.*)"",""$3"")"),"")</f>
        <v/>
      </c>
      <c r="F291" s="63">
        <f t="shared" si="2"/>
        <v>0</v>
      </c>
    </row>
    <row r="292">
      <c r="B292" s="63"/>
      <c r="C292" s="63" t="str">
        <f t="shared" si="1"/>
        <v/>
      </c>
      <c r="D292" s="63" t="str">
        <f>IFERROR(__xludf.DUMMYFUNCTION("REGEXREPLACE(B292,""(.*):(.*):(.*)"",""$2"")"),"")</f>
        <v/>
      </c>
      <c r="E292" s="259" t="str">
        <f>IFERROR(__xludf.DUMMYFUNCTION("REGEXREPLACE(B292,""(.*):(.*):(.*)"",""$3"")"),"")</f>
        <v/>
      </c>
      <c r="F292" s="63">
        <f t="shared" si="2"/>
        <v>0</v>
      </c>
    </row>
    <row r="293">
      <c r="B293" s="63"/>
      <c r="C293" s="63" t="str">
        <f t="shared" si="1"/>
        <v/>
      </c>
      <c r="D293" s="63" t="str">
        <f>IFERROR(__xludf.DUMMYFUNCTION("REGEXREPLACE(B293,""(.*):(.*):(.*)"",""$2"")"),"")</f>
        <v/>
      </c>
      <c r="E293" s="259" t="str">
        <f>IFERROR(__xludf.DUMMYFUNCTION("REGEXREPLACE(B293,""(.*):(.*):(.*)"",""$3"")"),"")</f>
        <v/>
      </c>
      <c r="F293" s="63">
        <f t="shared" si="2"/>
        <v>0</v>
      </c>
    </row>
    <row r="294">
      <c r="B294" s="63"/>
      <c r="C294" s="63" t="str">
        <f t="shared" si="1"/>
        <v/>
      </c>
      <c r="D294" s="63" t="str">
        <f>IFERROR(__xludf.DUMMYFUNCTION("REGEXREPLACE(B294,""(.*):(.*):(.*)"",""$2"")"),"")</f>
        <v/>
      </c>
      <c r="E294" s="259" t="str">
        <f>IFERROR(__xludf.DUMMYFUNCTION("REGEXREPLACE(B294,""(.*):(.*):(.*)"",""$3"")"),"")</f>
        <v/>
      </c>
      <c r="F294" s="63">
        <f t="shared" si="2"/>
        <v>0</v>
      </c>
    </row>
    <row r="295">
      <c r="B295" s="63"/>
      <c r="C295" s="63" t="str">
        <f t="shared" si="1"/>
        <v/>
      </c>
      <c r="D295" s="63" t="str">
        <f>IFERROR(__xludf.DUMMYFUNCTION("REGEXREPLACE(B295,""(.*):(.*):(.*)"",""$2"")"),"")</f>
        <v/>
      </c>
      <c r="E295" s="259" t="str">
        <f>IFERROR(__xludf.DUMMYFUNCTION("REGEXREPLACE(B295,""(.*):(.*):(.*)"",""$3"")"),"")</f>
        <v/>
      </c>
      <c r="F295" s="63">
        <f t="shared" si="2"/>
        <v>0</v>
      </c>
    </row>
    <row r="296">
      <c r="B296" s="63"/>
      <c r="C296" s="63" t="str">
        <f t="shared" si="1"/>
        <v/>
      </c>
      <c r="D296" s="63" t="str">
        <f>IFERROR(__xludf.DUMMYFUNCTION("REGEXREPLACE(B296,""(.*):(.*):(.*)"",""$2"")"),"")</f>
        <v/>
      </c>
      <c r="E296" s="259" t="str">
        <f>IFERROR(__xludf.DUMMYFUNCTION("REGEXREPLACE(B296,""(.*):(.*):(.*)"",""$3"")"),"")</f>
        <v/>
      </c>
      <c r="F296" s="63">
        <f t="shared" si="2"/>
        <v>0</v>
      </c>
    </row>
    <row r="297">
      <c r="B297" s="63"/>
      <c r="C297" s="63" t="str">
        <f t="shared" si="1"/>
        <v/>
      </c>
      <c r="D297" s="63" t="str">
        <f>IFERROR(__xludf.DUMMYFUNCTION("REGEXREPLACE(B297,""(.*):(.*):(.*)"",""$2"")"),"")</f>
        <v/>
      </c>
      <c r="E297" s="259" t="str">
        <f>IFERROR(__xludf.DUMMYFUNCTION("REGEXREPLACE(B297,""(.*):(.*):(.*)"",""$3"")"),"")</f>
        <v/>
      </c>
      <c r="F297" s="63">
        <f t="shared" si="2"/>
        <v>0</v>
      </c>
    </row>
    <row r="298">
      <c r="B298" s="63"/>
      <c r="C298" s="63" t="str">
        <f t="shared" si="1"/>
        <v/>
      </c>
      <c r="D298" s="63" t="str">
        <f>IFERROR(__xludf.DUMMYFUNCTION("REGEXREPLACE(B298,""(.*):(.*):(.*)"",""$2"")"),"")</f>
        <v/>
      </c>
      <c r="E298" s="259" t="str">
        <f>IFERROR(__xludf.DUMMYFUNCTION("REGEXREPLACE(B298,""(.*):(.*):(.*)"",""$3"")"),"")</f>
        <v/>
      </c>
      <c r="F298" s="63">
        <f t="shared" si="2"/>
        <v>0</v>
      </c>
    </row>
    <row r="299">
      <c r="B299" s="63"/>
      <c r="C299" s="63" t="str">
        <f t="shared" si="1"/>
        <v/>
      </c>
      <c r="D299" s="63" t="str">
        <f>IFERROR(__xludf.DUMMYFUNCTION("REGEXREPLACE(B299,""(.*):(.*):(.*)"",""$2"")"),"")</f>
        <v/>
      </c>
      <c r="E299" s="259" t="str">
        <f>IFERROR(__xludf.DUMMYFUNCTION("REGEXREPLACE(B299,""(.*):(.*):(.*)"",""$3"")"),"")</f>
        <v/>
      </c>
      <c r="F299" s="63">
        <f t="shared" si="2"/>
        <v>0</v>
      </c>
    </row>
    <row r="300">
      <c r="B300" s="63"/>
      <c r="C300" s="63" t="str">
        <f t="shared" si="1"/>
        <v/>
      </c>
      <c r="D300" s="63" t="str">
        <f>IFERROR(__xludf.DUMMYFUNCTION("REGEXREPLACE(B300,""(.*):(.*):(.*)"",""$2"")"),"")</f>
        <v/>
      </c>
      <c r="E300" s="259" t="str">
        <f>IFERROR(__xludf.DUMMYFUNCTION("REGEXREPLACE(B300,""(.*):(.*):(.*)"",""$3"")"),"")</f>
        <v/>
      </c>
      <c r="F300" s="63">
        <f t="shared" si="2"/>
        <v>0</v>
      </c>
    </row>
    <row r="301">
      <c r="B301" s="63"/>
      <c r="C301" s="63" t="str">
        <f t="shared" si="1"/>
        <v/>
      </c>
      <c r="D301" s="63" t="str">
        <f>IFERROR(__xludf.DUMMYFUNCTION("REGEXREPLACE(B301,""(.*):(.*):(.*)"",""$2"")"),"")</f>
        <v/>
      </c>
      <c r="E301" s="259" t="str">
        <f>IFERROR(__xludf.DUMMYFUNCTION("REGEXREPLACE(B301,""(.*):(.*):(.*)"",""$3"")"),"")</f>
        <v/>
      </c>
      <c r="F301" s="63">
        <f t="shared" si="2"/>
        <v>0</v>
      </c>
    </row>
    <row r="302">
      <c r="B302" s="63"/>
      <c r="C302" s="63" t="str">
        <f t="shared" si="1"/>
        <v/>
      </c>
      <c r="D302" s="63" t="str">
        <f>IFERROR(__xludf.DUMMYFUNCTION("REGEXREPLACE(B302,""(.*):(.*):(.*)"",""$2"")"),"")</f>
        <v/>
      </c>
      <c r="E302" s="259" t="str">
        <f>IFERROR(__xludf.DUMMYFUNCTION("REGEXREPLACE(B302,""(.*):(.*):(.*)"",""$3"")"),"")</f>
        <v/>
      </c>
      <c r="F302" s="63">
        <f t="shared" si="2"/>
        <v>0</v>
      </c>
    </row>
    <row r="303">
      <c r="B303" s="63"/>
      <c r="C303" s="63" t="str">
        <f t="shared" si="1"/>
        <v/>
      </c>
      <c r="D303" s="63" t="str">
        <f>IFERROR(__xludf.DUMMYFUNCTION("REGEXREPLACE(B303,""(.*):(.*):(.*)"",""$2"")"),"")</f>
        <v/>
      </c>
      <c r="E303" s="259" t="str">
        <f>IFERROR(__xludf.DUMMYFUNCTION("REGEXREPLACE(B303,""(.*):(.*):(.*)"",""$3"")"),"")</f>
        <v/>
      </c>
      <c r="F303" s="63">
        <f t="shared" si="2"/>
        <v>0</v>
      </c>
    </row>
    <row r="304">
      <c r="B304" s="63"/>
      <c r="C304" s="63" t="str">
        <f t="shared" si="1"/>
        <v/>
      </c>
      <c r="D304" s="63" t="str">
        <f>IFERROR(__xludf.DUMMYFUNCTION("REGEXREPLACE(B304,""(.*):(.*):(.*)"",""$2"")"),"")</f>
        <v/>
      </c>
      <c r="E304" s="259" t="str">
        <f>IFERROR(__xludf.DUMMYFUNCTION("REGEXREPLACE(B304,""(.*):(.*):(.*)"",""$3"")"),"")</f>
        <v/>
      </c>
      <c r="F304" s="63">
        <f t="shared" si="2"/>
        <v>0</v>
      </c>
    </row>
    <row r="305">
      <c r="B305" s="63"/>
      <c r="C305" s="63" t="str">
        <f t="shared" si="1"/>
        <v/>
      </c>
      <c r="D305" s="63" t="str">
        <f>IFERROR(__xludf.DUMMYFUNCTION("REGEXREPLACE(B305,""(.*):(.*):(.*)"",""$2"")"),"")</f>
        <v/>
      </c>
      <c r="E305" s="259" t="str">
        <f>IFERROR(__xludf.DUMMYFUNCTION("REGEXREPLACE(B305,""(.*):(.*):(.*)"",""$3"")"),"")</f>
        <v/>
      </c>
      <c r="F305" s="63">
        <f t="shared" si="2"/>
        <v>0</v>
      </c>
    </row>
    <row r="306">
      <c r="B306" s="63"/>
      <c r="C306" s="63" t="str">
        <f t="shared" si="1"/>
        <v/>
      </c>
      <c r="D306" s="63" t="str">
        <f>IFERROR(__xludf.DUMMYFUNCTION("REGEXREPLACE(B306,""(.*):(.*):(.*)"",""$2"")"),"")</f>
        <v/>
      </c>
      <c r="E306" s="259" t="str">
        <f>IFERROR(__xludf.DUMMYFUNCTION("REGEXREPLACE(B306,""(.*):(.*):(.*)"",""$3"")"),"")</f>
        <v/>
      </c>
      <c r="F306" s="63">
        <f t="shared" si="2"/>
        <v>0</v>
      </c>
    </row>
    <row r="307">
      <c r="B307" s="63"/>
      <c r="C307" s="63" t="str">
        <f t="shared" si="1"/>
        <v/>
      </c>
      <c r="D307" s="63" t="str">
        <f>IFERROR(__xludf.DUMMYFUNCTION("REGEXREPLACE(B307,""(.*):(.*):(.*)"",""$2"")"),"")</f>
        <v/>
      </c>
      <c r="E307" s="259" t="str">
        <f>IFERROR(__xludf.DUMMYFUNCTION("REGEXREPLACE(B307,""(.*):(.*):(.*)"",""$3"")"),"")</f>
        <v/>
      </c>
      <c r="F307" s="63">
        <f t="shared" si="2"/>
        <v>0</v>
      </c>
    </row>
    <row r="308">
      <c r="B308" s="63"/>
      <c r="C308" s="63" t="str">
        <f t="shared" si="1"/>
        <v/>
      </c>
      <c r="D308" s="63" t="str">
        <f>IFERROR(__xludf.DUMMYFUNCTION("REGEXREPLACE(B308,""(.*):(.*):(.*)"",""$2"")"),"")</f>
        <v/>
      </c>
      <c r="E308" s="259" t="str">
        <f>IFERROR(__xludf.DUMMYFUNCTION("REGEXREPLACE(B308,""(.*):(.*):(.*)"",""$3"")"),"")</f>
        <v/>
      </c>
      <c r="F308" s="63">
        <f t="shared" si="2"/>
        <v>0</v>
      </c>
    </row>
    <row r="309">
      <c r="B309" s="63"/>
      <c r="C309" s="63" t="str">
        <f t="shared" si="1"/>
        <v/>
      </c>
      <c r="D309" s="63" t="str">
        <f>IFERROR(__xludf.DUMMYFUNCTION("REGEXREPLACE(B309,""(.*):(.*):(.*)"",""$2"")"),"")</f>
        <v/>
      </c>
      <c r="E309" s="259" t="str">
        <f>IFERROR(__xludf.DUMMYFUNCTION("REGEXREPLACE(B309,""(.*):(.*):(.*)"",""$3"")"),"")</f>
        <v/>
      </c>
      <c r="F309" s="63">
        <f t="shared" si="2"/>
        <v>0</v>
      </c>
    </row>
    <row r="310">
      <c r="B310" s="63"/>
      <c r="C310" s="63" t="str">
        <f t="shared" si="1"/>
        <v/>
      </c>
      <c r="D310" s="63" t="str">
        <f>IFERROR(__xludf.DUMMYFUNCTION("REGEXREPLACE(B310,""(.*):(.*):(.*)"",""$2"")"),"")</f>
        <v/>
      </c>
      <c r="E310" s="259" t="str">
        <f>IFERROR(__xludf.DUMMYFUNCTION("REGEXREPLACE(B310,""(.*):(.*):(.*)"",""$3"")"),"")</f>
        <v/>
      </c>
      <c r="F310" s="63">
        <f t="shared" si="2"/>
        <v>0</v>
      </c>
    </row>
    <row r="311">
      <c r="B311" s="63"/>
      <c r="C311" s="63" t="str">
        <f t="shared" si="1"/>
        <v/>
      </c>
      <c r="D311" s="63" t="str">
        <f>IFERROR(__xludf.DUMMYFUNCTION("REGEXREPLACE(B311,""(.*):(.*):(.*)"",""$2"")"),"")</f>
        <v/>
      </c>
      <c r="E311" s="259" t="str">
        <f>IFERROR(__xludf.DUMMYFUNCTION("REGEXREPLACE(B311,""(.*):(.*):(.*)"",""$3"")"),"")</f>
        <v/>
      </c>
      <c r="F311" s="63">
        <f t="shared" si="2"/>
        <v>0</v>
      </c>
    </row>
    <row r="312">
      <c r="B312" s="63"/>
      <c r="C312" s="63" t="str">
        <f t="shared" si="1"/>
        <v/>
      </c>
      <c r="D312" s="63" t="str">
        <f>IFERROR(__xludf.DUMMYFUNCTION("REGEXREPLACE(B312,""(.*):(.*):(.*)"",""$2"")"),"")</f>
        <v/>
      </c>
      <c r="E312" s="259" t="str">
        <f>IFERROR(__xludf.DUMMYFUNCTION("REGEXREPLACE(B312,""(.*):(.*):(.*)"",""$3"")"),"")</f>
        <v/>
      </c>
      <c r="F312" s="63">
        <f t="shared" si="2"/>
        <v>0</v>
      </c>
    </row>
    <row r="313">
      <c r="B313" s="63"/>
      <c r="C313" s="63" t="str">
        <f t="shared" si="1"/>
        <v/>
      </c>
      <c r="D313" s="63" t="str">
        <f>IFERROR(__xludf.DUMMYFUNCTION("REGEXREPLACE(B313,""(.*):(.*):(.*)"",""$2"")"),"")</f>
        <v/>
      </c>
      <c r="E313" s="259" t="str">
        <f>IFERROR(__xludf.DUMMYFUNCTION("REGEXREPLACE(B313,""(.*):(.*):(.*)"",""$3"")"),"")</f>
        <v/>
      </c>
      <c r="F313" s="63">
        <f t="shared" si="2"/>
        <v>0</v>
      </c>
    </row>
    <row r="314">
      <c r="B314" s="63"/>
      <c r="C314" s="63" t="str">
        <f t="shared" si="1"/>
        <v/>
      </c>
      <c r="D314" s="63" t="str">
        <f>IFERROR(__xludf.DUMMYFUNCTION("REGEXREPLACE(B314,""(.*):(.*):(.*)"",""$2"")"),"")</f>
        <v/>
      </c>
      <c r="E314" s="259" t="str">
        <f>IFERROR(__xludf.DUMMYFUNCTION("REGEXREPLACE(B314,""(.*):(.*):(.*)"",""$3"")"),"")</f>
        <v/>
      </c>
      <c r="F314" s="63">
        <f t="shared" si="2"/>
        <v>0</v>
      </c>
    </row>
    <row r="315">
      <c r="B315" s="63"/>
      <c r="C315" s="63" t="str">
        <f t="shared" si="1"/>
        <v/>
      </c>
      <c r="D315" s="63" t="str">
        <f>IFERROR(__xludf.DUMMYFUNCTION("REGEXREPLACE(B315,""(.*):(.*):(.*)"",""$2"")"),"")</f>
        <v/>
      </c>
      <c r="E315" s="259" t="str">
        <f>IFERROR(__xludf.DUMMYFUNCTION("REGEXREPLACE(B315,""(.*):(.*):(.*)"",""$3"")"),"")</f>
        <v/>
      </c>
      <c r="F315" s="63">
        <f t="shared" si="2"/>
        <v>0</v>
      </c>
    </row>
    <row r="316">
      <c r="B316" s="63"/>
      <c r="C316" s="63" t="str">
        <f t="shared" si="1"/>
        <v/>
      </c>
      <c r="D316" s="63" t="str">
        <f>IFERROR(__xludf.DUMMYFUNCTION("REGEXREPLACE(B316,""(.*):(.*):(.*)"",""$2"")"),"")</f>
        <v/>
      </c>
      <c r="E316" s="259" t="str">
        <f>IFERROR(__xludf.DUMMYFUNCTION("REGEXREPLACE(B316,""(.*):(.*):(.*)"",""$3"")"),"")</f>
        <v/>
      </c>
      <c r="F316" s="63">
        <f t="shared" si="2"/>
        <v>0</v>
      </c>
    </row>
    <row r="317">
      <c r="B317" s="63"/>
      <c r="C317" s="63" t="str">
        <f t="shared" si="1"/>
        <v/>
      </c>
      <c r="D317" s="63" t="str">
        <f>IFERROR(__xludf.DUMMYFUNCTION("REGEXREPLACE(B317,""(.*):(.*):(.*)"",""$2"")"),"")</f>
        <v/>
      </c>
      <c r="E317" s="259" t="str">
        <f>IFERROR(__xludf.DUMMYFUNCTION("REGEXREPLACE(B317,""(.*):(.*):(.*)"",""$3"")"),"")</f>
        <v/>
      </c>
      <c r="F317" s="63">
        <f t="shared" si="2"/>
        <v>0</v>
      </c>
    </row>
    <row r="318">
      <c r="B318" s="63"/>
      <c r="C318" s="63" t="str">
        <f t="shared" si="1"/>
        <v/>
      </c>
      <c r="D318" s="63" t="str">
        <f>IFERROR(__xludf.DUMMYFUNCTION("REGEXREPLACE(B318,""(.*):(.*):(.*)"",""$2"")"),"")</f>
        <v/>
      </c>
      <c r="E318" s="259" t="str">
        <f>IFERROR(__xludf.DUMMYFUNCTION("REGEXREPLACE(B318,""(.*):(.*):(.*)"",""$3"")"),"")</f>
        <v/>
      </c>
      <c r="F318" s="63">
        <f t="shared" si="2"/>
        <v>0</v>
      </c>
    </row>
    <row r="319">
      <c r="B319" s="63"/>
      <c r="C319" s="63" t="str">
        <f t="shared" si="1"/>
        <v/>
      </c>
      <c r="D319" s="63" t="str">
        <f>IFERROR(__xludf.DUMMYFUNCTION("REGEXREPLACE(B319,""(.*):(.*):(.*)"",""$2"")"),"")</f>
        <v/>
      </c>
      <c r="E319" s="259" t="str">
        <f>IFERROR(__xludf.DUMMYFUNCTION("REGEXREPLACE(B319,""(.*):(.*):(.*)"",""$3"")"),"")</f>
        <v/>
      </c>
      <c r="F319" s="63">
        <f t="shared" si="2"/>
        <v>0</v>
      </c>
    </row>
    <row r="320">
      <c r="B320" s="63"/>
      <c r="C320" s="63" t="str">
        <f t="shared" si="1"/>
        <v/>
      </c>
      <c r="D320" s="63" t="str">
        <f>IFERROR(__xludf.DUMMYFUNCTION("REGEXREPLACE(B320,""(.*):(.*):(.*)"",""$2"")"),"")</f>
        <v/>
      </c>
      <c r="E320" s="259" t="str">
        <f>IFERROR(__xludf.DUMMYFUNCTION("REGEXREPLACE(B320,""(.*):(.*):(.*)"",""$3"")"),"")</f>
        <v/>
      </c>
      <c r="F320" s="63">
        <f t="shared" si="2"/>
        <v>0</v>
      </c>
    </row>
    <row r="321">
      <c r="B321" s="63"/>
      <c r="C321" s="63" t="str">
        <f t="shared" si="1"/>
        <v/>
      </c>
      <c r="D321" s="63" t="str">
        <f>IFERROR(__xludf.DUMMYFUNCTION("REGEXREPLACE(B321,""(.*):(.*):(.*)"",""$2"")"),"")</f>
        <v/>
      </c>
      <c r="E321" s="259" t="str">
        <f>IFERROR(__xludf.DUMMYFUNCTION("REGEXREPLACE(B321,""(.*):(.*):(.*)"",""$3"")"),"")</f>
        <v/>
      </c>
      <c r="F321" s="63">
        <f t="shared" si="2"/>
        <v>0</v>
      </c>
    </row>
    <row r="322">
      <c r="B322" s="63"/>
      <c r="C322" s="63" t="str">
        <f t="shared" si="1"/>
        <v/>
      </c>
      <c r="D322" s="63" t="str">
        <f>IFERROR(__xludf.DUMMYFUNCTION("REGEXREPLACE(B322,""(.*):(.*):(.*)"",""$2"")"),"")</f>
        <v/>
      </c>
      <c r="E322" s="259" t="str">
        <f>IFERROR(__xludf.DUMMYFUNCTION("REGEXREPLACE(B322,""(.*):(.*):(.*)"",""$3"")"),"")</f>
        <v/>
      </c>
      <c r="F322" s="63">
        <f t="shared" si="2"/>
        <v>0</v>
      </c>
    </row>
    <row r="323">
      <c r="B323" s="63"/>
      <c r="C323" s="63" t="str">
        <f t="shared" si="1"/>
        <v/>
      </c>
      <c r="D323" s="63" t="str">
        <f>IFERROR(__xludf.DUMMYFUNCTION("REGEXREPLACE(B323,""(.*):(.*):(.*)"",""$2"")"),"")</f>
        <v/>
      </c>
      <c r="E323" s="259" t="str">
        <f>IFERROR(__xludf.DUMMYFUNCTION("REGEXREPLACE(B323,""(.*):(.*):(.*)"",""$3"")"),"")</f>
        <v/>
      </c>
      <c r="F323" s="63">
        <f t="shared" si="2"/>
        <v>0</v>
      </c>
    </row>
    <row r="324">
      <c r="B324" s="63"/>
      <c r="C324" s="63" t="str">
        <f t="shared" si="1"/>
        <v/>
      </c>
      <c r="D324" s="63" t="str">
        <f>IFERROR(__xludf.DUMMYFUNCTION("REGEXREPLACE(B324,""(.*):(.*):(.*)"",""$2"")"),"")</f>
        <v/>
      </c>
      <c r="E324" s="259" t="str">
        <f>IFERROR(__xludf.DUMMYFUNCTION("REGEXREPLACE(B324,""(.*):(.*):(.*)"",""$3"")"),"")</f>
        <v/>
      </c>
      <c r="F324" s="63">
        <f t="shared" si="2"/>
        <v>0</v>
      </c>
    </row>
    <row r="325">
      <c r="B325" s="63"/>
      <c r="C325" s="63" t="str">
        <f t="shared" si="1"/>
        <v/>
      </c>
      <c r="D325" s="63" t="str">
        <f>IFERROR(__xludf.DUMMYFUNCTION("REGEXREPLACE(B325,""(.*):(.*):(.*)"",""$2"")"),"")</f>
        <v/>
      </c>
      <c r="E325" s="259" t="str">
        <f>IFERROR(__xludf.DUMMYFUNCTION("REGEXREPLACE(B325,""(.*):(.*):(.*)"",""$3"")"),"")</f>
        <v/>
      </c>
      <c r="F325" s="63">
        <f t="shared" si="2"/>
        <v>0</v>
      </c>
    </row>
    <row r="326">
      <c r="B326" s="63"/>
      <c r="C326" s="63" t="str">
        <f t="shared" si="1"/>
        <v/>
      </c>
      <c r="D326" s="63" t="str">
        <f>IFERROR(__xludf.DUMMYFUNCTION("REGEXREPLACE(B326,""(.*):(.*):(.*)"",""$2"")"),"")</f>
        <v/>
      </c>
      <c r="E326" s="259" t="str">
        <f>IFERROR(__xludf.DUMMYFUNCTION("REGEXREPLACE(B326,""(.*):(.*):(.*)"",""$3"")"),"")</f>
        <v/>
      </c>
      <c r="F326" s="63">
        <f t="shared" si="2"/>
        <v>0</v>
      </c>
    </row>
    <row r="327">
      <c r="B327" s="63"/>
      <c r="C327" s="63" t="str">
        <f t="shared" si="1"/>
        <v/>
      </c>
      <c r="D327" s="63" t="str">
        <f>IFERROR(__xludf.DUMMYFUNCTION("REGEXREPLACE(B327,""(.*):(.*):(.*)"",""$2"")"),"")</f>
        <v/>
      </c>
      <c r="E327" s="259" t="str">
        <f>IFERROR(__xludf.DUMMYFUNCTION("REGEXREPLACE(B327,""(.*):(.*):(.*)"",""$3"")"),"")</f>
        <v/>
      </c>
      <c r="F327" s="63">
        <f t="shared" si="2"/>
        <v>0</v>
      </c>
    </row>
    <row r="328">
      <c r="B328" s="63"/>
      <c r="C328" s="63" t="str">
        <f t="shared" si="1"/>
        <v/>
      </c>
      <c r="D328" s="63" t="str">
        <f>IFERROR(__xludf.DUMMYFUNCTION("REGEXREPLACE(B328,""(.*):(.*):(.*)"",""$2"")"),"")</f>
        <v/>
      </c>
      <c r="E328" s="259" t="str">
        <f>IFERROR(__xludf.DUMMYFUNCTION("REGEXREPLACE(B328,""(.*):(.*):(.*)"",""$3"")"),"")</f>
        <v/>
      </c>
      <c r="F328" s="63">
        <f t="shared" si="2"/>
        <v>0</v>
      </c>
    </row>
    <row r="329">
      <c r="B329" s="63"/>
      <c r="C329" s="63" t="str">
        <f t="shared" si="1"/>
        <v/>
      </c>
      <c r="D329" s="63" t="str">
        <f>IFERROR(__xludf.DUMMYFUNCTION("REGEXREPLACE(B329,""(.*):(.*):(.*)"",""$2"")"),"")</f>
        <v/>
      </c>
      <c r="E329" s="259" t="str">
        <f>IFERROR(__xludf.DUMMYFUNCTION("REGEXREPLACE(B329,""(.*):(.*):(.*)"",""$3"")"),"")</f>
        <v/>
      </c>
      <c r="F329" s="63">
        <f t="shared" si="2"/>
        <v>0</v>
      </c>
    </row>
    <row r="330">
      <c r="B330" s="63"/>
      <c r="C330" s="63" t="str">
        <f t="shared" si="1"/>
        <v/>
      </c>
      <c r="D330" s="63" t="str">
        <f>IFERROR(__xludf.DUMMYFUNCTION("REGEXREPLACE(B330,""(.*):(.*):(.*)"",""$2"")"),"")</f>
        <v/>
      </c>
      <c r="E330" s="259" t="str">
        <f>IFERROR(__xludf.DUMMYFUNCTION("REGEXREPLACE(B330,""(.*):(.*):(.*)"",""$3"")"),"")</f>
        <v/>
      </c>
      <c r="F330" s="63">
        <f t="shared" si="2"/>
        <v>0</v>
      </c>
    </row>
    <row r="331">
      <c r="B331" s="63"/>
      <c r="C331" s="63" t="str">
        <f t="shared" si="1"/>
        <v/>
      </c>
      <c r="D331" s="63" t="str">
        <f>IFERROR(__xludf.DUMMYFUNCTION("REGEXREPLACE(B331,""(.*):(.*):(.*)"",""$2"")"),"")</f>
        <v/>
      </c>
      <c r="E331" s="259" t="str">
        <f>IFERROR(__xludf.DUMMYFUNCTION("REGEXREPLACE(B331,""(.*):(.*):(.*)"",""$3"")"),"")</f>
        <v/>
      </c>
      <c r="F331" s="63">
        <f t="shared" si="2"/>
        <v>0</v>
      </c>
    </row>
    <row r="332">
      <c r="B332" s="63"/>
      <c r="C332" s="63" t="str">
        <f t="shared" si="1"/>
        <v/>
      </c>
      <c r="D332" s="63" t="str">
        <f>IFERROR(__xludf.DUMMYFUNCTION("REGEXREPLACE(B332,""(.*):(.*):(.*)"",""$2"")"),"")</f>
        <v/>
      </c>
      <c r="E332" s="259" t="str">
        <f>IFERROR(__xludf.DUMMYFUNCTION("REGEXREPLACE(B332,""(.*):(.*):(.*)"",""$3"")"),"")</f>
        <v/>
      </c>
      <c r="F332" s="63">
        <f t="shared" si="2"/>
        <v>0</v>
      </c>
    </row>
    <row r="333">
      <c r="B333" s="63"/>
      <c r="C333" s="63" t="str">
        <f t="shared" si="1"/>
        <v/>
      </c>
      <c r="D333" s="63" t="str">
        <f>IFERROR(__xludf.DUMMYFUNCTION("REGEXREPLACE(B333,""(.*):(.*):(.*)"",""$2"")"),"")</f>
        <v/>
      </c>
      <c r="E333" s="259" t="str">
        <f>IFERROR(__xludf.DUMMYFUNCTION("REGEXREPLACE(B333,""(.*):(.*):(.*)"",""$3"")"),"")</f>
        <v/>
      </c>
      <c r="F333" s="63">
        <f t="shared" si="2"/>
        <v>0</v>
      </c>
    </row>
    <row r="334">
      <c r="B334" s="63"/>
      <c r="C334" s="63" t="str">
        <f t="shared" si="1"/>
        <v/>
      </c>
      <c r="D334" s="63" t="str">
        <f>IFERROR(__xludf.DUMMYFUNCTION("REGEXREPLACE(B334,""(.*):(.*):(.*)"",""$2"")"),"")</f>
        <v/>
      </c>
      <c r="E334" s="259" t="str">
        <f>IFERROR(__xludf.DUMMYFUNCTION("REGEXREPLACE(B334,""(.*):(.*):(.*)"",""$3"")"),"")</f>
        <v/>
      </c>
      <c r="F334" s="63">
        <f t="shared" si="2"/>
        <v>0</v>
      </c>
    </row>
    <row r="335">
      <c r="B335" s="63"/>
      <c r="C335" s="63" t="str">
        <f t="shared" si="1"/>
        <v/>
      </c>
      <c r="D335" s="63" t="str">
        <f>IFERROR(__xludf.DUMMYFUNCTION("REGEXREPLACE(B335,""(.*):(.*):(.*)"",""$2"")"),"")</f>
        <v/>
      </c>
      <c r="E335" s="259" t="str">
        <f>IFERROR(__xludf.DUMMYFUNCTION("REGEXREPLACE(B335,""(.*):(.*):(.*)"",""$3"")"),"")</f>
        <v/>
      </c>
      <c r="F335" s="63">
        <f t="shared" si="2"/>
        <v>0</v>
      </c>
    </row>
    <row r="336">
      <c r="B336" s="63"/>
      <c r="C336" s="63" t="str">
        <f t="shared" si="1"/>
        <v/>
      </c>
      <c r="D336" s="63" t="str">
        <f>IFERROR(__xludf.DUMMYFUNCTION("REGEXREPLACE(B336,""(.*):(.*):(.*)"",""$2"")"),"")</f>
        <v/>
      </c>
      <c r="E336" s="259" t="str">
        <f>IFERROR(__xludf.DUMMYFUNCTION("REGEXREPLACE(B336,""(.*):(.*):(.*)"",""$3"")"),"")</f>
        <v/>
      </c>
      <c r="F336" s="63">
        <f t="shared" si="2"/>
        <v>0</v>
      </c>
    </row>
    <row r="337">
      <c r="B337" s="63"/>
      <c r="C337" s="63" t="str">
        <f t="shared" si="1"/>
        <v/>
      </c>
      <c r="D337" s="63" t="str">
        <f>IFERROR(__xludf.DUMMYFUNCTION("REGEXREPLACE(B337,""(.*):(.*):(.*)"",""$2"")"),"")</f>
        <v/>
      </c>
      <c r="E337" s="259" t="str">
        <f>IFERROR(__xludf.DUMMYFUNCTION("REGEXREPLACE(B337,""(.*):(.*):(.*)"",""$3"")"),"")</f>
        <v/>
      </c>
      <c r="F337" s="63">
        <f t="shared" si="2"/>
        <v>0</v>
      </c>
    </row>
    <row r="338">
      <c r="B338" s="63"/>
      <c r="C338" s="63" t="str">
        <f t="shared" si="1"/>
        <v/>
      </c>
      <c r="D338" s="63" t="str">
        <f>IFERROR(__xludf.DUMMYFUNCTION("REGEXREPLACE(B338,""(.*):(.*):(.*)"",""$2"")"),"")</f>
        <v/>
      </c>
      <c r="E338" s="259" t="str">
        <f>IFERROR(__xludf.DUMMYFUNCTION("REGEXREPLACE(B338,""(.*):(.*):(.*)"",""$3"")"),"")</f>
        <v/>
      </c>
      <c r="F338" s="63">
        <f t="shared" si="2"/>
        <v>0</v>
      </c>
    </row>
    <row r="339">
      <c r="B339" s="63"/>
      <c r="C339" s="63" t="str">
        <f t="shared" si="1"/>
        <v/>
      </c>
      <c r="D339" s="63" t="str">
        <f>IFERROR(__xludf.DUMMYFUNCTION("REGEXREPLACE(B339,""(.*):(.*):(.*)"",""$2"")"),"")</f>
        <v/>
      </c>
      <c r="E339" s="259" t="str">
        <f>IFERROR(__xludf.DUMMYFUNCTION("REGEXREPLACE(B339,""(.*):(.*):(.*)"",""$3"")"),"")</f>
        <v/>
      </c>
      <c r="F339" s="63">
        <f t="shared" si="2"/>
        <v>0</v>
      </c>
    </row>
    <row r="340">
      <c r="B340" s="63"/>
      <c r="C340" s="63" t="str">
        <f t="shared" si="1"/>
        <v/>
      </c>
      <c r="D340" s="63" t="str">
        <f>IFERROR(__xludf.DUMMYFUNCTION("REGEXREPLACE(B340,""(.*):(.*):(.*)"",""$2"")"),"")</f>
        <v/>
      </c>
      <c r="E340" s="259" t="str">
        <f>IFERROR(__xludf.DUMMYFUNCTION("REGEXREPLACE(B340,""(.*):(.*):(.*)"",""$3"")"),"")</f>
        <v/>
      </c>
      <c r="F340" s="63">
        <f t="shared" si="2"/>
        <v>0</v>
      </c>
    </row>
    <row r="341">
      <c r="B341" s="63"/>
      <c r="C341" s="63" t="str">
        <f t="shared" si="1"/>
        <v/>
      </c>
      <c r="D341" s="63" t="str">
        <f>IFERROR(__xludf.DUMMYFUNCTION("REGEXREPLACE(B341,""(.*):(.*):(.*)"",""$2"")"),"")</f>
        <v/>
      </c>
      <c r="E341" s="259" t="str">
        <f>IFERROR(__xludf.DUMMYFUNCTION("REGEXREPLACE(B341,""(.*):(.*):(.*)"",""$3"")"),"")</f>
        <v/>
      </c>
      <c r="F341" s="63">
        <f t="shared" si="2"/>
        <v>0</v>
      </c>
    </row>
    <row r="342">
      <c r="B342" s="63"/>
      <c r="C342" s="63" t="str">
        <f t="shared" si="1"/>
        <v/>
      </c>
      <c r="D342" s="63" t="str">
        <f>IFERROR(__xludf.DUMMYFUNCTION("REGEXREPLACE(B342,""(.*):(.*):(.*)"",""$2"")"),"")</f>
        <v/>
      </c>
      <c r="E342" s="259" t="str">
        <f>IFERROR(__xludf.DUMMYFUNCTION("REGEXREPLACE(B342,""(.*):(.*):(.*)"",""$3"")"),"")</f>
        <v/>
      </c>
      <c r="F342" s="63">
        <f t="shared" si="2"/>
        <v>0</v>
      </c>
    </row>
    <row r="343">
      <c r="B343" s="63"/>
      <c r="C343" s="63" t="str">
        <f t="shared" si="1"/>
        <v/>
      </c>
      <c r="D343" s="63" t="str">
        <f>IFERROR(__xludf.DUMMYFUNCTION("REGEXREPLACE(B343,""(.*):(.*):(.*)"",""$2"")"),"")</f>
        <v/>
      </c>
      <c r="E343" s="259" t="str">
        <f>IFERROR(__xludf.DUMMYFUNCTION("REGEXREPLACE(B343,""(.*):(.*):(.*)"",""$3"")"),"")</f>
        <v/>
      </c>
      <c r="F343" s="63">
        <f t="shared" si="2"/>
        <v>0</v>
      </c>
    </row>
    <row r="344">
      <c r="B344" s="63"/>
      <c r="C344" s="63" t="str">
        <f t="shared" si="1"/>
        <v/>
      </c>
      <c r="D344" s="63" t="str">
        <f>IFERROR(__xludf.DUMMYFUNCTION("REGEXREPLACE(B344,""(.*):(.*):(.*)"",""$2"")"),"")</f>
        <v/>
      </c>
      <c r="E344" s="259" t="str">
        <f>IFERROR(__xludf.DUMMYFUNCTION("REGEXREPLACE(B344,""(.*):(.*):(.*)"",""$3"")"),"")</f>
        <v/>
      </c>
      <c r="F344" s="63">
        <f t="shared" si="2"/>
        <v>0</v>
      </c>
    </row>
    <row r="345">
      <c r="B345" s="63"/>
      <c r="C345" s="63" t="str">
        <f t="shared" si="1"/>
        <v/>
      </c>
      <c r="D345" s="63" t="str">
        <f>IFERROR(__xludf.DUMMYFUNCTION("REGEXREPLACE(B345,""(.*):(.*):(.*)"",""$2"")"),"")</f>
        <v/>
      </c>
      <c r="E345" s="259" t="str">
        <f>IFERROR(__xludf.DUMMYFUNCTION("REGEXREPLACE(B345,""(.*):(.*):(.*)"",""$3"")"),"")</f>
        <v/>
      </c>
      <c r="F345" s="63">
        <f t="shared" si="2"/>
        <v>0</v>
      </c>
    </row>
    <row r="346">
      <c r="B346" s="63"/>
      <c r="C346" s="63" t="str">
        <f t="shared" si="1"/>
        <v/>
      </c>
      <c r="D346" s="63" t="str">
        <f>IFERROR(__xludf.DUMMYFUNCTION("REGEXREPLACE(B346,""(.*):(.*):(.*)"",""$2"")"),"")</f>
        <v/>
      </c>
      <c r="E346" s="259" t="str">
        <f>IFERROR(__xludf.DUMMYFUNCTION("REGEXREPLACE(B346,""(.*):(.*):(.*)"",""$3"")"),"")</f>
        <v/>
      </c>
      <c r="F346" s="63">
        <f t="shared" si="2"/>
        <v>0</v>
      </c>
    </row>
    <row r="347">
      <c r="B347" s="63"/>
      <c r="C347" s="63" t="str">
        <f t="shared" si="1"/>
        <v/>
      </c>
      <c r="D347" s="63" t="str">
        <f>IFERROR(__xludf.DUMMYFUNCTION("REGEXREPLACE(B347,""(.*):(.*):(.*)"",""$2"")"),"")</f>
        <v/>
      </c>
      <c r="E347" s="259" t="str">
        <f>IFERROR(__xludf.DUMMYFUNCTION("REGEXREPLACE(B347,""(.*):(.*):(.*)"",""$3"")"),"")</f>
        <v/>
      </c>
      <c r="F347" s="63">
        <f t="shared" si="2"/>
        <v>0</v>
      </c>
    </row>
    <row r="348">
      <c r="B348" s="63"/>
      <c r="C348" s="63" t="str">
        <f t="shared" si="1"/>
        <v/>
      </c>
      <c r="D348" s="63" t="str">
        <f>IFERROR(__xludf.DUMMYFUNCTION("REGEXREPLACE(B348,""(.*):(.*):(.*)"",""$2"")"),"")</f>
        <v/>
      </c>
      <c r="E348" s="259" t="str">
        <f>IFERROR(__xludf.DUMMYFUNCTION("REGEXREPLACE(B348,""(.*):(.*):(.*)"",""$3"")"),"")</f>
        <v/>
      </c>
      <c r="F348" s="63">
        <f t="shared" si="2"/>
        <v>0</v>
      </c>
    </row>
    <row r="349">
      <c r="B349" s="63"/>
      <c r="C349" s="63" t="str">
        <f t="shared" si="1"/>
        <v/>
      </c>
      <c r="D349" s="63" t="str">
        <f>IFERROR(__xludf.DUMMYFUNCTION("REGEXREPLACE(B349,""(.*):(.*):(.*)"",""$2"")"),"")</f>
        <v/>
      </c>
      <c r="E349" s="259" t="str">
        <f>IFERROR(__xludf.DUMMYFUNCTION("REGEXREPLACE(B349,""(.*):(.*):(.*)"",""$3"")"),"")</f>
        <v/>
      </c>
      <c r="F349" s="63">
        <f t="shared" si="2"/>
        <v>0</v>
      </c>
    </row>
    <row r="350">
      <c r="B350" s="63"/>
      <c r="C350" s="63" t="str">
        <f t="shared" si="1"/>
        <v/>
      </c>
      <c r="D350" s="63" t="str">
        <f>IFERROR(__xludf.DUMMYFUNCTION("REGEXREPLACE(B350,""(.*):(.*):(.*)"",""$2"")"),"")</f>
        <v/>
      </c>
      <c r="E350" s="259" t="str">
        <f>IFERROR(__xludf.DUMMYFUNCTION("REGEXREPLACE(B350,""(.*):(.*):(.*)"",""$3"")"),"")</f>
        <v/>
      </c>
      <c r="F350" s="63">
        <f t="shared" si="2"/>
        <v>0</v>
      </c>
    </row>
    <row r="351">
      <c r="B351" s="63"/>
      <c r="C351" s="63" t="str">
        <f t="shared" si="1"/>
        <v/>
      </c>
      <c r="D351" s="63" t="str">
        <f>IFERROR(__xludf.DUMMYFUNCTION("REGEXREPLACE(B351,""(.*):(.*):(.*)"",""$2"")"),"")</f>
        <v/>
      </c>
      <c r="E351" s="259" t="str">
        <f>IFERROR(__xludf.DUMMYFUNCTION("REGEXREPLACE(B351,""(.*):(.*):(.*)"",""$3"")"),"")</f>
        <v/>
      </c>
      <c r="F351" s="63">
        <f t="shared" si="2"/>
        <v>0</v>
      </c>
    </row>
    <row r="352">
      <c r="B352" s="63"/>
      <c r="C352" s="63" t="str">
        <f t="shared" si="1"/>
        <v/>
      </c>
      <c r="D352" s="63" t="str">
        <f>IFERROR(__xludf.DUMMYFUNCTION("REGEXREPLACE(B352,""(.*):(.*):(.*)"",""$2"")"),"")</f>
        <v/>
      </c>
      <c r="E352" s="259" t="str">
        <f>IFERROR(__xludf.DUMMYFUNCTION("REGEXREPLACE(B352,""(.*):(.*):(.*)"",""$3"")"),"")</f>
        <v/>
      </c>
      <c r="F352" s="63">
        <f t="shared" si="2"/>
        <v>0</v>
      </c>
    </row>
    <row r="353">
      <c r="B353" s="63"/>
      <c r="C353" s="63" t="str">
        <f t="shared" si="1"/>
        <v/>
      </c>
      <c r="D353" s="63" t="str">
        <f>IFERROR(__xludf.DUMMYFUNCTION("REGEXREPLACE(B353,""(.*):(.*):(.*)"",""$2"")"),"")</f>
        <v/>
      </c>
      <c r="E353" s="259" t="str">
        <f>IFERROR(__xludf.DUMMYFUNCTION("REGEXREPLACE(B353,""(.*):(.*):(.*)"",""$3"")"),"")</f>
        <v/>
      </c>
      <c r="F353" s="63">
        <f t="shared" si="2"/>
        <v>0</v>
      </c>
    </row>
    <row r="354">
      <c r="B354" s="63"/>
      <c r="C354" s="63" t="str">
        <f t="shared" si="1"/>
        <v/>
      </c>
      <c r="D354" s="63" t="str">
        <f>IFERROR(__xludf.DUMMYFUNCTION("REGEXREPLACE(B354,""(.*):(.*):(.*)"",""$2"")"),"")</f>
        <v/>
      </c>
      <c r="E354" s="259" t="str">
        <f>IFERROR(__xludf.DUMMYFUNCTION("REGEXREPLACE(B354,""(.*):(.*):(.*)"",""$3"")"),"")</f>
        <v/>
      </c>
      <c r="F354" s="63">
        <f t="shared" si="2"/>
        <v>0</v>
      </c>
    </row>
    <row r="355">
      <c r="B355" s="63"/>
      <c r="C355" s="63" t="str">
        <f t="shared" si="1"/>
        <v/>
      </c>
      <c r="D355" s="63" t="str">
        <f>IFERROR(__xludf.DUMMYFUNCTION("REGEXREPLACE(B355,""(.*):(.*):(.*)"",""$2"")"),"")</f>
        <v/>
      </c>
      <c r="E355" s="259" t="str">
        <f>IFERROR(__xludf.DUMMYFUNCTION("REGEXREPLACE(B355,""(.*):(.*):(.*)"",""$3"")"),"")</f>
        <v/>
      </c>
      <c r="F355" s="63">
        <f t="shared" si="2"/>
        <v>0</v>
      </c>
    </row>
    <row r="356">
      <c r="B356" s="63"/>
      <c r="C356" s="63" t="str">
        <f t="shared" si="1"/>
        <v/>
      </c>
      <c r="D356" s="63" t="str">
        <f>IFERROR(__xludf.DUMMYFUNCTION("REGEXREPLACE(B356,""(.*):(.*):(.*)"",""$2"")"),"")</f>
        <v/>
      </c>
      <c r="E356" s="259" t="str">
        <f>IFERROR(__xludf.DUMMYFUNCTION("REGEXREPLACE(B356,""(.*):(.*):(.*)"",""$3"")"),"")</f>
        <v/>
      </c>
      <c r="F356" s="63">
        <f t="shared" si="2"/>
        <v>0</v>
      </c>
    </row>
    <row r="357">
      <c r="B357" s="63"/>
      <c r="C357" s="63" t="str">
        <f t="shared" si="1"/>
        <v/>
      </c>
      <c r="D357" s="63" t="str">
        <f>IFERROR(__xludf.DUMMYFUNCTION("REGEXREPLACE(B357,""(.*):(.*):(.*)"",""$2"")"),"")</f>
        <v/>
      </c>
      <c r="E357" s="259" t="str">
        <f>IFERROR(__xludf.DUMMYFUNCTION("REGEXREPLACE(B357,""(.*):(.*):(.*)"",""$3"")"),"")</f>
        <v/>
      </c>
      <c r="F357" s="63">
        <f t="shared" si="2"/>
        <v>0</v>
      </c>
    </row>
    <row r="358">
      <c r="B358" s="63"/>
      <c r="C358" s="63" t="str">
        <f t="shared" si="1"/>
        <v/>
      </c>
      <c r="D358" s="63" t="str">
        <f>IFERROR(__xludf.DUMMYFUNCTION("REGEXREPLACE(B358,""(.*):(.*):(.*)"",""$2"")"),"")</f>
        <v/>
      </c>
      <c r="E358" s="259" t="str">
        <f>IFERROR(__xludf.DUMMYFUNCTION("REGEXREPLACE(B358,""(.*):(.*):(.*)"",""$3"")"),"")</f>
        <v/>
      </c>
      <c r="F358" s="63">
        <f t="shared" si="2"/>
        <v>0</v>
      </c>
    </row>
    <row r="359">
      <c r="B359" s="63"/>
      <c r="C359" s="63" t="str">
        <f t="shared" si="1"/>
        <v/>
      </c>
      <c r="D359" s="63" t="str">
        <f>IFERROR(__xludf.DUMMYFUNCTION("REGEXREPLACE(B359,""(.*):(.*):(.*)"",""$2"")"),"")</f>
        <v/>
      </c>
      <c r="E359" s="259" t="str">
        <f>IFERROR(__xludf.DUMMYFUNCTION("REGEXREPLACE(B359,""(.*):(.*):(.*)"",""$3"")"),"")</f>
        <v/>
      </c>
      <c r="F359" s="63">
        <f t="shared" si="2"/>
        <v>0</v>
      </c>
    </row>
    <row r="360">
      <c r="B360" s="63"/>
      <c r="C360" s="63" t="str">
        <f t="shared" si="1"/>
        <v/>
      </c>
      <c r="D360" s="63" t="str">
        <f>IFERROR(__xludf.DUMMYFUNCTION("REGEXREPLACE(B360,""(.*):(.*):(.*)"",""$2"")"),"")</f>
        <v/>
      </c>
      <c r="E360" s="259" t="str">
        <f>IFERROR(__xludf.DUMMYFUNCTION("REGEXREPLACE(B360,""(.*):(.*):(.*)"",""$3"")"),"")</f>
        <v/>
      </c>
      <c r="F360" s="63">
        <f t="shared" si="2"/>
        <v>0</v>
      </c>
    </row>
    <row r="361">
      <c r="B361" s="63"/>
      <c r="C361" s="63" t="str">
        <f t="shared" si="1"/>
        <v/>
      </c>
      <c r="D361" s="63" t="str">
        <f>IFERROR(__xludf.DUMMYFUNCTION("REGEXREPLACE(B361,""(.*):(.*):(.*)"",""$2"")"),"")</f>
        <v/>
      </c>
      <c r="E361" s="259" t="str">
        <f>IFERROR(__xludf.DUMMYFUNCTION("REGEXREPLACE(B361,""(.*):(.*):(.*)"",""$3"")"),"")</f>
        <v/>
      </c>
      <c r="F361" s="63">
        <f t="shared" si="2"/>
        <v>0</v>
      </c>
    </row>
    <row r="362">
      <c r="B362" s="63"/>
      <c r="C362" s="63" t="str">
        <f t="shared" si="1"/>
        <v/>
      </c>
      <c r="D362" s="63" t="str">
        <f>IFERROR(__xludf.DUMMYFUNCTION("REGEXREPLACE(B362,""(.*):(.*):(.*)"",""$2"")"),"")</f>
        <v/>
      </c>
      <c r="E362" s="259" t="str">
        <f>IFERROR(__xludf.DUMMYFUNCTION("REGEXREPLACE(B362,""(.*):(.*):(.*)"",""$3"")"),"")</f>
        <v/>
      </c>
      <c r="F362" s="63">
        <f t="shared" si="2"/>
        <v>0</v>
      </c>
    </row>
    <row r="363">
      <c r="B363" s="63"/>
      <c r="C363" s="63" t="str">
        <f t="shared" si="1"/>
        <v/>
      </c>
      <c r="D363" s="63" t="str">
        <f>IFERROR(__xludf.DUMMYFUNCTION("REGEXREPLACE(B363,""(.*):(.*):(.*)"",""$2"")"),"")</f>
        <v/>
      </c>
      <c r="E363" s="259" t="str">
        <f>IFERROR(__xludf.DUMMYFUNCTION("REGEXREPLACE(B363,""(.*):(.*):(.*)"",""$3"")"),"")</f>
        <v/>
      </c>
      <c r="F363" s="63">
        <f t="shared" si="2"/>
        <v>0</v>
      </c>
    </row>
    <row r="364">
      <c r="B364" s="63"/>
      <c r="C364" s="63" t="str">
        <f t="shared" si="1"/>
        <v/>
      </c>
      <c r="D364" s="63" t="str">
        <f>IFERROR(__xludf.DUMMYFUNCTION("REGEXREPLACE(B364,""(.*):(.*):(.*)"",""$2"")"),"")</f>
        <v/>
      </c>
      <c r="E364" s="259" t="str">
        <f>IFERROR(__xludf.DUMMYFUNCTION("REGEXREPLACE(B364,""(.*):(.*):(.*)"",""$3"")"),"")</f>
        <v/>
      </c>
      <c r="F364" s="63">
        <f t="shared" si="2"/>
        <v>0</v>
      </c>
    </row>
    <row r="365">
      <c r="B365" s="63"/>
      <c r="C365" s="63" t="str">
        <f t="shared" si="1"/>
        <v/>
      </c>
      <c r="D365" s="63" t="str">
        <f>IFERROR(__xludf.DUMMYFUNCTION("REGEXREPLACE(B365,""(.*):(.*):(.*)"",""$2"")"),"")</f>
        <v/>
      </c>
      <c r="E365" s="259" t="str">
        <f>IFERROR(__xludf.DUMMYFUNCTION("REGEXREPLACE(B365,""(.*):(.*):(.*)"",""$3"")"),"")</f>
        <v/>
      </c>
      <c r="F365" s="63">
        <f t="shared" si="2"/>
        <v>0</v>
      </c>
    </row>
    <row r="366">
      <c r="B366" s="63"/>
      <c r="C366" s="63" t="str">
        <f t="shared" si="1"/>
        <v/>
      </c>
      <c r="D366" s="63" t="str">
        <f>IFERROR(__xludf.DUMMYFUNCTION("REGEXREPLACE(B366,""(.*):(.*):(.*)"",""$2"")"),"")</f>
        <v/>
      </c>
      <c r="E366" s="259" t="str">
        <f>IFERROR(__xludf.DUMMYFUNCTION("REGEXREPLACE(B366,""(.*):(.*):(.*)"",""$3"")"),"")</f>
        <v/>
      </c>
      <c r="F366" s="63">
        <f t="shared" si="2"/>
        <v>0</v>
      </c>
    </row>
    <row r="367">
      <c r="B367" s="63"/>
      <c r="C367" s="63" t="str">
        <f t="shared" si="1"/>
        <v/>
      </c>
      <c r="D367" s="63" t="str">
        <f>IFERROR(__xludf.DUMMYFUNCTION("REGEXREPLACE(B367,""(.*):(.*):(.*)"",""$2"")"),"")</f>
        <v/>
      </c>
      <c r="E367" s="259" t="str">
        <f>IFERROR(__xludf.DUMMYFUNCTION("REGEXREPLACE(B367,""(.*):(.*):(.*)"",""$3"")"),"")</f>
        <v/>
      </c>
      <c r="F367" s="63">
        <f t="shared" si="2"/>
        <v>0</v>
      </c>
    </row>
    <row r="368">
      <c r="B368" s="63"/>
      <c r="C368" s="63" t="str">
        <f t="shared" si="1"/>
        <v/>
      </c>
      <c r="D368" s="63" t="str">
        <f>IFERROR(__xludf.DUMMYFUNCTION("REGEXREPLACE(B368,""(.*):(.*):(.*)"",""$2"")"),"")</f>
        <v/>
      </c>
      <c r="E368" s="259" t="str">
        <f>IFERROR(__xludf.DUMMYFUNCTION("REGEXREPLACE(B368,""(.*):(.*):(.*)"",""$3"")"),"")</f>
        <v/>
      </c>
      <c r="F368" s="63">
        <f t="shared" si="2"/>
        <v>0</v>
      </c>
    </row>
    <row r="369">
      <c r="B369" s="63"/>
      <c r="C369" s="63" t="str">
        <f t="shared" si="1"/>
        <v/>
      </c>
      <c r="D369" s="63" t="str">
        <f>IFERROR(__xludf.DUMMYFUNCTION("REGEXREPLACE(B369,""(.*):(.*):(.*)"",""$2"")"),"")</f>
        <v/>
      </c>
      <c r="E369" s="259" t="str">
        <f>IFERROR(__xludf.DUMMYFUNCTION("REGEXREPLACE(B369,""(.*):(.*):(.*)"",""$3"")"),"")</f>
        <v/>
      </c>
      <c r="F369" s="63">
        <f t="shared" si="2"/>
        <v>0</v>
      </c>
    </row>
    <row r="370">
      <c r="B370" s="63"/>
      <c r="C370" s="63" t="str">
        <f t="shared" si="1"/>
        <v/>
      </c>
      <c r="D370" s="63" t="str">
        <f>IFERROR(__xludf.DUMMYFUNCTION("REGEXREPLACE(B370,""(.*):(.*):(.*)"",""$2"")"),"")</f>
        <v/>
      </c>
      <c r="E370" s="259" t="str">
        <f>IFERROR(__xludf.DUMMYFUNCTION("REGEXREPLACE(B370,""(.*):(.*):(.*)"",""$3"")"),"")</f>
        <v/>
      </c>
      <c r="F370" s="63">
        <f t="shared" si="2"/>
        <v>0</v>
      </c>
    </row>
    <row r="371">
      <c r="B371" s="63"/>
      <c r="C371" s="63" t="str">
        <f t="shared" si="1"/>
        <v/>
      </c>
      <c r="D371" s="63" t="str">
        <f>IFERROR(__xludf.DUMMYFUNCTION("REGEXREPLACE(B371,""(.*):(.*):(.*)"",""$2"")"),"")</f>
        <v/>
      </c>
      <c r="E371" s="259" t="str">
        <f>IFERROR(__xludf.DUMMYFUNCTION("REGEXREPLACE(B371,""(.*):(.*):(.*)"",""$3"")"),"")</f>
        <v/>
      </c>
      <c r="F371" s="63">
        <f t="shared" si="2"/>
        <v>0</v>
      </c>
    </row>
    <row r="372">
      <c r="B372" s="63"/>
      <c r="C372" s="63" t="str">
        <f t="shared" si="1"/>
        <v/>
      </c>
      <c r="D372" s="63" t="str">
        <f>IFERROR(__xludf.DUMMYFUNCTION("REGEXREPLACE(B372,""(.*):(.*):(.*)"",""$2"")"),"")</f>
        <v/>
      </c>
      <c r="E372" s="259" t="str">
        <f>IFERROR(__xludf.DUMMYFUNCTION("REGEXREPLACE(B372,""(.*):(.*):(.*)"",""$3"")"),"")</f>
        <v/>
      </c>
      <c r="F372" s="63">
        <f t="shared" si="2"/>
        <v>0</v>
      </c>
    </row>
    <row r="373">
      <c r="B373" s="63"/>
      <c r="C373" s="63" t="str">
        <f t="shared" si="1"/>
        <v/>
      </c>
      <c r="D373" s="63" t="str">
        <f>IFERROR(__xludf.DUMMYFUNCTION("REGEXREPLACE(B373,""(.*):(.*):(.*)"",""$2"")"),"")</f>
        <v/>
      </c>
      <c r="E373" s="259" t="str">
        <f>IFERROR(__xludf.DUMMYFUNCTION("REGEXREPLACE(B373,""(.*):(.*):(.*)"",""$3"")"),"")</f>
        <v/>
      </c>
      <c r="F373" s="63">
        <f t="shared" si="2"/>
        <v>0</v>
      </c>
    </row>
    <row r="374">
      <c r="B374" s="63"/>
      <c r="C374" s="63" t="str">
        <f t="shared" si="1"/>
        <v/>
      </c>
      <c r="D374" s="63" t="str">
        <f>IFERROR(__xludf.DUMMYFUNCTION("REGEXREPLACE(B374,""(.*):(.*):(.*)"",""$2"")"),"")</f>
        <v/>
      </c>
      <c r="E374" s="259" t="str">
        <f>IFERROR(__xludf.DUMMYFUNCTION("REGEXREPLACE(B374,""(.*):(.*):(.*)"",""$3"")"),"")</f>
        <v/>
      </c>
      <c r="F374" s="63">
        <f t="shared" si="2"/>
        <v>0</v>
      </c>
    </row>
    <row r="375">
      <c r="B375" s="63"/>
      <c r="C375" s="63" t="str">
        <f t="shared" si="1"/>
        <v/>
      </c>
      <c r="D375" s="63" t="str">
        <f>IFERROR(__xludf.DUMMYFUNCTION("REGEXREPLACE(B375,""(.*):(.*):(.*)"",""$2"")"),"")</f>
        <v/>
      </c>
      <c r="E375" s="259" t="str">
        <f>IFERROR(__xludf.DUMMYFUNCTION("REGEXREPLACE(B375,""(.*):(.*):(.*)"",""$3"")"),"")</f>
        <v/>
      </c>
      <c r="F375" s="63">
        <f t="shared" si="2"/>
        <v>0</v>
      </c>
    </row>
    <row r="376">
      <c r="B376" s="63"/>
      <c r="C376" s="63" t="str">
        <f t="shared" si="1"/>
        <v/>
      </c>
      <c r="D376" s="63" t="str">
        <f>IFERROR(__xludf.DUMMYFUNCTION("REGEXREPLACE(B376,""(.*):(.*):(.*)"",""$2"")"),"")</f>
        <v/>
      </c>
      <c r="E376" s="259" t="str">
        <f>IFERROR(__xludf.DUMMYFUNCTION("REGEXREPLACE(B376,""(.*):(.*):(.*)"",""$3"")"),"")</f>
        <v/>
      </c>
      <c r="F376" s="63">
        <f t="shared" si="2"/>
        <v>0</v>
      </c>
    </row>
    <row r="377">
      <c r="B377" s="63"/>
      <c r="C377" s="63" t="str">
        <f t="shared" si="1"/>
        <v/>
      </c>
      <c r="D377" s="63" t="str">
        <f>IFERROR(__xludf.DUMMYFUNCTION("REGEXREPLACE(B377,""(.*):(.*):(.*)"",""$2"")"),"")</f>
        <v/>
      </c>
      <c r="E377" s="259" t="str">
        <f>IFERROR(__xludf.DUMMYFUNCTION("REGEXREPLACE(B377,""(.*):(.*):(.*)"",""$3"")"),"")</f>
        <v/>
      </c>
      <c r="F377" s="63">
        <f t="shared" si="2"/>
        <v>0</v>
      </c>
    </row>
    <row r="378">
      <c r="B378" s="63"/>
      <c r="C378" s="63" t="str">
        <f t="shared" si="1"/>
        <v/>
      </c>
      <c r="D378" s="63" t="str">
        <f>IFERROR(__xludf.DUMMYFUNCTION("REGEXREPLACE(B378,""(.*):(.*):(.*)"",""$2"")"),"")</f>
        <v/>
      </c>
      <c r="E378" s="259" t="str">
        <f>IFERROR(__xludf.DUMMYFUNCTION("REGEXREPLACE(B378,""(.*):(.*):(.*)"",""$3"")"),"")</f>
        <v/>
      </c>
      <c r="F378" s="63">
        <f t="shared" si="2"/>
        <v>0</v>
      </c>
    </row>
    <row r="379">
      <c r="B379" s="63"/>
      <c r="C379" s="63" t="str">
        <f t="shared" si="1"/>
        <v/>
      </c>
      <c r="D379" s="63" t="str">
        <f>IFERROR(__xludf.DUMMYFUNCTION("REGEXREPLACE(B379,""(.*):(.*):(.*)"",""$2"")"),"")</f>
        <v/>
      </c>
      <c r="E379" s="259" t="str">
        <f>IFERROR(__xludf.DUMMYFUNCTION("REGEXREPLACE(B379,""(.*):(.*):(.*)"",""$3"")"),"")</f>
        <v/>
      </c>
      <c r="F379" s="63">
        <f t="shared" si="2"/>
        <v>0</v>
      </c>
    </row>
    <row r="380">
      <c r="B380" s="63"/>
      <c r="C380" s="63" t="str">
        <f t="shared" si="1"/>
        <v/>
      </c>
      <c r="D380" s="63" t="str">
        <f>IFERROR(__xludf.DUMMYFUNCTION("REGEXREPLACE(B380,""(.*):(.*):(.*)"",""$2"")"),"")</f>
        <v/>
      </c>
      <c r="E380" s="259" t="str">
        <f>IFERROR(__xludf.DUMMYFUNCTION("REGEXREPLACE(B380,""(.*):(.*):(.*)"",""$3"")"),"")</f>
        <v/>
      </c>
      <c r="F380" s="63">
        <f t="shared" si="2"/>
        <v>0</v>
      </c>
    </row>
    <row r="381">
      <c r="B381" s="63"/>
      <c r="C381" s="63" t="str">
        <f t="shared" si="1"/>
        <v/>
      </c>
      <c r="D381" s="63" t="str">
        <f>IFERROR(__xludf.DUMMYFUNCTION("REGEXREPLACE(B381,""(.*):(.*):(.*)"",""$2"")"),"")</f>
        <v/>
      </c>
      <c r="E381" s="259" t="str">
        <f>IFERROR(__xludf.DUMMYFUNCTION("REGEXREPLACE(B381,""(.*):(.*):(.*)"",""$3"")"),"")</f>
        <v/>
      </c>
      <c r="F381" s="63">
        <f t="shared" si="2"/>
        <v>0</v>
      </c>
    </row>
    <row r="382">
      <c r="B382" s="63"/>
      <c r="C382" s="63" t="str">
        <f t="shared" si="1"/>
        <v/>
      </c>
      <c r="D382" s="63" t="str">
        <f>IFERROR(__xludf.DUMMYFUNCTION("REGEXREPLACE(B382,""(.*):(.*):(.*)"",""$2"")"),"")</f>
        <v/>
      </c>
      <c r="E382" s="259" t="str">
        <f>IFERROR(__xludf.DUMMYFUNCTION("REGEXREPLACE(B382,""(.*):(.*):(.*)"",""$3"")"),"")</f>
        <v/>
      </c>
      <c r="F382" s="63">
        <f t="shared" si="2"/>
        <v>0</v>
      </c>
    </row>
    <row r="383">
      <c r="B383" s="63"/>
      <c r="C383" s="63" t="str">
        <f t="shared" si="1"/>
        <v/>
      </c>
      <c r="D383" s="63" t="str">
        <f>IFERROR(__xludf.DUMMYFUNCTION("REGEXREPLACE(B383,""(.*):(.*):(.*)"",""$2"")"),"")</f>
        <v/>
      </c>
      <c r="E383" s="259" t="str">
        <f>IFERROR(__xludf.DUMMYFUNCTION("REGEXREPLACE(B383,""(.*):(.*):(.*)"",""$3"")"),"")</f>
        <v/>
      </c>
      <c r="F383" s="63">
        <f t="shared" si="2"/>
        <v>0</v>
      </c>
    </row>
    <row r="384">
      <c r="B384" s="63"/>
      <c r="C384" s="63" t="str">
        <f t="shared" si="1"/>
        <v/>
      </c>
      <c r="D384" s="63" t="str">
        <f>IFERROR(__xludf.DUMMYFUNCTION("REGEXREPLACE(B384,""(.*):(.*):(.*)"",""$2"")"),"")</f>
        <v/>
      </c>
      <c r="E384" s="259" t="str">
        <f>IFERROR(__xludf.DUMMYFUNCTION("REGEXREPLACE(B384,""(.*):(.*):(.*)"",""$3"")"),"")</f>
        <v/>
      </c>
      <c r="F384" s="63">
        <f t="shared" si="2"/>
        <v>0</v>
      </c>
    </row>
    <row r="385">
      <c r="B385" s="63"/>
      <c r="C385" s="63" t="str">
        <f t="shared" si="1"/>
        <v/>
      </c>
      <c r="D385" s="63" t="str">
        <f>IFERROR(__xludf.DUMMYFUNCTION("REGEXREPLACE(B385,""(.*):(.*):(.*)"",""$2"")"),"")</f>
        <v/>
      </c>
      <c r="E385" s="259" t="str">
        <f>IFERROR(__xludf.DUMMYFUNCTION("REGEXREPLACE(B385,""(.*):(.*):(.*)"",""$3"")"),"")</f>
        <v/>
      </c>
      <c r="F385" s="63">
        <f t="shared" si="2"/>
        <v>0</v>
      </c>
    </row>
    <row r="386">
      <c r="B386" s="63"/>
      <c r="C386" s="63" t="str">
        <f t="shared" si="1"/>
        <v/>
      </c>
      <c r="D386" s="63" t="str">
        <f>IFERROR(__xludf.DUMMYFUNCTION("REGEXREPLACE(B386,""(.*):(.*):(.*)"",""$2"")"),"")</f>
        <v/>
      </c>
      <c r="E386" s="259" t="str">
        <f>IFERROR(__xludf.DUMMYFUNCTION("REGEXREPLACE(B386,""(.*):(.*):(.*)"",""$3"")"),"")</f>
        <v/>
      </c>
      <c r="F386" s="63">
        <f t="shared" si="2"/>
        <v>0</v>
      </c>
    </row>
    <row r="387">
      <c r="B387" s="63"/>
      <c r="C387" s="63" t="str">
        <f t="shared" si="1"/>
        <v/>
      </c>
      <c r="D387" s="63" t="str">
        <f>IFERROR(__xludf.DUMMYFUNCTION("REGEXREPLACE(B387,""(.*):(.*):(.*)"",""$2"")"),"")</f>
        <v/>
      </c>
      <c r="E387" s="259" t="str">
        <f>IFERROR(__xludf.DUMMYFUNCTION("REGEXREPLACE(B387,""(.*):(.*):(.*)"",""$3"")"),"")</f>
        <v/>
      </c>
      <c r="F387" s="63">
        <f t="shared" si="2"/>
        <v>0</v>
      </c>
    </row>
    <row r="388">
      <c r="B388" s="63"/>
      <c r="C388" s="63" t="str">
        <f t="shared" si="1"/>
        <v/>
      </c>
      <c r="D388" s="63" t="str">
        <f>IFERROR(__xludf.DUMMYFUNCTION("REGEXREPLACE(B388,""(.*):(.*):(.*)"",""$2"")"),"")</f>
        <v/>
      </c>
      <c r="E388" s="259" t="str">
        <f>IFERROR(__xludf.DUMMYFUNCTION("REGEXREPLACE(B388,""(.*):(.*):(.*)"",""$3"")"),"")</f>
        <v/>
      </c>
      <c r="F388" s="63">
        <f t="shared" si="2"/>
        <v>0</v>
      </c>
    </row>
    <row r="389">
      <c r="B389" s="63"/>
      <c r="C389" s="63" t="str">
        <f t="shared" si="1"/>
        <v/>
      </c>
      <c r="D389" s="63" t="str">
        <f>IFERROR(__xludf.DUMMYFUNCTION("REGEXREPLACE(B389,""(.*):(.*):(.*)"",""$2"")"),"")</f>
        <v/>
      </c>
      <c r="E389" s="259" t="str">
        <f>IFERROR(__xludf.DUMMYFUNCTION("REGEXREPLACE(B389,""(.*):(.*):(.*)"",""$3"")"),"")</f>
        <v/>
      </c>
      <c r="F389" s="63">
        <f t="shared" si="2"/>
        <v>0</v>
      </c>
    </row>
    <row r="390">
      <c r="B390" s="63"/>
      <c r="C390" s="63" t="str">
        <f t="shared" si="1"/>
        <v/>
      </c>
      <c r="D390" s="63" t="str">
        <f>IFERROR(__xludf.DUMMYFUNCTION("REGEXREPLACE(B390,""(.*):(.*):(.*)"",""$2"")"),"")</f>
        <v/>
      </c>
      <c r="E390" s="259" t="str">
        <f>IFERROR(__xludf.DUMMYFUNCTION("REGEXREPLACE(B390,""(.*):(.*):(.*)"",""$3"")"),"")</f>
        <v/>
      </c>
      <c r="F390" s="63">
        <f t="shared" si="2"/>
        <v>0</v>
      </c>
    </row>
    <row r="391">
      <c r="B391" s="63"/>
      <c r="C391" s="63" t="str">
        <f t="shared" si="1"/>
        <v/>
      </c>
      <c r="D391" s="63" t="str">
        <f>IFERROR(__xludf.DUMMYFUNCTION("REGEXREPLACE(B391,""(.*):(.*):(.*)"",""$2"")"),"")</f>
        <v/>
      </c>
      <c r="E391" s="259" t="str">
        <f>IFERROR(__xludf.DUMMYFUNCTION("REGEXREPLACE(B391,""(.*):(.*):(.*)"",""$3"")"),"")</f>
        <v/>
      </c>
      <c r="F391" s="63">
        <f t="shared" si="2"/>
        <v>0</v>
      </c>
    </row>
    <row r="392">
      <c r="B392" s="63"/>
      <c r="C392" s="63" t="str">
        <f t="shared" si="1"/>
        <v/>
      </c>
      <c r="D392" s="63" t="str">
        <f>IFERROR(__xludf.DUMMYFUNCTION("REGEXREPLACE(B392,""(.*):(.*):(.*)"",""$2"")"),"")</f>
        <v/>
      </c>
      <c r="E392" s="259" t="str">
        <f>IFERROR(__xludf.DUMMYFUNCTION("REGEXREPLACE(B392,""(.*):(.*):(.*)"",""$3"")"),"")</f>
        <v/>
      </c>
      <c r="F392" s="63">
        <f t="shared" si="2"/>
        <v>0</v>
      </c>
    </row>
    <row r="393">
      <c r="B393" s="63"/>
      <c r="C393" s="63" t="str">
        <f t="shared" si="1"/>
        <v/>
      </c>
      <c r="D393" s="63" t="str">
        <f>IFERROR(__xludf.DUMMYFUNCTION("REGEXREPLACE(B393,""(.*):(.*):(.*)"",""$2"")"),"")</f>
        <v/>
      </c>
      <c r="E393" s="259" t="str">
        <f>IFERROR(__xludf.DUMMYFUNCTION("REGEXREPLACE(B393,""(.*):(.*):(.*)"",""$3"")"),"")</f>
        <v/>
      </c>
      <c r="F393" s="63">
        <f t="shared" si="2"/>
        <v>0</v>
      </c>
    </row>
    <row r="394">
      <c r="B394" s="63"/>
      <c r="C394" s="63" t="str">
        <f t="shared" si="1"/>
        <v/>
      </c>
      <c r="D394" s="63" t="str">
        <f>IFERROR(__xludf.DUMMYFUNCTION("REGEXREPLACE(B394,""(.*):(.*):(.*)"",""$2"")"),"")</f>
        <v/>
      </c>
      <c r="E394" s="259" t="str">
        <f>IFERROR(__xludf.DUMMYFUNCTION("REGEXREPLACE(B394,""(.*):(.*):(.*)"",""$3"")"),"")</f>
        <v/>
      </c>
      <c r="F394" s="63">
        <f t="shared" si="2"/>
        <v>0</v>
      </c>
    </row>
    <row r="395">
      <c r="B395" s="63"/>
      <c r="C395" s="63" t="str">
        <f t="shared" si="1"/>
        <v/>
      </c>
      <c r="D395" s="63" t="str">
        <f>IFERROR(__xludf.DUMMYFUNCTION("REGEXREPLACE(B395,""(.*):(.*):(.*)"",""$2"")"),"")</f>
        <v/>
      </c>
      <c r="E395" s="259" t="str">
        <f>IFERROR(__xludf.DUMMYFUNCTION("REGEXREPLACE(B395,""(.*):(.*):(.*)"",""$3"")"),"")</f>
        <v/>
      </c>
      <c r="F395" s="63">
        <f t="shared" si="2"/>
        <v>0</v>
      </c>
    </row>
    <row r="396">
      <c r="B396" s="63"/>
      <c r="C396" s="63" t="str">
        <f t="shared" si="1"/>
        <v/>
      </c>
      <c r="D396" s="63" t="str">
        <f>IFERROR(__xludf.DUMMYFUNCTION("REGEXREPLACE(B396,""(.*):(.*):(.*)"",""$2"")"),"")</f>
        <v/>
      </c>
      <c r="E396" s="259" t="str">
        <f>IFERROR(__xludf.DUMMYFUNCTION("REGEXREPLACE(B396,""(.*):(.*):(.*)"",""$3"")"),"")</f>
        <v/>
      </c>
      <c r="F396" s="63">
        <f t="shared" si="2"/>
        <v>0</v>
      </c>
    </row>
    <row r="397">
      <c r="B397" s="63"/>
      <c r="C397" s="63" t="str">
        <f t="shared" si="1"/>
        <v/>
      </c>
      <c r="D397" s="63" t="str">
        <f>IFERROR(__xludf.DUMMYFUNCTION("REGEXREPLACE(B397,""(.*):(.*):(.*)"",""$2"")"),"")</f>
        <v/>
      </c>
      <c r="E397" s="259" t="str">
        <f>IFERROR(__xludf.DUMMYFUNCTION("REGEXREPLACE(B397,""(.*):(.*):(.*)"",""$3"")"),"")</f>
        <v/>
      </c>
      <c r="F397" s="63">
        <f t="shared" si="2"/>
        <v>0</v>
      </c>
    </row>
    <row r="398">
      <c r="B398" s="63"/>
      <c r="C398" s="63" t="str">
        <f t="shared" si="1"/>
        <v/>
      </c>
      <c r="D398" s="63" t="str">
        <f>IFERROR(__xludf.DUMMYFUNCTION("REGEXREPLACE(B398,""(.*):(.*):(.*)"",""$2"")"),"")</f>
        <v/>
      </c>
      <c r="E398" s="259" t="str">
        <f>IFERROR(__xludf.DUMMYFUNCTION("REGEXREPLACE(B398,""(.*):(.*):(.*)"",""$3"")"),"")</f>
        <v/>
      </c>
      <c r="F398" s="63">
        <f t="shared" si="2"/>
        <v>0</v>
      </c>
    </row>
    <row r="399">
      <c r="B399" s="63"/>
      <c r="C399" s="63" t="str">
        <f t="shared" si="1"/>
        <v/>
      </c>
      <c r="D399" s="63" t="str">
        <f>IFERROR(__xludf.DUMMYFUNCTION("REGEXREPLACE(B399,""(.*):(.*):(.*)"",""$2"")"),"")</f>
        <v/>
      </c>
      <c r="E399" s="259" t="str">
        <f>IFERROR(__xludf.DUMMYFUNCTION("REGEXREPLACE(B399,""(.*):(.*):(.*)"",""$3"")"),"")</f>
        <v/>
      </c>
      <c r="F399" s="63">
        <f t="shared" si="2"/>
        <v>0</v>
      </c>
    </row>
    <row r="400">
      <c r="B400" s="63"/>
      <c r="C400" s="63" t="str">
        <f t="shared" si="1"/>
        <v/>
      </c>
      <c r="D400" s="63" t="str">
        <f>IFERROR(__xludf.DUMMYFUNCTION("REGEXREPLACE(B400,""(.*):(.*):(.*)"",""$2"")"),"")</f>
        <v/>
      </c>
      <c r="E400" s="259" t="str">
        <f>IFERROR(__xludf.DUMMYFUNCTION("REGEXREPLACE(B400,""(.*):(.*):(.*)"",""$3"")"),"")</f>
        <v/>
      </c>
      <c r="F400" s="63">
        <f t="shared" si="2"/>
        <v>0</v>
      </c>
    </row>
    <row r="401">
      <c r="B401" s="63"/>
      <c r="C401" s="63" t="str">
        <f t="shared" si="1"/>
        <v/>
      </c>
      <c r="D401" s="63" t="str">
        <f>IFERROR(__xludf.DUMMYFUNCTION("REGEXREPLACE(B401,""(.*):(.*):(.*)"",""$2"")"),"")</f>
        <v/>
      </c>
      <c r="E401" s="259" t="str">
        <f>IFERROR(__xludf.DUMMYFUNCTION("REGEXREPLACE(B401,""(.*):(.*):(.*)"",""$3"")"),"")</f>
        <v/>
      </c>
      <c r="F401" s="63">
        <f t="shared" si="2"/>
        <v>0</v>
      </c>
    </row>
    <row r="402">
      <c r="B402" s="63"/>
      <c r="C402" s="63" t="str">
        <f t="shared" si="1"/>
        <v/>
      </c>
      <c r="D402" s="63" t="str">
        <f>IFERROR(__xludf.DUMMYFUNCTION("REGEXREPLACE(B402,""(.*):(.*):(.*)"",""$2"")"),"")</f>
        <v/>
      </c>
      <c r="E402" s="259" t="str">
        <f>IFERROR(__xludf.DUMMYFUNCTION("REGEXREPLACE(B402,""(.*):(.*):(.*)"",""$3"")"),"")</f>
        <v/>
      </c>
      <c r="F402" s="63">
        <f t="shared" si="2"/>
        <v>0</v>
      </c>
    </row>
    <row r="403">
      <c r="B403" s="63"/>
      <c r="C403" s="63" t="str">
        <f t="shared" si="1"/>
        <v/>
      </c>
      <c r="D403" s="63" t="str">
        <f>IFERROR(__xludf.DUMMYFUNCTION("REGEXREPLACE(B403,""(.*):(.*):(.*)"",""$2"")"),"")</f>
        <v/>
      </c>
      <c r="E403" s="259" t="str">
        <f>IFERROR(__xludf.DUMMYFUNCTION("REGEXREPLACE(B403,""(.*):(.*):(.*)"",""$3"")"),"")</f>
        <v/>
      </c>
      <c r="F403" s="63">
        <f t="shared" si="2"/>
        <v>0</v>
      </c>
    </row>
    <row r="404">
      <c r="B404" s="63"/>
      <c r="C404" s="63" t="str">
        <f t="shared" si="1"/>
        <v/>
      </c>
      <c r="D404" s="63" t="str">
        <f>IFERROR(__xludf.DUMMYFUNCTION("REGEXREPLACE(B404,""(.*):(.*):(.*)"",""$2"")"),"")</f>
        <v/>
      </c>
      <c r="E404" s="259" t="str">
        <f>IFERROR(__xludf.DUMMYFUNCTION("REGEXREPLACE(B404,""(.*):(.*):(.*)"",""$3"")"),"")</f>
        <v/>
      </c>
      <c r="F404" s="63">
        <f t="shared" si="2"/>
        <v>0</v>
      </c>
    </row>
    <row r="405">
      <c r="B405" s="63"/>
      <c r="C405" s="63" t="str">
        <f t="shared" si="1"/>
        <v/>
      </c>
      <c r="D405" s="63" t="str">
        <f>IFERROR(__xludf.DUMMYFUNCTION("REGEXREPLACE(B405,""(.*):(.*):(.*)"",""$2"")"),"")</f>
        <v/>
      </c>
      <c r="E405" s="259" t="str">
        <f>IFERROR(__xludf.DUMMYFUNCTION("REGEXREPLACE(B405,""(.*):(.*):(.*)"",""$3"")"),"")</f>
        <v/>
      </c>
      <c r="F405" s="63">
        <f t="shared" si="2"/>
        <v>0</v>
      </c>
    </row>
    <row r="406">
      <c r="B406" s="63"/>
      <c r="C406" s="63" t="str">
        <f t="shared" si="1"/>
        <v/>
      </c>
      <c r="D406" s="63" t="str">
        <f>IFERROR(__xludf.DUMMYFUNCTION("REGEXREPLACE(B406,""(.*):(.*):(.*)"",""$2"")"),"")</f>
        <v/>
      </c>
      <c r="E406" s="259" t="str">
        <f>IFERROR(__xludf.DUMMYFUNCTION("REGEXREPLACE(B406,""(.*):(.*):(.*)"",""$3"")"),"")</f>
        <v/>
      </c>
      <c r="F406" s="63">
        <f t="shared" si="2"/>
        <v>0</v>
      </c>
    </row>
    <row r="407">
      <c r="B407" s="63"/>
      <c r="C407" s="63" t="str">
        <f t="shared" si="1"/>
        <v/>
      </c>
      <c r="D407" s="63" t="str">
        <f>IFERROR(__xludf.DUMMYFUNCTION("REGEXREPLACE(B407,""(.*):(.*):(.*)"",""$2"")"),"")</f>
        <v/>
      </c>
      <c r="E407" s="259" t="str">
        <f>IFERROR(__xludf.DUMMYFUNCTION("REGEXREPLACE(B407,""(.*):(.*):(.*)"",""$3"")"),"")</f>
        <v/>
      </c>
      <c r="F407" s="63">
        <f t="shared" si="2"/>
        <v>0</v>
      </c>
    </row>
    <row r="408">
      <c r="B408" s="63"/>
      <c r="C408" s="63" t="str">
        <f t="shared" si="1"/>
        <v/>
      </c>
      <c r="D408" s="63" t="str">
        <f>IFERROR(__xludf.DUMMYFUNCTION("REGEXREPLACE(B408,""(.*):(.*):(.*)"",""$2"")"),"")</f>
        <v/>
      </c>
      <c r="E408" s="259" t="str">
        <f>IFERROR(__xludf.DUMMYFUNCTION("REGEXREPLACE(B408,""(.*):(.*):(.*)"",""$3"")"),"")</f>
        <v/>
      </c>
      <c r="F408" s="63">
        <f t="shared" si="2"/>
        <v>0</v>
      </c>
    </row>
    <row r="409">
      <c r="B409" s="63"/>
      <c r="C409" s="63" t="str">
        <f t="shared" si="1"/>
        <v/>
      </c>
      <c r="D409" s="63" t="str">
        <f>IFERROR(__xludf.DUMMYFUNCTION("REGEXREPLACE(B409,""(.*):(.*):(.*)"",""$2"")"),"")</f>
        <v/>
      </c>
      <c r="E409" s="259" t="str">
        <f>IFERROR(__xludf.DUMMYFUNCTION("REGEXREPLACE(B409,""(.*):(.*):(.*)"",""$3"")"),"")</f>
        <v/>
      </c>
      <c r="F409" s="63">
        <f t="shared" si="2"/>
        <v>0</v>
      </c>
    </row>
    <row r="410">
      <c r="B410" s="63"/>
      <c r="C410" s="63" t="str">
        <f t="shared" si="1"/>
        <v/>
      </c>
      <c r="D410" s="63" t="str">
        <f>IFERROR(__xludf.DUMMYFUNCTION("REGEXREPLACE(B410,""(.*):(.*):(.*)"",""$2"")"),"")</f>
        <v/>
      </c>
      <c r="E410" s="259" t="str">
        <f>IFERROR(__xludf.DUMMYFUNCTION("REGEXREPLACE(B410,""(.*):(.*):(.*)"",""$3"")"),"")</f>
        <v/>
      </c>
      <c r="F410" s="63">
        <f t="shared" si="2"/>
        <v>0</v>
      </c>
    </row>
    <row r="411">
      <c r="B411" s="63"/>
      <c r="C411" s="63" t="str">
        <f t="shared" si="1"/>
        <v/>
      </c>
      <c r="D411" s="63" t="str">
        <f>IFERROR(__xludf.DUMMYFUNCTION("REGEXREPLACE(B411,""(.*):(.*):(.*)"",""$2"")"),"")</f>
        <v/>
      </c>
      <c r="E411" s="259" t="str">
        <f>IFERROR(__xludf.DUMMYFUNCTION("REGEXREPLACE(B411,""(.*):(.*):(.*)"",""$3"")"),"")</f>
        <v/>
      </c>
      <c r="F411" s="63">
        <f t="shared" si="2"/>
        <v>0</v>
      </c>
    </row>
    <row r="412">
      <c r="B412" s="63"/>
      <c r="C412" s="63" t="str">
        <f t="shared" si="1"/>
        <v/>
      </c>
      <c r="D412" s="63" t="str">
        <f>IFERROR(__xludf.DUMMYFUNCTION("REGEXREPLACE(B412,""(.*):(.*):(.*)"",""$2"")"),"")</f>
        <v/>
      </c>
      <c r="E412" s="259" t="str">
        <f>IFERROR(__xludf.DUMMYFUNCTION("REGEXREPLACE(B412,""(.*):(.*):(.*)"",""$3"")"),"")</f>
        <v/>
      </c>
      <c r="F412" s="63">
        <f t="shared" si="2"/>
        <v>0</v>
      </c>
    </row>
    <row r="413">
      <c r="B413" s="63"/>
      <c r="C413" s="63" t="str">
        <f t="shared" si="1"/>
        <v/>
      </c>
      <c r="D413" s="63" t="str">
        <f>IFERROR(__xludf.DUMMYFUNCTION("REGEXREPLACE(B413,""(.*):(.*):(.*)"",""$2"")"),"")</f>
        <v/>
      </c>
      <c r="E413" s="259" t="str">
        <f>IFERROR(__xludf.DUMMYFUNCTION("REGEXREPLACE(B413,""(.*):(.*):(.*)"",""$3"")"),"")</f>
        <v/>
      </c>
      <c r="F413" s="63">
        <f t="shared" si="2"/>
        <v>0</v>
      </c>
    </row>
    <row r="414">
      <c r="B414" s="63"/>
      <c r="C414" s="63" t="str">
        <f t="shared" si="1"/>
        <v/>
      </c>
      <c r="D414" s="63" t="str">
        <f>IFERROR(__xludf.DUMMYFUNCTION("REGEXREPLACE(B414,""(.*):(.*):(.*)"",""$2"")"),"")</f>
        <v/>
      </c>
      <c r="E414" s="259" t="str">
        <f>IFERROR(__xludf.DUMMYFUNCTION("REGEXREPLACE(B414,""(.*):(.*):(.*)"",""$3"")"),"")</f>
        <v/>
      </c>
      <c r="F414" s="63">
        <f t="shared" si="2"/>
        <v>0</v>
      </c>
    </row>
    <row r="415">
      <c r="B415" s="63"/>
      <c r="C415" s="63" t="str">
        <f t="shared" si="1"/>
        <v/>
      </c>
      <c r="D415" s="63" t="str">
        <f>IFERROR(__xludf.DUMMYFUNCTION("REGEXREPLACE(B415,""(.*):(.*):(.*)"",""$2"")"),"")</f>
        <v/>
      </c>
      <c r="E415" s="259" t="str">
        <f>IFERROR(__xludf.DUMMYFUNCTION("REGEXREPLACE(B415,""(.*):(.*):(.*)"",""$3"")"),"")</f>
        <v/>
      </c>
      <c r="F415" s="63">
        <f t="shared" si="2"/>
        <v>0</v>
      </c>
    </row>
    <row r="416">
      <c r="B416" s="63"/>
      <c r="C416" s="63" t="str">
        <f t="shared" si="1"/>
        <v/>
      </c>
      <c r="D416" s="63" t="str">
        <f>IFERROR(__xludf.DUMMYFUNCTION("REGEXREPLACE(B416,""(.*):(.*):(.*)"",""$2"")"),"")</f>
        <v/>
      </c>
      <c r="E416" s="259" t="str">
        <f>IFERROR(__xludf.DUMMYFUNCTION("REGEXREPLACE(B416,""(.*):(.*):(.*)"",""$3"")"),"")</f>
        <v/>
      </c>
      <c r="F416" s="63">
        <f t="shared" si="2"/>
        <v>0</v>
      </c>
    </row>
    <row r="417">
      <c r="B417" s="63"/>
      <c r="C417" s="63" t="str">
        <f t="shared" si="1"/>
        <v/>
      </c>
      <c r="D417" s="63" t="str">
        <f>IFERROR(__xludf.DUMMYFUNCTION("REGEXREPLACE(B417,""(.*):(.*):(.*)"",""$2"")"),"")</f>
        <v/>
      </c>
      <c r="E417" s="259" t="str">
        <f>IFERROR(__xludf.DUMMYFUNCTION("REGEXREPLACE(B417,""(.*):(.*):(.*)"",""$3"")"),"")</f>
        <v/>
      </c>
      <c r="F417" s="63">
        <f t="shared" si="2"/>
        <v>0</v>
      </c>
    </row>
    <row r="418">
      <c r="B418" s="63"/>
      <c r="C418" s="63" t="str">
        <f t="shared" si="1"/>
        <v/>
      </c>
      <c r="D418" s="63" t="str">
        <f>IFERROR(__xludf.DUMMYFUNCTION("REGEXREPLACE(B418,""(.*):(.*):(.*)"",""$2"")"),"")</f>
        <v/>
      </c>
      <c r="E418" s="259" t="str">
        <f>IFERROR(__xludf.DUMMYFUNCTION("REGEXREPLACE(B418,""(.*):(.*):(.*)"",""$3"")"),"")</f>
        <v/>
      </c>
      <c r="F418" s="63">
        <f t="shared" si="2"/>
        <v>0</v>
      </c>
    </row>
    <row r="419">
      <c r="B419" s="63"/>
      <c r="C419" s="63" t="str">
        <f t="shared" si="1"/>
        <v/>
      </c>
      <c r="D419" s="63" t="str">
        <f>IFERROR(__xludf.DUMMYFUNCTION("REGEXREPLACE(B419,""(.*):(.*):(.*)"",""$2"")"),"")</f>
        <v/>
      </c>
      <c r="E419" s="259" t="str">
        <f>IFERROR(__xludf.DUMMYFUNCTION("REGEXREPLACE(B419,""(.*):(.*):(.*)"",""$3"")"),"")</f>
        <v/>
      </c>
      <c r="F419" s="63">
        <f t="shared" si="2"/>
        <v>0</v>
      </c>
    </row>
    <row r="420">
      <c r="B420" s="63"/>
      <c r="C420" s="63" t="str">
        <f t="shared" si="1"/>
        <v/>
      </c>
      <c r="D420" s="63" t="str">
        <f>IFERROR(__xludf.DUMMYFUNCTION("REGEXREPLACE(B420,""(.*):(.*):(.*)"",""$2"")"),"")</f>
        <v/>
      </c>
      <c r="E420" s="259" t="str">
        <f>IFERROR(__xludf.DUMMYFUNCTION("REGEXREPLACE(B420,""(.*):(.*):(.*)"",""$3"")"),"")</f>
        <v/>
      </c>
      <c r="F420" s="63">
        <f t="shared" si="2"/>
        <v>0</v>
      </c>
    </row>
    <row r="421">
      <c r="B421" s="63"/>
      <c r="C421" s="63" t="str">
        <f t="shared" si="1"/>
        <v/>
      </c>
      <c r="D421" s="63" t="str">
        <f>IFERROR(__xludf.DUMMYFUNCTION("REGEXREPLACE(B421,""(.*):(.*):(.*)"",""$2"")"),"")</f>
        <v/>
      </c>
      <c r="E421" s="259" t="str">
        <f>IFERROR(__xludf.DUMMYFUNCTION("REGEXREPLACE(B421,""(.*):(.*):(.*)"",""$3"")"),"")</f>
        <v/>
      </c>
      <c r="F421" s="63">
        <f t="shared" si="2"/>
        <v>0</v>
      </c>
    </row>
    <row r="422">
      <c r="B422" s="63"/>
      <c r="C422" s="63" t="str">
        <f t="shared" si="1"/>
        <v/>
      </c>
      <c r="D422" s="63" t="str">
        <f>IFERROR(__xludf.DUMMYFUNCTION("REGEXREPLACE(B422,""(.*):(.*):(.*)"",""$2"")"),"")</f>
        <v/>
      </c>
      <c r="E422" s="259" t="str">
        <f>IFERROR(__xludf.DUMMYFUNCTION("REGEXREPLACE(B422,""(.*):(.*):(.*)"",""$3"")"),"")</f>
        <v/>
      </c>
      <c r="F422" s="63">
        <f t="shared" si="2"/>
        <v>0</v>
      </c>
    </row>
    <row r="423">
      <c r="B423" s="63"/>
      <c r="C423" s="63" t="str">
        <f t="shared" si="1"/>
        <v/>
      </c>
      <c r="D423" s="63" t="str">
        <f>IFERROR(__xludf.DUMMYFUNCTION("REGEXREPLACE(B423,""(.*):(.*):(.*)"",""$2"")"),"")</f>
        <v/>
      </c>
      <c r="E423" s="259" t="str">
        <f>IFERROR(__xludf.DUMMYFUNCTION("REGEXREPLACE(B423,""(.*):(.*):(.*)"",""$3"")"),"")</f>
        <v/>
      </c>
      <c r="F423" s="63">
        <f t="shared" si="2"/>
        <v>0</v>
      </c>
    </row>
    <row r="424">
      <c r="B424" s="63"/>
      <c r="C424" s="63" t="str">
        <f t="shared" si="1"/>
        <v/>
      </c>
      <c r="D424" s="63" t="str">
        <f>IFERROR(__xludf.DUMMYFUNCTION("REGEXREPLACE(B424,""(.*):(.*):(.*)"",""$2"")"),"")</f>
        <v/>
      </c>
      <c r="E424" s="259" t="str">
        <f>IFERROR(__xludf.DUMMYFUNCTION("REGEXREPLACE(B424,""(.*):(.*):(.*)"",""$3"")"),"")</f>
        <v/>
      </c>
      <c r="F424" s="63">
        <f t="shared" si="2"/>
        <v>0</v>
      </c>
    </row>
    <row r="425">
      <c r="B425" s="63"/>
      <c r="C425" s="63" t="str">
        <f t="shared" si="1"/>
        <v/>
      </c>
      <c r="D425" s="63" t="str">
        <f>IFERROR(__xludf.DUMMYFUNCTION("REGEXREPLACE(B425,""(.*):(.*):(.*)"",""$2"")"),"")</f>
        <v/>
      </c>
      <c r="E425" s="259" t="str">
        <f>IFERROR(__xludf.DUMMYFUNCTION("REGEXREPLACE(B425,""(.*):(.*):(.*)"",""$3"")"),"")</f>
        <v/>
      </c>
      <c r="F425" s="63">
        <f t="shared" si="2"/>
        <v>0</v>
      </c>
    </row>
    <row r="426">
      <c r="B426" s="63"/>
      <c r="C426" s="63" t="str">
        <f t="shared" si="1"/>
        <v/>
      </c>
      <c r="D426" s="63" t="str">
        <f>IFERROR(__xludf.DUMMYFUNCTION("REGEXREPLACE(B426,""(.*):(.*):(.*)"",""$2"")"),"")</f>
        <v/>
      </c>
      <c r="E426" s="259" t="str">
        <f>IFERROR(__xludf.DUMMYFUNCTION("REGEXREPLACE(B426,""(.*):(.*):(.*)"",""$3"")"),"")</f>
        <v/>
      </c>
      <c r="F426" s="63">
        <f t="shared" si="2"/>
        <v>0</v>
      </c>
    </row>
    <row r="427">
      <c r="B427" s="63"/>
      <c r="C427" s="63" t="str">
        <f t="shared" si="1"/>
        <v/>
      </c>
      <c r="D427" s="63" t="str">
        <f>IFERROR(__xludf.DUMMYFUNCTION("REGEXREPLACE(B427,""(.*):(.*):(.*)"",""$2"")"),"")</f>
        <v/>
      </c>
      <c r="E427" s="259" t="str">
        <f>IFERROR(__xludf.DUMMYFUNCTION("REGEXREPLACE(B427,""(.*):(.*):(.*)"",""$3"")"),"")</f>
        <v/>
      </c>
      <c r="F427" s="63">
        <f t="shared" si="2"/>
        <v>0</v>
      </c>
    </row>
    <row r="428">
      <c r="B428" s="63"/>
      <c r="C428" s="63" t="str">
        <f t="shared" si="1"/>
        <v/>
      </c>
      <c r="D428" s="63" t="str">
        <f>IFERROR(__xludf.DUMMYFUNCTION("REGEXREPLACE(B428,""(.*):(.*):(.*)"",""$2"")"),"")</f>
        <v/>
      </c>
      <c r="E428" s="259" t="str">
        <f>IFERROR(__xludf.DUMMYFUNCTION("REGEXREPLACE(B428,""(.*):(.*):(.*)"",""$3"")"),"")</f>
        <v/>
      </c>
      <c r="F428" s="63">
        <f t="shared" si="2"/>
        <v>0</v>
      </c>
    </row>
    <row r="429">
      <c r="B429" s="63"/>
      <c r="C429" s="63" t="str">
        <f t="shared" si="1"/>
        <v/>
      </c>
      <c r="D429" s="63" t="str">
        <f>IFERROR(__xludf.DUMMYFUNCTION("REGEXREPLACE(B429,""(.*):(.*):(.*)"",""$2"")"),"")</f>
        <v/>
      </c>
      <c r="E429" s="259" t="str">
        <f>IFERROR(__xludf.DUMMYFUNCTION("REGEXREPLACE(B429,""(.*):(.*):(.*)"",""$3"")"),"")</f>
        <v/>
      </c>
      <c r="F429" s="63">
        <f t="shared" si="2"/>
        <v>0</v>
      </c>
    </row>
    <row r="430">
      <c r="B430" s="63"/>
      <c r="C430" s="63" t="str">
        <f t="shared" si="1"/>
        <v/>
      </c>
      <c r="D430" s="63" t="str">
        <f>IFERROR(__xludf.DUMMYFUNCTION("REGEXREPLACE(B430,""(.*):(.*):(.*)"",""$2"")"),"")</f>
        <v/>
      </c>
      <c r="E430" s="259" t="str">
        <f>IFERROR(__xludf.DUMMYFUNCTION("REGEXREPLACE(B430,""(.*):(.*):(.*)"",""$3"")"),"")</f>
        <v/>
      </c>
      <c r="F430" s="63">
        <f t="shared" si="2"/>
        <v>0</v>
      </c>
    </row>
    <row r="431">
      <c r="B431" s="63"/>
      <c r="C431" s="63" t="str">
        <f t="shared" si="1"/>
        <v/>
      </c>
      <c r="D431" s="63" t="str">
        <f>IFERROR(__xludf.DUMMYFUNCTION("REGEXREPLACE(B431,""(.*):(.*):(.*)"",""$2"")"),"")</f>
        <v/>
      </c>
      <c r="E431" s="259" t="str">
        <f>IFERROR(__xludf.DUMMYFUNCTION("REGEXREPLACE(B431,""(.*):(.*):(.*)"",""$3"")"),"")</f>
        <v/>
      </c>
      <c r="F431" s="63">
        <f t="shared" si="2"/>
        <v>0</v>
      </c>
    </row>
    <row r="432">
      <c r="B432" s="63"/>
      <c r="C432" s="63" t="str">
        <f t="shared" si="1"/>
        <v/>
      </c>
      <c r="D432" s="63" t="str">
        <f>IFERROR(__xludf.DUMMYFUNCTION("REGEXREPLACE(B432,""(.*):(.*):(.*)"",""$2"")"),"")</f>
        <v/>
      </c>
      <c r="E432" s="259" t="str">
        <f>IFERROR(__xludf.DUMMYFUNCTION("REGEXREPLACE(B432,""(.*):(.*):(.*)"",""$3"")"),"")</f>
        <v/>
      </c>
      <c r="F432" s="63">
        <f t="shared" si="2"/>
        <v>0</v>
      </c>
    </row>
    <row r="433">
      <c r="B433" s="63"/>
      <c r="C433" s="63" t="str">
        <f t="shared" si="1"/>
        <v/>
      </c>
      <c r="D433" s="63" t="str">
        <f>IFERROR(__xludf.DUMMYFUNCTION("REGEXREPLACE(B433,""(.*):(.*):(.*)"",""$2"")"),"")</f>
        <v/>
      </c>
      <c r="E433" s="259" t="str">
        <f>IFERROR(__xludf.DUMMYFUNCTION("REGEXREPLACE(B433,""(.*):(.*):(.*)"",""$3"")"),"")</f>
        <v/>
      </c>
      <c r="F433" s="63">
        <f t="shared" si="2"/>
        <v>0</v>
      </c>
    </row>
    <row r="434">
      <c r="B434" s="63"/>
      <c r="C434" s="63" t="str">
        <f t="shared" si="1"/>
        <v/>
      </c>
      <c r="D434" s="63" t="str">
        <f>IFERROR(__xludf.DUMMYFUNCTION("REGEXREPLACE(B434,""(.*):(.*):(.*)"",""$2"")"),"")</f>
        <v/>
      </c>
      <c r="E434" s="259" t="str">
        <f>IFERROR(__xludf.DUMMYFUNCTION("REGEXREPLACE(B434,""(.*):(.*):(.*)"",""$3"")"),"")</f>
        <v/>
      </c>
      <c r="F434" s="63">
        <f t="shared" si="2"/>
        <v>0</v>
      </c>
    </row>
    <row r="435">
      <c r="B435" s="63"/>
      <c r="C435" s="63" t="str">
        <f t="shared" si="1"/>
        <v/>
      </c>
      <c r="D435" s="63" t="str">
        <f>IFERROR(__xludf.DUMMYFUNCTION("REGEXREPLACE(B435,""(.*):(.*):(.*)"",""$2"")"),"")</f>
        <v/>
      </c>
      <c r="E435" s="259" t="str">
        <f>IFERROR(__xludf.DUMMYFUNCTION("REGEXREPLACE(B435,""(.*):(.*):(.*)"",""$3"")"),"")</f>
        <v/>
      </c>
      <c r="F435" s="63">
        <f t="shared" si="2"/>
        <v>0</v>
      </c>
    </row>
    <row r="436">
      <c r="B436" s="63"/>
      <c r="C436" s="63" t="str">
        <f t="shared" si="1"/>
        <v/>
      </c>
      <c r="D436" s="63" t="str">
        <f>IFERROR(__xludf.DUMMYFUNCTION("REGEXREPLACE(B436,""(.*):(.*):(.*)"",""$2"")"),"")</f>
        <v/>
      </c>
      <c r="E436" s="259" t="str">
        <f>IFERROR(__xludf.DUMMYFUNCTION("REGEXREPLACE(B436,""(.*):(.*):(.*)"",""$3"")"),"")</f>
        <v/>
      </c>
      <c r="F436" s="63">
        <f t="shared" si="2"/>
        <v>0</v>
      </c>
    </row>
    <row r="437">
      <c r="B437" s="63"/>
      <c r="C437" s="63" t="str">
        <f t="shared" si="1"/>
        <v/>
      </c>
      <c r="D437" s="63" t="str">
        <f>IFERROR(__xludf.DUMMYFUNCTION("REGEXREPLACE(B437,""(.*):(.*):(.*)"",""$2"")"),"")</f>
        <v/>
      </c>
      <c r="E437" s="259" t="str">
        <f>IFERROR(__xludf.DUMMYFUNCTION("REGEXREPLACE(B437,""(.*):(.*):(.*)"",""$3"")"),"")</f>
        <v/>
      </c>
      <c r="F437" s="63">
        <f t="shared" si="2"/>
        <v>0</v>
      </c>
    </row>
    <row r="438">
      <c r="B438" s="63"/>
      <c r="C438" s="63" t="str">
        <f t="shared" si="1"/>
        <v/>
      </c>
      <c r="D438" s="63" t="str">
        <f>IFERROR(__xludf.DUMMYFUNCTION("REGEXREPLACE(B438,""(.*):(.*):(.*)"",""$2"")"),"")</f>
        <v/>
      </c>
      <c r="E438" s="259" t="str">
        <f>IFERROR(__xludf.DUMMYFUNCTION("REGEXREPLACE(B438,""(.*):(.*):(.*)"",""$3"")"),"")</f>
        <v/>
      </c>
      <c r="F438" s="63">
        <f t="shared" si="2"/>
        <v>0</v>
      </c>
    </row>
    <row r="439">
      <c r="B439" s="63"/>
      <c r="C439" s="63" t="str">
        <f t="shared" si="1"/>
        <v/>
      </c>
      <c r="D439" s="63" t="str">
        <f>IFERROR(__xludf.DUMMYFUNCTION("REGEXREPLACE(B439,""(.*):(.*):(.*)"",""$2"")"),"")</f>
        <v/>
      </c>
      <c r="E439" s="259" t="str">
        <f>IFERROR(__xludf.DUMMYFUNCTION("REGEXREPLACE(B439,""(.*):(.*):(.*)"",""$3"")"),"")</f>
        <v/>
      </c>
      <c r="F439" s="63">
        <f t="shared" si="2"/>
        <v>0</v>
      </c>
    </row>
    <row r="440">
      <c r="B440" s="63"/>
      <c r="C440" s="63" t="str">
        <f t="shared" si="1"/>
        <v/>
      </c>
      <c r="D440" s="63" t="str">
        <f>IFERROR(__xludf.DUMMYFUNCTION("REGEXREPLACE(B440,""(.*):(.*):(.*)"",""$2"")"),"")</f>
        <v/>
      </c>
      <c r="E440" s="259" t="str">
        <f>IFERROR(__xludf.DUMMYFUNCTION("REGEXREPLACE(B440,""(.*):(.*):(.*)"",""$3"")"),"")</f>
        <v/>
      </c>
      <c r="F440" s="63">
        <f t="shared" si="2"/>
        <v>0</v>
      </c>
    </row>
    <row r="441">
      <c r="B441" s="63"/>
      <c r="C441" s="63" t="str">
        <f t="shared" si="1"/>
        <v/>
      </c>
      <c r="D441" s="63" t="str">
        <f>IFERROR(__xludf.DUMMYFUNCTION("REGEXREPLACE(B441,""(.*):(.*):(.*)"",""$2"")"),"")</f>
        <v/>
      </c>
      <c r="E441" s="259" t="str">
        <f>IFERROR(__xludf.DUMMYFUNCTION("REGEXREPLACE(B441,""(.*):(.*):(.*)"",""$3"")"),"")</f>
        <v/>
      </c>
      <c r="F441" s="63">
        <f t="shared" si="2"/>
        <v>0</v>
      </c>
    </row>
    <row r="442">
      <c r="B442" s="63"/>
      <c r="C442" s="63" t="str">
        <f t="shared" si="1"/>
        <v/>
      </c>
      <c r="D442" s="63" t="str">
        <f>IFERROR(__xludf.DUMMYFUNCTION("REGEXREPLACE(B442,""(.*):(.*):(.*)"",""$2"")"),"")</f>
        <v/>
      </c>
      <c r="E442" s="259" t="str">
        <f>IFERROR(__xludf.DUMMYFUNCTION("REGEXREPLACE(B442,""(.*):(.*):(.*)"",""$3"")"),"")</f>
        <v/>
      </c>
      <c r="F442" s="63">
        <f t="shared" si="2"/>
        <v>0</v>
      </c>
    </row>
    <row r="443">
      <c r="B443" s="63"/>
      <c r="C443" s="63" t="str">
        <f t="shared" si="1"/>
        <v/>
      </c>
      <c r="D443" s="63" t="str">
        <f>IFERROR(__xludf.DUMMYFUNCTION("REGEXREPLACE(B443,""(.*):(.*):(.*)"",""$2"")"),"")</f>
        <v/>
      </c>
      <c r="E443" s="259" t="str">
        <f>IFERROR(__xludf.DUMMYFUNCTION("REGEXREPLACE(B443,""(.*):(.*):(.*)"",""$3"")"),"")</f>
        <v/>
      </c>
      <c r="F443" s="63">
        <f t="shared" si="2"/>
        <v>0</v>
      </c>
    </row>
    <row r="444">
      <c r="B444" s="63"/>
      <c r="C444" s="63" t="str">
        <f t="shared" si="1"/>
        <v/>
      </c>
      <c r="D444" s="63" t="str">
        <f>IFERROR(__xludf.DUMMYFUNCTION("REGEXREPLACE(B444,""(.*):(.*):(.*)"",""$2"")"),"")</f>
        <v/>
      </c>
      <c r="E444" s="259" t="str">
        <f>IFERROR(__xludf.DUMMYFUNCTION("REGEXREPLACE(B444,""(.*):(.*):(.*)"",""$3"")"),"")</f>
        <v/>
      </c>
      <c r="F444" s="63">
        <f t="shared" si="2"/>
        <v>0</v>
      </c>
    </row>
    <row r="445">
      <c r="B445" s="63"/>
      <c r="C445" s="63" t="str">
        <f t="shared" si="1"/>
        <v/>
      </c>
      <c r="D445" s="63" t="str">
        <f>IFERROR(__xludf.DUMMYFUNCTION("REGEXREPLACE(B445,""(.*):(.*):(.*)"",""$2"")"),"")</f>
        <v/>
      </c>
      <c r="E445" s="259" t="str">
        <f>IFERROR(__xludf.DUMMYFUNCTION("REGEXREPLACE(B445,""(.*):(.*):(.*)"",""$3"")"),"")</f>
        <v/>
      </c>
      <c r="F445" s="63">
        <f t="shared" si="2"/>
        <v>0</v>
      </c>
    </row>
    <row r="446">
      <c r="B446" s="63"/>
      <c r="C446" s="63" t="str">
        <f t="shared" si="1"/>
        <v/>
      </c>
      <c r="D446" s="63" t="str">
        <f>IFERROR(__xludf.DUMMYFUNCTION("REGEXREPLACE(B446,""(.*):(.*):(.*)"",""$2"")"),"")</f>
        <v/>
      </c>
      <c r="E446" s="259" t="str">
        <f>IFERROR(__xludf.DUMMYFUNCTION("REGEXREPLACE(B446,""(.*):(.*):(.*)"",""$3"")"),"")</f>
        <v/>
      </c>
      <c r="F446" s="63">
        <f t="shared" si="2"/>
        <v>0</v>
      </c>
    </row>
    <row r="447">
      <c r="B447" s="63"/>
      <c r="C447" s="63" t="str">
        <f t="shared" si="1"/>
        <v/>
      </c>
      <c r="D447" s="63" t="str">
        <f>IFERROR(__xludf.DUMMYFUNCTION("REGEXREPLACE(B447,""(.*):(.*):(.*)"",""$2"")"),"")</f>
        <v/>
      </c>
      <c r="E447" s="259" t="str">
        <f>IFERROR(__xludf.DUMMYFUNCTION("REGEXREPLACE(B447,""(.*):(.*):(.*)"",""$3"")"),"")</f>
        <v/>
      </c>
      <c r="F447" s="63">
        <f t="shared" si="2"/>
        <v>0</v>
      </c>
    </row>
    <row r="448">
      <c r="B448" s="63"/>
      <c r="C448" s="63" t="str">
        <f t="shared" si="1"/>
        <v/>
      </c>
      <c r="D448" s="63" t="str">
        <f>IFERROR(__xludf.DUMMYFUNCTION("REGEXREPLACE(B448,""(.*):(.*):(.*)"",""$2"")"),"")</f>
        <v/>
      </c>
      <c r="E448" s="259" t="str">
        <f>IFERROR(__xludf.DUMMYFUNCTION("REGEXREPLACE(B448,""(.*):(.*):(.*)"",""$3"")"),"")</f>
        <v/>
      </c>
      <c r="F448" s="63">
        <f t="shared" si="2"/>
        <v>0</v>
      </c>
    </row>
    <row r="449">
      <c r="B449" s="63"/>
      <c r="C449" s="63" t="str">
        <f t="shared" si="1"/>
        <v/>
      </c>
      <c r="D449" s="63" t="str">
        <f>IFERROR(__xludf.DUMMYFUNCTION("REGEXREPLACE(B449,""(.*):(.*):(.*)"",""$2"")"),"")</f>
        <v/>
      </c>
      <c r="E449" s="259" t="str">
        <f>IFERROR(__xludf.DUMMYFUNCTION("REGEXREPLACE(B449,""(.*):(.*):(.*)"",""$3"")"),"")</f>
        <v/>
      </c>
      <c r="F449" s="63">
        <f t="shared" si="2"/>
        <v>0</v>
      </c>
    </row>
    <row r="450">
      <c r="B450" s="63"/>
      <c r="C450" s="63" t="str">
        <f t="shared" si="1"/>
        <v/>
      </c>
      <c r="D450" s="63" t="str">
        <f>IFERROR(__xludf.DUMMYFUNCTION("REGEXREPLACE(B450,""(.*):(.*):(.*)"",""$2"")"),"")</f>
        <v/>
      </c>
      <c r="E450" s="259" t="str">
        <f>IFERROR(__xludf.DUMMYFUNCTION("REGEXREPLACE(B450,""(.*):(.*):(.*)"",""$3"")"),"")</f>
        <v/>
      </c>
      <c r="F450" s="63">
        <f t="shared" si="2"/>
        <v>0</v>
      </c>
    </row>
    <row r="451">
      <c r="B451" s="63"/>
      <c r="C451" s="63" t="str">
        <f t="shared" si="1"/>
        <v/>
      </c>
      <c r="D451" s="63" t="str">
        <f>IFERROR(__xludf.DUMMYFUNCTION("REGEXREPLACE(B451,""(.*):(.*):(.*)"",""$2"")"),"")</f>
        <v/>
      </c>
      <c r="E451" s="259" t="str">
        <f>IFERROR(__xludf.DUMMYFUNCTION("REGEXREPLACE(B451,""(.*):(.*):(.*)"",""$3"")"),"")</f>
        <v/>
      </c>
      <c r="F451" s="63">
        <f t="shared" si="2"/>
        <v>0</v>
      </c>
    </row>
    <row r="452">
      <c r="B452" s="63"/>
      <c r="C452" s="63" t="str">
        <f t="shared" si="1"/>
        <v/>
      </c>
      <c r="D452" s="63" t="str">
        <f>IFERROR(__xludf.DUMMYFUNCTION("REGEXREPLACE(B452,""(.*):(.*):(.*)"",""$2"")"),"")</f>
        <v/>
      </c>
      <c r="E452" s="259" t="str">
        <f>IFERROR(__xludf.DUMMYFUNCTION("REGEXREPLACE(B452,""(.*):(.*):(.*)"",""$3"")"),"")</f>
        <v/>
      </c>
      <c r="F452" s="63">
        <f t="shared" si="2"/>
        <v>0</v>
      </c>
    </row>
    <row r="453">
      <c r="B453" s="63"/>
      <c r="C453" s="63" t="str">
        <f t="shared" si="1"/>
        <v/>
      </c>
      <c r="D453" s="63" t="str">
        <f>IFERROR(__xludf.DUMMYFUNCTION("REGEXREPLACE(B453,""(.*):(.*):(.*)"",""$2"")"),"")</f>
        <v/>
      </c>
      <c r="E453" s="259" t="str">
        <f>IFERROR(__xludf.DUMMYFUNCTION("REGEXREPLACE(B453,""(.*):(.*):(.*)"",""$3"")"),"")</f>
        <v/>
      </c>
      <c r="F453" s="63">
        <f t="shared" si="2"/>
        <v>0</v>
      </c>
    </row>
    <row r="454">
      <c r="B454" s="63"/>
      <c r="C454" s="63" t="str">
        <f t="shared" si="1"/>
        <v/>
      </c>
      <c r="D454" s="63" t="str">
        <f>IFERROR(__xludf.DUMMYFUNCTION("REGEXREPLACE(B454,""(.*):(.*):(.*)"",""$2"")"),"")</f>
        <v/>
      </c>
      <c r="E454" s="259" t="str">
        <f>IFERROR(__xludf.DUMMYFUNCTION("REGEXREPLACE(B454,""(.*):(.*):(.*)"",""$3"")"),"")</f>
        <v/>
      </c>
      <c r="F454" s="63">
        <f t="shared" si="2"/>
        <v>0</v>
      </c>
    </row>
    <row r="455">
      <c r="B455" s="63"/>
      <c r="C455" s="63" t="str">
        <f t="shared" si="1"/>
        <v/>
      </c>
      <c r="D455" s="63" t="str">
        <f>IFERROR(__xludf.DUMMYFUNCTION("REGEXREPLACE(B455,""(.*):(.*):(.*)"",""$2"")"),"")</f>
        <v/>
      </c>
      <c r="E455" s="259" t="str">
        <f>IFERROR(__xludf.DUMMYFUNCTION("REGEXREPLACE(B455,""(.*):(.*):(.*)"",""$3"")"),"")</f>
        <v/>
      </c>
      <c r="F455" s="63">
        <f t="shared" si="2"/>
        <v>0</v>
      </c>
    </row>
    <row r="456">
      <c r="B456" s="63"/>
      <c r="C456" s="63" t="str">
        <f t="shared" si="1"/>
        <v/>
      </c>
      <c r="D456" s="63" t="str">
        <f>IFERROR(__xludf.DUMMYFUNCTION("REGEXREPLACE(B456,""(.*):(.*):(.*)"",""$2"")"),"")</f>
        <v/>
      </c>
      <c r="E456" s="259" t="str">
        <f>IFERROR(__xludf.DUMMYFUNCTION("REGEXREPLACE(B456,""(.*):(.*):(.*)"",""$3"")"),"")</f>
        <v/>
      </c>
      <c r="F456" s="63">
        <f t="shared" si="2"/>
        <v>0</v>
      </c>
    </row>
    <row r="457">
      <c r="B457" s="63"/>
      <c r="C457" s="63" t="str">
        <f t="shared" si="1"/>
        <v/>
      </c>
      <c r="D457" s="63" t="str">
        <f>IFERROR(__xludf.DUMMYFUNCTION("REGEXREPLACE(B457,""(.*):(.*):(.*)"",""$2"")"),"")</f>
        <v/>
      </c>
      <c r="E457" s="259" t="str">
        <f>IFERROR(__xludf.DUMMYFUNCTION("REGEXREPLACE(B457,""(.*):(.*):(.*)"",""$3"")"),"")</f>
        <v/>
      </c>
      <c r="F457" s="63">
        <f t="shared" si="2"/>
        <v>0</v>
      </c>
    </row>
    <row r="458">
      <c r="B458" s="63"/>
      <c r="C458" s="63" t="str">
        <f t="shared" si="1"/>
        <v/>
      </c>
      <c r="D458" s="63" t="str">
        <f>IFERROR(__xludf.DUMMYFUNCTION("REGEXREPLACE(B458,""(.*):(.*):(.*)"",""$2"")"),"")</f>
        <v/>
      </c>
      <c r="E458" s="259" t="str">
        <f>IFERROR(__xludf.DUMMYFUNCTION("REGEXREPLACE(B458,""(.*):(.*):(.*)"",""$3"")"),"")</f>
        <v/>
      </c>
      <c r="F458" s="63">
        <f t="shared" si="2"/>
        <v>0</v>
      </c>
    </row>
    <row r="459">
      <c r="B459" s="63"/>
      <c r="C459" s="63" t="str">
        <f t="shared" si="1"/>
        <v/>
      </c>
      <c r="D459" s="63" t="str">
        <f>IFERROR(__xludf.DUMMYFUNCTION("REGEXREPLACE(B459,""(.*):(.*):(.*)"",""$2"")"),"")</f>
        <v/>
      </c>
      <c r="E459" s="259" t="str">
        <f>IFERROR(__xludf.DUMMYFUNCTION("REGEXREPLACE(B459,""(.*):(.*):(.*)"",""$3"")"),"")</f>
        <v/>
      </c>
      <c r="F459" s="63">
        <f t="shared" si="2"/>
        <v>0</v>
      </c>
    </row>
    <row r="460">
      <c r="B460" s="63"/>
      <c r="C460" s="63" t="str">
        <f t="shared" si="1"/>
        <v/>
      </c>
      <c r="D460" s="63" t="str">
        <f>IFERROR(__xludf.DUMMYFUNCTION("REGEXREPLACE(B460,""(.*):(.*):(.*)"",""$2"")"),"")</f>
        <v/>
      </c>
      <c r="E460" s="259" t="str">
        <f>IFERROR(__xludf.DUMMYFUNCTION("REGEXREPLACE(B460,""(.*):(.*):(.*)"",""$3"")"),"")</f>
        <v/>
      </c>
      <c r="F460" s="63">
        <f t="shared" si="2"/>
        <v>0</v>
      </c>
    </row>
    <row r="461">
      <c r="B461" s="63"/>
      <c r="C461" s="63" t="str">
        <f t="shared" si="1"/>
        <v/>
      </c>
      <c r="D461" s="63" t="str">
        <f>IFERROR(__xludf.DUMMYFUNCTION("REGEXREPLACE(B461,""(.*):(.*):(.*)"",""$2"")"),"")</f>
        <v/>
      </c>
      <c r="E461" s="259" t="str">
        <f>IFERROR(__xludf.DUMMYFUNCTION("REGEXREPLACE(B461,""(.*):(.*):(.*)"",""$3"")"),"")</f>
        <v/>
      </c>
      <c r="F461" s="63">
        <f t="shared" si="2"/>
        <v>0</v>
      </c>
    </row>
    <row r="462">
      <c r="B462" s="63"/>
      <c r="C462" s="63" t="str">
        <f t="shared" si="1"/>
        <v/>
      </c>
      <c r="D462" s="63" t="str">
        <f>IFERROR(__xludf.DUMMYFUNCTION("REGEXREPLACE(B462,""(.*):(.*):(.*)"",""$2"")"),"")</f>
        <v/>
      </c>
      <c r="E462" s="259" t="str">
        <f>IFERROR(__xludf.DUMMYFUNCTION("REGEXREPLACE(B462,""(.*):(.*):(.*)"",""$3"")"),"")</f>
        <v/>
      </c>
      <c r="F462" s="63">
        <f t="shared" si="2"/>
        <v>0</v>
      </c>
    </row>
    <row r="463">
      <c r="B463" s="63"/>
      <c r="C463" s="63" t="str">
        <f t="shared" si="1"/>
        <v/>
      </c>
      <c r="D463" s="63" t="str">
        <f>IFERROR(__xludf.DUMMYFUNCTION("REGEXREPLACE(B463,""(.*):(.*):(.*)"",""$2"")"),"")</f>
        <v/>
      </c>
      <c r="E463" s="259" t="str">
        <f>IFERROR(__xludf.DUMMYFUNCTION("REGEXREPLACE(B463,""(.*):(.*):(.*)"",""$3"")"),"")</f>
        <v/>
      </c>
      <c r="F463" s="63">
        <f t="shared" si="2"/>
        <v>0</v>
      </c>
    </row>
    <row r="464">
      <c r="B464" s="63"/>
      <c r="C464" s="63" t="str">
        <f t="shared" si="1"/>
        <v/>
      </c>
      <c r="D464" s="63" t="str">
        <f>IFERROR(__xludf.DUMMYFUNCTION("REGEXREPLACE(B464,""(.*):(.*):(.*)"",""$2"")"),"")</f>
        <v/>
      </c>
      <c r="E464" s="259" t="str">
        <f>IFERROR(__xludf.DUMMYFUNCTION("REGEXREPLACE(B464,""(.*):(.*):(.*)"",""$3"")"),"")</f>
        <v/>
      </c>
      <c r="F464" s="63">
        <f t="shared" si="2"/>
        <v>0</v>
      </c>
    </row>
    <row r="465">
      <c r="B465" s="63"/>
      <c r="C465" s="63" t="str">
        <f t="shared" si="1"/>
        <v/>
      </c>
      <c r="D465" s="63" t="str">
        <f>IFERROR(__xludf.DUMMYFUNCTION("REGEXREPLACE(B465,""(.*):(.*):(.*)"",""$2"")"),"")</f>
        <v/>
      </c>
      <c r="E465" s="259" t="str">
        <f>IFERROR(__xludf.DUMMYFUNCTION("REGEXREPLACE(B465,""(.*):(.*):(.*)"",""$3"")"),"")</f>
        <v/>
      </c>
      <c r="F465" s="63">
        <f t="shared" si="2"/>
        <v>0</v>
      </c>
    </row>
    <row r="466">
      <c r="B466" s="63"/>
      <c r="C466" s="63" t="str">
        <f t="shared" si="1"/>
        <v/>
      </c>
      <c r="D466" s="63" t="str">
        <f>IFERROR(__xludf.DUMMYFUNCTION("REGEXREPLACE(B466,""(.*):(.*):(.*)"",""$2"")"),"")</f>
        <v/>
      </c>
      <c r="E466" s="259" t="str">
        <f>IFERROR(__xludf.DUMMYFUNCTION("REGEXREPLACE(B466,""(.*):(.*):(.*)"",""$3"")"),"")</f>
        <v/>
      </c>
      <c r="F466" s="63">
        <f t="shared" si="2"/>
        <v>0</v>
      </c>
    </row>
    <row r="467">
      <c r="B467" s="63"/>
      <c r="C467" s="63" t="str">
        <f t="shared" si="1"/>
        <v/>
      </c>
      <c r="D467" s="63" t="str">
        <f>IFERROR(__xludf.DUMMYFUNCTION("REGEXREPLACE(B467,""(.*):(.*):(.*)"",""$2"")"),"")</f>
        <v/>
      </c>
      <c r="E467" s="259" t="str">
        <f>IFERROR(__xludf.DUMMYFUNCTION("REGEXREPLACE(B467,""(.*):(.*):(.*)"",""$3"")"),"")</f>
        <v/>
      </c>
      <c r="F467" s="63">
        <f t="shared" si="2"/>
        <v>0</v>
      </c>
    </row>
    <row r="468">
      <c r="B468" s="63"/>
      <c r="C468" s="63" t="str">
        <f t="shared" si="1"/>
        <v/>
      </c>
      <c r="D468" s="63" t="str">
        <f>IFERROR(__xludf.DUMMYFUNCTION("REGEXREPLACE(B468,""(.*):(.*):(.*)"",""$2"")"),"")</f>
        <v/>
      </c>
      <c r="E468" s="259" t="str">
        <f>IFERROR(__xludf.DUMMYFUNCTION("REGEXREPLACE(B468,""(.*):(.*):(.*)"",""$3"")"),"")</f>
        <v/>
      </c>
      <c r="F468" s="63">
        <f t="shared" si="2"/>
        <v>0</v>
      </c>
    </row>
    <row r="469">
      <c r="B469" s="63"/>
      <c r="C469" s="63" t="str">
        <f t="shared" si="1"/>
        <v/>
      </c>
      <c r="D469" s="63" t="str">
        <f>IFERROR(__xludf.DUMMYFUNCTION("REGEXREPLACE(B469,""(.*):(.*):(.*)"",""$2"")"),"")</f>
        <v/>
      </c>
      <c r="E469" s="259" t="str">
        <f>IFERROR(__xludf.DUMMYFUNCTION("REGEXREPLACE(B469,""(.*):(.*):(.*)"",""$3"")"),"")</f>
        <v/>
      </c>
      <c r="F469" s="63">
        <f t="shared" si="2"/>
        <v>0</v>
      </c>
    </row>
    <row r="470">
      <c r="B470" s="63"/>
      <c r="C470" s="63" t="str">
        <f t="shared" si="1"/>
        <v/>
      </c>
      <c r="D470" s="63" t="str">
        <f>IFERROR(__xludf.DUMMYFUNCTION("REGEXREPLACE(B470,""(.*):(.*):(.*)"",""$2"")"),"")</f>
        <v/>
      </c>
      <c r="E470" s="259" t="str">
        <f>IFERROR(__xludf.DUMMYFUNCTION("REGEXREPLACE(B470,""(.*):(.*):(.*)"",""$3"")"),"")</f>
        <v/>
      </c>
      <c r="F470" s="63">
        <f t="shared" si="2"/>
        <v>0</v>
      </c>
    </row>
    <row r="471">
      <c r="B471" s="63"/>
      <c r="C471" s="63" t="str">
        <f t="shared" si="1"/>
        <v/>
      </c>
      <c r="D471" s="63" t="str">
        <f>IFERROR(__xludf.DUMMYFUNCTION("REGEXREPLACE(B471,""(.*):(.*):(.*)"",""$2"")"),"")</f>
        <v/>
      </c>
      <c r="E471" s="259" t="str">
        <f>IFERROR(__xludf.DUMMYFUNCTION("REGEXREPLACE(B471,""(.*):(.*):(.*)"",""$3"")"),"")</f>
        <v/>
      </c>
      <c r="F471" s="63">
        <f t="shared" si="2"/>
        <v>0</v>
      </c>
    </row>
    <row r="472">
      <c r="B472" s="63"/>
      <c r="C472" s="63" t="str">
        <f t="shared" si="1"/>
        <v/>
      </c>
      <c r="D472" s="63" t="str">
        <f>IFERROR(__xludf.DUMMYFUNCTION("REGEXREPLACE(B472,""(.*):(.*):(.*)"",""$2"")"),"")</f>
        <v/>
      </c>
      <c r="E472" s="259" t="str">
        <f>IFERROR(__xludf.DUMMYFUNCTION("REGEXREPLACE(B472,""(.*):(.*):(.*)"",""$3"")"),"")</f>
        <v/>
      </c>
      <c r="F472" s="63">
        <f t="shared" si="2"/>
        <v>0</v>
      </c>
    </row>
    <row r="473">
      <c r="B473" s="63"/>
      <c r="C473" s="63" t="str">
        <f t="shared" si="1"/>
        <v/>
      </c>
      <c r="D473" s="63" t="str">
        <f>IFERROR(__xludf.DUMMYFUNCTION("REGEXREPLACE(B473,""(.*):(.*):(.*)"",""$2"")"),"")</f>
        <v/>
      </c>
      <c r="E473" s="259" t="str">
        <f>IFERROR(__xludf.DUMMYFUNCTION("REGEXREPLACE(B473,""(.*):(.*):(.*)"",""$3"")"),"")</f>
        <v/>
      </c>
      <c r="F473" s="63">
        <f t="shared" si="2"/>
        <v>0</v>
      </c>
    </row>
    <row r="474">
      <c r="B474" s="63"/>
      <c r="C474" s="63" t="str">
        <f t="shared" si="1"/>
        <v/>
      </c>
      <c r="D474" s="63" t="str">
        <f>IFERROR(__xludf.DUMMYFUNCTION("REGEXREPLACE(B474,""(.*):(.*):(.*)"",""$2"")"),"")</f>
        <v/>
      </c>
      <c r="E474" s="259" t="str">
        <f>IFERROR(__xludf.DUMMYFUNCTION("REGEXREPLACE(B474,""(.*):(.*):(.*)"",""$3"")"),"")</f>
        <v/>
      </c>
      <c r="F474" s="63">
        <f t="shared" si="2"/>
        <v>0</v>
      </c>
    </row>
    <row r="475">
      <c r="B475" s="63"/>
      <c r="C475" s="63" t="str">
        <f t="shared" si="1"/>
        <v/>
      </c>
      <c r="D475" s="63" t="str">
        <f>IFERROR(__xludf.DUMMYFUNCTION("REGEXREPLACE(B475,""(.*):(.*):(.*)"",""$2"")"),"")</f>
        <v/>
      </c>
      <c r="E475" s="259" t="str">
        <f>IFERROR(__xludf.DUMMYFUNCTION("REGEXREPLACE(B475,""(.*):(.*):(.*)"",""$3"")"),"")</f>
        <v/>
      </c>
      <c r="F475" s="63">
        <f t="shared" si="2"/>
        <v>0</v>
      </c>
    </row>
    <row r="476">
      <c r="B476" s="63"/>
      <c r="C476" s="63" t="str">
        <f t="shared" si="1"/>
        <v/>
      </c>
      <c r="D476" s="63" t="str">
        <f>IFERROR(__xludf.DUMMYFUNCTION("REGEXREPLACE(B476,""(.*):(.*):(.*)"",""$2"")"),"")</f>
        <v/>
      </c>
      <c r="E476" s="259" t="str">
        <f>IFERROR(__xludf.DUMMYFUNCTION("REGEXREPLACE(B476,""(.*):(.*):(.*)"",""$3"")"),"")</f>
        <v/>
      </c>
      <c r="F476" s="63">
        <f t="shared" si="2"/>
        <v>0</v>
      </c>
    </row>
    <row r="477">
      <c r="B477" s="63"/>
      <c r="C477" s="63" t="str">
        <f t="shared" si="1"/>
        <v/>
      </c>
      <c r="D477" s="63" t="str">
        <f>IFERROR(__xludf.DUMMYFUNCTION("REGEXREPLACE(B477,""(.*):(.*):(.*)"",""$2"")"),"")</f>
        <v/>
      </c>
      <c r="E477" s="259" t="str">
        <f>IFERROR(__xludf.DUMMYFUNCTION("REGEXREPLACE(B477,""(.*):(.*):(.*)"",""$3"")"),"")</f>
        <v/>
      </c>
      <c r="F477" s="63">
        <f t="shared" si="2"/>
        <v>0</v>
      </c>
    </row>
    <row r="478">
      <c r="B478" s="63"/>
      <c r="C478" s="63" t="str">
        <f t="shared" si="1"/>
        <v/>
      </c>
      <c r="D478" s="63" t="str">
        <f>IFERROR(__xludf.DUMMYFUNCTION("REGEXREPLACE(B478,""(.*):(.*):(.*)"",""$2"")"),"")</f>
        <v/>
      </c>
      <c r="E478" s="259" t="str">
        <f>IFERROR(__xludf.DUMMYFUNCTION("REGEXREPLACE(B478,""(.*):(.*):(.*)"",""$3"")"),"")</f>
        <v/>
      </c>
      <c r="F478" s="63">
        <f t="shared" si="2"/>
        <v>0</v>
      </c>
    </row>
    <row r="479">
      <c r="B479" s="63"/>
      <c r="C479" s="63" t="str">
        <f t="shared" si="1"/>
        <v/>
      </c>
      <c r="D479" s="63" t="str">
        <f>IFERROR(__xludf.DUMMYFUNCTION("REGEXREPLACE(B479,""(.*):(.*):(.*)"",""$2"")"),"")</f>
        <v/>
      </c>
      <c r="E479" s="259" t="str">
        <f>IFERROR(__xludf.DUMMYFUNCTION("REGEXREPLACE(B479,""(.*):(.*):(.*)"",""$3"")"),"")</f>
        <v/>
      </c>
      <c r="F479" s="63">
        <f t="shared" si="2"/>
        <v>0</v>
      </c>
    </row>
    <row r="480">
      <c r="B480" s="63"/>
      <c r="C480" s="63" t="str">
        <f t="shared" si="1"/>
        <v/>
      </c>
      <c r="D480" s="63" t="str">
        <f>IFERROR(__xludf.DUMMYFUNCTION("REGEXREPLACE(B480,""(.*):(.*):(.*)"",""$2"")"),"")</f>
        <v/>
      </c>
      <c r="E480" s="259" t="str">
        <f>IFERROR(__xludf.DUMMYFUNCTION("REGEXREPLACE(B480,""(.*):(.*):(.*)"",""$3"")"),"")</f>
        <v/>
      </c>
      <c r="F480" s="63">
        <f t="shared" si="2"/>
        <v>0</v>
      </c>
    </row>
    <row r="481">
      <c r="B481" s="63"/>
      <c r="C481" s="63" t="str">
        <f t="shared" si="1"/>
        <v/>
      </c>
      <c r="D481" s="63" t="str">
        <f>IFERROR(__xludf.DUMMYFUNCTION("REGEXREPLACE(B481,""(.*):(.*):(.*)"",""$2"")"),"")</f>
        <v/>
      </c>
      <c r="E481" s="259" t="str">
        <f>IFERROR(__xludf.DUMMYFUNCTION("REGEXREPLACE(B481,""(.*):(.*):(.*)"",""$3"")"),"")</f>
        <v/>
      </c>
      <c r="F481" s="63">
        <f t="shared" si="2"/>
        <v>0</v>
      </c>
    </row>
    <row r="482">
      <c r="B482" s="63"/>
      <c r="C482" s="63" t="str">
        <f t="shared" si="1"/>
        <v/>
      </c>
      <c r="D482" s="63" t="str">
        <f>IFERROR(__xludf.DUMMYFUNCTION("REGEXREPLACE(B482,""(.*):(.*):(.*)"",""$2"")"),"")</f>
        <v/>
      </c>
      <c r="E482" s="259" t="str">
        <f>IFERROR(__xludf.DUMMYFUNCTION("REGEXREPLACE(B482,""(.*):(.*):(.*)"",""$3"")"),"")</f>
        <v/>
      </c>
      <c r="F482" s="63">
        <f t="shared" si="2"/>
        <v>0</v>
      </c>
    </row>
    <row r="483">
      <c r="B483" s="63"/>
      <c r="C483" s="63" t="str">
        <f t="shared" si="1"/>
        <v/>
      </c>
      <c r="D483" s="63" t="str">
        <f>IFERROR(__xludf.DUMMYFUNCTION("REGEXREPLACE(B483,""(.*):(.*):(.*)"",""$2"")"),"")</f>
        <v/>
      </c>
      <c r="E483" s="259" t="str">
        <f>IFERROR(__xludf.DUMMYFUNCTION("REGEXREPLACE(B483,""(.*):(.*):(.*)"",""$3"")"),"")</f>
        <v/>
      </c>
      <c r="F483" s="63">
        <f t="shared" si="2"/>
        <v>0</v>
      </c>
    </row>
    <row r="484">
      <c r="B484" s="63"/>
      <c r="C484" s="63" t="str">
        <f t="shared" si="1"/>
        <v/>
      </c>
      <c r="D484" s="63" t="str">
        <f>IFERROR(__xludf.DUMMYFUNCTION("REGEXREPLACE(B484,""(.*):(.*):(.*)"",""$2"")"),"")</f>
        <v/>
      </c>
      <c r="E484" s="259" t="str">
        <f>IFERROR(__xludf.DUMMYFUNCTION("REGEXREPLACE(B484,""(.*):(.*):(.*)"",""$3"")"),"")</f>
        <v/>
      </c>
      <c r="F484" s="63">
        <f t="shared" si="2"/>
        <v>0</v>
      </c>
    </row>
    <row r="485">
      <c r="B485" s="63"/>
      <c r="C485" s="63" t="str">
        <f t="shared" si="1"/>
        <v/>
      </c>
      <c r="D485" s="63" t="str">
        <f>IFERROR(__xludf.DUMMYFUNCTION("REGEXREPLACE(B485,""(.*):(.*):(.*)"",""$2"")"),"")</f>
        <v/>
      </c>
      <c r="E485" s="259" t="str">
        <f>IFERROR(__xludf.DUMMYFUNCTION("REGEXREPLACE(B485,""(.*):(.*):(.*)"",""$3"")"),"")</f>
        <v/>
      </c>
      <c r="F485" s="63">
        <f t="shared" si="2"/>
        <v>0</v>
      </c>
    </row>
    <row r="486">
      <c r="B486" s="63"/>
      <c r="C486" s="63" t="str">
        <f t="shared" si="1"/>
        <v/>
      </c>
      <c r="D486" s="63" t="str">
        <f>IFERROR(__xludf.DUMMYFUNCTION("REGEXREPLACE(B486,""(.*):(.*):(.*)"",""$2"")"),"")</f>
        <v/>
      </c>
      <c r="E486" s="259" t="str">
        <f>IFERROR(__xludf.DUMMYFUNCTION("REGEXREPLACE(B486,""(.*):(.*):(.*)"",""$3"")"),"")</f>
        <v/>
      </c>
      <c r="F486" s="63">
        <f t="shared" si="2"/>
        <v>0</v>
      </c>
    </row>
    <row r="487">
      <c r="B487" s="63"/>
      <c r="C487" s="63" t="str">
        <f t="shared" si="1"/>
        <v/>
      </c>
      <c r="D487" s="63" t="str">
        <f>IFERROR(__xludf.DUMMYFUNCTION("REGEXREPLACE(B487,""(.*):(.*):(.*)"",""$2"")"),"")</f>
        <v/>
      </c>
      <c r="E487" s="259" t="str">
        <f>IFERROR(__xludf.DUMMYFUNCTION("REGEXREPLACE(B487,""(.*):(.*):(.*)"",""$3"")"),"")</f>
        <v/>
      </c>
      <c r="F487" s="63">
        <f t="shared" si="2"/>
        <v>0</v>
      </c>
    </row>
    <row r="488">
      <c r="B488" s="63"/>
      <c r="C488" s="63" t="str">
        <f t="shared" si="1"/>
        <v/>
      </c>
      <c r="D488" s="63" t="str">
        <f>IFERROR(__xludf.DUMMYFUNCTION("REGEXREPLACE(B488,""(.*):(.*):(.*)"",""$2"")"),"")</f>
        <v/>
      </c>
      <c r="E488" s="259" t="str">
        <f>IFERROR(__xludf.DUMMYFUNCTION("REGEXREPLACE(B488,""(.*):(.*):(.*)"",""$3"")"),"")</f>
        <v/>
      </c>
      <c r="F488" s="63">
        <f t="shared" si="2"/>
        <v>0</v>
      </c>
    </row>
    <row r="489">
      <c r="B489" s="63"/>
      <c r="C489" s="63" t="str">
        <f t="shared" si="1"/>
        <v/>
      </c>
      <c r="D489" s="63" t="str">
        <f>IFERROR(__xludf.DUMMYFUNCTION("REGEXREPLACE(B489,""(.*):(.*):(.*)"",""$2"")"),"")</f>
        <v/>
      </c>
      <c r="E489" s="259" t="str">
        <f>IFERROR(__xludf.DUMMYFUNCTION("REGEXREPLACE(B489,""(.*):(.*):(.*)"",""$3"")"),"")</f>
        <v/>
      </c>
      <c r="F489" s="63">
        <f t="shared" si="2"/>
        <v>0</v>
      </c>
    </row>
    <row r="490">
      <c r="B490" s="63"/>
      <c r="C490" s="63" t="str">
        <f t="shared" si="1"/>
        <v/>
      </c>
      <c r="D490" s="63" t="str">
        <f>IFERROR(__xludf.DUMMYFUNCTION("REGEXREPLACE(B490,""(.*):(.*):(.*)"",""$2"")"),"")</f>
        <v/>
      </c>
      <c r="E490" s="259" t="str">
        <f>IFERROR(__xludf.DUMMYFUNCTION("REGEXREPLACE(B490,""(.*):(.*):(.*)"",""$3"")"),"")</f>
        <v/>
      </c>
      <c r="F490" s="63">
        <f t="shared" si="2"/>
        <v>0</v>
      </c>
    </row>
    <row r="491">
      <c r="B491" s="63"/>
      <c r="C491" s="63" t="str">
        <f t="shared" si="1"/>
        <v/>
      </c>
      <c r="D491" s="63" t="str">
        <f>IFERROR(__xludf.DUMMYFUNCTION("REGEXREPLACE(B491,""(.*):(.*):(.*)"",""$2"")"),"")</f>
        <v/>
      </c>
      <c r="E491" s="259" t="str">
        <f>IFERROR(__xludf.DUMMYFUNCTION("REGEXREPLACE(B491,""(.*):(.*):(.*)"",""$3"")"),"")</f>
        <v/>
      </c>
      <c r="F491" s="63">
        <f t="shared" si="2"/>
        <v>0</v>
      </c>
    </row>
    <row r="492">
      <c r="B492" s="63"/>
      <c r="C492" s="63" t="str">
        <f t="shared" si="1"/>
        <v/>
      </c>
      <c r="D492" s="63" t="str">
        <f>IFERROR(__xludf.DUMMYFUNCTION("REGEXREPLACE(B492,""(.*):(.*):(.*)"",""$2"")"),"")</f>
        <v/>
      </c>
      <c r="E492" s="259" t="str">
        <f>IFERROR(__xludf.DUMMYFUNCTION("REGEXREPLACE(B492,""(.*):(.*):(.*)"",""$3"")"),"")</f>
        <v/>
      </c>
      <c r="F492" s="63">
        <f t="shared" si="2"/>
        <v>0</v>
      </c>
    </row>
    <row r="493">
      <c r="B493" s="63"/>
      <c r="C493" s="63" t="str">
        <f t="shared" si="1"/>
        <v/>
      </c>
      <c r="D493" s="63" t="str">
        <f>IFERROR(__xludf.DUMMYFUNCTION("REGEXREPLACE(B493,""(.*):(.*):(.*)"",""$2"")"),"")</f>
        <v/>
      </c>
      <c r="E493" s="259" t="str">
        <f>IFERROR(__xludf.DUMMYFUNCTION("REGEXREPLACE(B493,""(.*):(.*):(.*)"",""$3"")"),"")</f>
        <v/>
      </c>
      <c r="F493" s="63">
        <f t="shared" si="2"/>
        <v>0</v>
      </c>
    </row>
    <row r="494">
      <c r="B494" s="63"/>
      <c r="C494" s="63" t="str">
        <f t="shared" si="1"/>
        <v/>
      </c>
      <c r="D494" s="63" t="str">
        <f>IFERROR(__xludf.DUMMYFUNCTION("REGEXREPLACE(B494,""(.*):(.*):(.*)"",""$2"")"),"")</f>
        <v/>
      </c>
      <c r="E494" s="259" t="str">
        <f>IFERROR(__xludf.DUMMYFUNCTION("REGEXREPLACE(B494,""(.*):(.*):(.*)"",""$3"")"),"")</f>
        <v/>
      </c>
      <c r="F494" s="63">
        <f t="shared" si="2"/>
        <v>0</v>
      </c>
    </row>
    <row r="495">
      <c r="B495" s="63"/>
      <c r="C495" s="63" t="str">
        <f t="shared" si="1"/>
        <v/>
      </c>
      <c r="D495" s="63" t="str">
        <f>IFERROR(__xludf.DUMMYFUNCTION("REGEXREPLACE(B495,""(.*):(.*):(.*)"",""$2"")"),"")</f>
        <v/>
      </c>
      <c r="E495" s="259" t="str">
        <f>IFERROR(__xludf.DUMMYFUNCTION("REGEXREPLACE(B495,""(.*):(.*):(.*)"",""$3"")"),"")</f>
        <v/>
      </c>
      <c r="F495" s="63">
        <f t="shared" si="2"/>
        <v>0</v>
      </c>
    </row>
    <row r="496">
      <c r="B496" s="63"/>
      <c r="C496" s="63" t="str">
        <f t="shared" si="1"/>
        <v/>
      </c>
      <c r="D496" s="63" t="str">
        <f>IFERROR(__xludf.DUMMYFUNCTION("REGEXREPLACE(B496,""(.*):(.*):(.*)"",""$2"")"),"")</f>
        <v/>
      </c>
      <c r="E496" s="259" t="str">
        <f>IFERROR(__xludf.DUMMYFUNCTION("REGEXREPLACE(B496,""(.*):(.*):(.*)"",""$3"")"),"")</f>
        <v/>
      </c>
      <c r="F496" s="63">
        <f t="shared" si="2"/>
        <v>0</v>
      </c>
    </row>
    <row r="497">
      <c r="C497" s="63" t="str">
        <f t="shared" si="1"/>
        <v/>
      </c>
      <c r="D497" s="63" t="str">
        <f>IFERROR(__xludf.DUMMYFUNCTION("REGEXREPLACE(B497,""(.*):(.*):(.*)"",""$2"")"),"")</f>
        <v/>
      </c>
      <c r="E497" s="259" t="str">
        <f>IFERROR(__xludf.DUMMYFUNCTION("REGEXREPLACE(B497,""(.*):(.*):(.*)"",""$3"")"),"")</f>
        <v/>
      </c>
      <c r="F497" s="63">
        <f t="shared" si="2"/>
        <v>0</v>
      </c>
    </row>
    <row r="498">
      <c r="C498" s="63" t="str">
        <f t="shared" si="1"/>
        <v/>
      </c>
      <c r="D498" s="63" t="str">
        <f>IFERROR(__xludf.DUMMYFUNCTION("REGEXREPLACE(B498,""(.*):(.*):(.*)"",""$2"")"),"")</f>
        <v/>
      </c>
      <c r="E498" s="259" t="str">
        <f>IFERROR(__xludf.DUMMYFUNCTION("REGEXREPLACE(B498,""(.*):(.*):(.*)"",""$3"")"),"")</f>
        <v/>
      </c>
      <c r="F498" s="63">
        <f t="shared" si="2"/>
        <v>0</v>
      </c>
    </row>
    <row r="499">
      <c r="C499" s="63" t="str">
        <f t="shared" si="1"/>
        <v/>
      </c>
      <c r="D499" s="63" t="str">
        <f>IFERROR(__xludf.DUMMYFUNCTION("REGEXREPLACE(B499,""(.*):(.*):(.*)"",""$2"")"),"")</f>
        <v/>
      </c>
      <c r="E499" s="259" t="str">
        <f>IFERROR(__xludf.DUMMYFUNCTION("REGEXREPLACE(B499,""(.*):(.*):(.*)"",""$3"")"),"")</f>
        <v/>
      </c>
      <c r="F499" s="63">
        <f t="shared" si="2"/>
        <v>0</v>
      </c>
    </row>
    <row r="500">
      <c r="A500" s="171"/>
      <c r="B500" s="171"/>
      <c r="C500" s="171" t="str">
        <f t="shared" si="1"/>
        <v/>
      </c>
      <c r="D500" s="171" t="str">
        <f>IFERROR(__xludf.DUMMYFUNCTION("REGEXREPLACE(B500,""(.*):(.*):(.*)"",""$2"")"),"")</f>
        <v/>
      </c>
      <c r="E500" s="262" t="str">
        <f>IFERROR(__xludf.DUMMYFUNCTION("REGEXREPLACE(B500,""(.*):(.*):(.*)"",""$3"")"),"")</f>
        <v/>
      </c>
      <c r="F500" s="171">
        <f t="shared" si="2"/>
        <v>0</v>
      </c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</row>
    <row r="501">
      <c r="C501" s="63" t="str">
        <f t="shared" si="1"/>
        <v/>
      </c>
      <c r="D501" s="63" t="str">
        <f>IFERROR(__xludf.DUMMYFUNCTION("REGEXREPLACE(B501,""(.*):(.*):(.*)"",""$2"")"),"")</f>
        <v/>
      </c>
      <c r="E501" s="259" t="str">
        <f>IFERROR(__xludf.DUMMYFUNCTION("REGEXREPLACE(B501,""(.*):(.*):(.*)"",""$3"")"),"")</f>
        <v/>
      </c>
      <c r="F501" s="63">
        <f t="shared" si="2"/>
        <v>0</v>
      </c>
    </row>
    <row r="502">
      <c r="C502" s="63" t="str">
        <f t="shared" si="1"/>
        <v/>
      </c>
      <c r="D502" s="63" t="str">
        <f>IFERROR(__xludf.DUMMYFUNCTION("REGEXREPLACE(B502,""(.*):(.*):(.*)"",""$2"")"),"")</f>
        <v/>
      </c>
      <c r="E502" s="259" t="str">
        <f>IFERROR(__xludf.DUMMYFUNCTION("REGEXREPLACE(B502,""(.*):(.*):(.*)"",""$3"")"),"")</f>
        <v/>
      </c>
      <c r="F502" s="63">
        <f t="shared" si="2"/>
        <v>0</v>
      </c>
    </row>
    <row r="503">
      <c r="C503" s="63" t="str">
        <f t="shared" si="1"/>
        <v/>
      </c>
      <c r="D503" s="63" t="str">
        <f>IFERROR(__xludf.DUMMYFUNCTION("REGEXREPLACE(B503,""(.*):(.*):(.*)"",""$2"")"),"")</f>
        <v/>
      </c>
      <c r="E503" s="259" t="str">
        <f>IFERROR(__xludf.DUMMYFUNCTION("REGEXREPLACE(B503,""(.*):(.*):(.*)"",""$3"")"),"")</f>
        <v/>
      </c>
      <c r="F503" s="63">
        <f t="shared" si="2"/>
        <v>0</v>
      </c>
    </row>
    <row r="504">
      <c r="C504" s="63" t="str">
        <f t="shared" si="1"/>
        <v/>
      </c>
      <c r="D504" s="63" t="str">
        <f>IFERROR(__xludf.DUMMYFUNCTION("REGEXREPLACE(B504,""(.*):(.*):(.*)"",""$2"")"),"")</f>
        <v/>
      </c>
      <c r="E504" s="259" t="str">
        <f>IFERROR(__xludf.DUMMYFUNCTION("REGEXREPLACE(B504,""(.*):(.*):(.*)"",""$3"")"),"")</f>
        <v/>
      </c>
      <c r="F504" s="63">
        <f t="shared" si="2"/>
        <v>0</v>
      </c>
    </row>
    <row r="505">
      <c r="C505" s="63" t="str">
        <f t="shared" si="1"/>
        <v/>
      </c>
      <c r="D505" s="63" t="str">
        <f>IFERROR(__xludf.DUMMYFUNCTION("REGEXREPLACE(B505,""(.*):(.*):(.*)"",""$2"")"),"")</f>
        <v/>
      </c>
      <c r="E505" s="259" t="str">
        <f>IFERROR(__xludf.DUMMYFUNCTION("REGEXREPLACE(B505,""(.*):(.*):(.*)"",""$3"")"),"")</f>
        <v/>
      </c>
      <c r="F505" s="63">
        <f t="shared" si="2"/>
        <v>0</v>
      </c>
    </row>
    <row r="506">
      <c r="C506" s="63" t="str">
        <f t="shared" si="1"/>
        <v/>
      </c>
      <c r="D506" s="63" t="str">
        <f>IFERROR(__xludf.DUMMYFUNCTION("REGEXREPLACE(B506,""(.*):(.*):(.*)"",""$2"")"),"")</f>
        <v/>
      </c>
      <c r="E506" s="259" t="str">
        <f>IFERROR(__xludf.DUMMYFUNCTION("REGEXREPLACE(B506,""(.*):(.*):(.*)"",""$3"")"),"")</f>
        <v/>
      </c>
      <c r="F506" s="63">
        <f t="shared" si="2"/>
        <v>0</v>
      </c>
    </row>
    <row r="507">
      <c r="C507" s="63" t="str">
        <f t="shared" si="1"/>
        <v/>
      </c>
      <c r="D507" s="63" t="str">
        <f>IFERROR(__xludf.DUMMYFUNCTION("REGEXREPLACE(B507,""(.*):(.*):(.*)"",""$2"")"),"")</f>
        <v/>
      </c>
      <c r="E507" s="259" t="str">
        <f>IFERROR(__xludf.DUMMYFUNCTION("REGEXREPLACE(B507,""(.*):(.*):(.*)"",""$3"")"),"")</f>
        <v/>
      </c>
      <c r="F507" s="63">
        <f t="shared" si="2"/>
        <v>0</v>
      </c>
    </row>
    <row r="508">
      <c r="C508" s="63" t="str">
        <f t="shared" si="1"/>
        <v/>
      </c>
      <c r="D508" s="63" t="str">
        <f>IFERROR(__xludf.DUMMYFUNCTION("REGEXREPLACE(B508,""(.*):(.*):(.*)"",""$2"")"),"")</f>
        <v/>
      </c>
      <c r="E508" s="259" t="str">
        <f>IFERROR(__xludf.DUMMYFUNCTION("REGEXREPLACE(B508,""(.*):(.*):(.*)"",""$3"")"),"")</f>
        <v/>
      </c>
      <c r="F508" s="63">
        <f t="shared" si="2"/>
        <v>0</v>
      </c>
    </row>
    <row r="509">
      <c r="C509" s="63" t="str">
        <f t="shared" si="1"/>
        <v/>
      </c>
      <c r="D509" s="63" t="str">
        <f>IFERROR(__xludf.DUMMYFUNCTION("REGEXREPLACE(B509,""(.*):(.*):(.*)"",""$2"")"),"")</f>
        <v/>
      </c>
      <c r="E509" s="259" t="str">
        <f>IFERROR(__xludf.DUMMYFUNCTION("REGEXREPLACE(B509,""(.*):(.*):(.*)"",""$3"")"),"")</f>
        <v/>
      </c>
      <c r="F509" s="63">
        <f t="shared" si="2"/>
        <v>0</v>
      </c>
    </row>
    <row r="510">
      <c r="C510" s="63" t="str">
        <f t="shared" si="1"/>
        <v/>
      </c>
      <c r="D510" s="63" t="str">
        <f>IFERROR(__xludf.DUMMYFUNCTION("REGEXREPLACE(B510,""(.*):(.*):(.*)"",""$2"")"),"")</f>
        <v/>
      </c>
      <c r="E510" s="259" t="str">
        <f>IFERROR(__xludf.DUMMYFUNCTION("REGEXREPLACE(B510,""(.*):(.*):(.*)"",""$3"")"),"")</f>
        <v/>
      </c>
      <c r="F510" s="63">
        <f t="shared" si="2"/>
        <v>0</v>
      </c>
    </row>
    <row r="511">
      <c r="C511" s="63" t="str">
        <f t="shared" si="1"/>
        <v/>
      </c>
      <c r="D511" s="63" t="str">
        <f>IFERROR(__xludf.DUMMYFUNCTION("REGEXREPLACE(B511,""(.*):(.*):(.*)"",""$2"")"),"")</f>
        <v/>
      </c>
      <c r="E511" s="259" t="str">
        <f>IFERROR(__xludf.DUMMYFUNCTION("REGEXREPLACE(B511,""(.*):(.*):(.*)"",""$3"")"),"")</f>
        <v/>
      </c>
      <c r="F511" s="63">
        <f t="shared" si="2"/>
        <v>0</v>
      </c>
    </row>
    <row r="512">
      <c r="C512" s="63" t="str">
        <f t="shared" si="1"/>
        <v/>
      </c>
      <c r="D512" s="63" t="str">
        <f>IFERROR(__xludf.DUMMYFUNCTION("REGEXREPLACE(B512,""(.*):(.*):(.*)"",""$2"")"),"")</f>
        <v/>
      </c>
      <c r="E512" s="259" t="str">
        <f>IFERROR(__xludf.DUMMYFUNCTION("REGEXREPLACE(B512,""(.*):(.*):(.*)"",""$3"")"),"")</f>
        <v/>
      </c>
      <c r="F512" s="63">
        <f t="shared" si="2"/>
        <v>0</v>
      </c>
    </row>
    <row r="513">
      <c r="C513" s="63" t="str">
        <f t="shared" si="1"/>
        <v/>
      </c>
      <c r="D513" s="63" t="str">
        <f>IFERROR(__xludf.DUMMYFUNCTION("REGEXREPLACE(B513,""(.*):(.*):(.*)"",""$2"")"),"")</f>
        <v/>
      </c>
      <c r="E513" s="259" t="str">
        <f>IFERROR(__xludf.DUMMYFUNCTION("REGEXREPLACE(B513,""(.*):(.*):(.*)"",""$3"")"),"")</f>
        <v/>
      </c>
      <c r="F513" s="63">
        <f t="shared" si="2"/>
        <v>0</v>
      </c>
    </row>
    <row r="514">
      <c r="C514" s="63" t="str">
        <f t="shared" si="1"/>
        <v/>
      </c>
      <c r="D514" s="63" t="str">
        <f>IFERROR(__xludf.DUMMYFUNCTION("REGEXREPLACE(B514,""(.*):(.*):(.*)"",""$2"")"),"")</f>
        <v/>
      </c>
      <c r="E514" s="259" t="str">
        <f>IFERROR(__xludf.DUMMYFUNCTION("REGEXREPLACE(B514,""(.*):(.*):(.*)"",""$3"")"),"")</f>
        <v/>
      </c>
      <c r="F514" s="63">
        <f t="shared" si="2"/>
        <v>0</v>
      </c>
    </row>
    <row r="515">
      <c r="C515" s="63" t="str">
        <f t="shared" si="1"/>
        <v/>
      </c>
      <c r="D515" s="63" t="str">
        <f>IFERROR(__xludf.DUMMYFUNCTION("REGEXREPLACE(B515,""(.*):(.*):(.*)"",""$2"")"),"")</f>
        <v/>
      </c>
      <c r="E515" s="259" t="str">
        <f>IFERROR(__xludf.DUMMYFUNCTION("REGEXREPLACE(B515,""(.*):(.*):(.*)"",""$3"")"),"")</f>
        <v/>
      </c>
      <c r="F515" s="63">
        <f t="shared" si="2"/>
        <v>0</v>
      </c>
    </row>
    <row r="516">
      <c r="C516" s="63" t="str">
        <f t="shared" si="1"/>
        <v/>
      </c>
      <c r="D516" s="63" t="str">
        <f>IFERROR(__xludf.DUMMYFUNCTION("REGEXREPLACE(B516,""(.*):(.*):(.*)"",""$2"")"),"")</f>
        <v/>
      </c>
      <c r="E516" s="259" t="str">
        <f>IFERROR(__xludf.DUMMYFUNCTION("REGEXREPLACE(B516,""(.*):(.*):(.*)"",""$3"")"),"")</f>
        <v/>
      </c>
      <c r="F516" s="63">
        <f t="shared" si="2"/>
        <v>0</v>
      </c>
    </row>
    <row r="517">
      <c r="C517" s="63" t="str">
        <f t="shared" si="1"/>
        <v/>
      </c>
      <c r="D517" s="63" t="str">
        <f>IFERROR(__xludf.DUMMYFUNCTION("REGEXREPLACE(B517,""(.*):(.*):(.*)"",""$2"")"),"")</f>
        <v/>
      </c>
      <c r="E517" s="259" t="str">
        <f>IFERROR(__xludf.DUMMYFUNCTION("REGEXREPLACE(B517,""(.*):(.*):(.*)"",""$3"")"),"")</f>
        <v/>
      </c>
      <c r="F517" s="63">
        <f t="shared" si="2"/>
        <v>0</v>
      </c>
    </row>
    <row r="518">
      <c r="C518" s="63" t="str">
        <f t="shared" si="1"/>
        <v/>
      </c>
      <c r="D518" s="63" t="str">
        <f>IFERROR(__xludf.DUMMYFUNCTION("REGEXREPLACE(B518,""(.*):(.*):(.*)"",""$2"")"),"")</f>
        <v/>
      </c>
      <c r="E518" s="259" t="str">
        <f>IFERROR(__xludf.DUMMYFUNCTION("REGEXREPLACE(B518,""(.*):(.*):(.*)"",""$3"")"),"")</f>
        <v/>
      </c>
      <c r="F518" s="63">
        <f t="shared" si="2"/>
        <v>0</v>
      </c>
    </row>
    <row r="519">
      <c r="C519" s="63" t="str">
        <f t="shared" si="1"/>
        <v/>
      </c>
      <c r="D519" s="63" t="str">
        <f>IFERROR(__xludf.DUMMYFUNCTION("REGEXREPLACE(B519,""(.*):(.*):(.*)"",""$2"")"),"")</f>
        <v/>
      </c>
      <c r="E519" s="259" t="str">
        <f>IFERROR(__xludf.DUMMYFUNCTION("REGEXREPLACE(B519,""(.*):(.*):(.*)"",""$3"")"),"")</f>
        <v/>
      </c>
      <c r="F519" s="63">
        <f t="shared" si="2"/>
        <v>0</v>
      </c>
    </row>
    <row r="520">
      <c r="C520" s="63" t="str">
        <f t="shared" si="1"/>
        <v/>
      </c>
      <c r="D520" s="63" t="str">
        <f>IFERROR(__xludf.DUMMYFUNCTION("REGEXREPLACE(B520,""(.*):(.*):(.*)"",""$2"")"),"")</f>
        <v/>
      </c>
      <c r="E520" s="259" t="str">
        <f>IFERROR(__xludf.DUMMYFUNCTION("REGEXREPLACE(B520,""(.*):(.*):(.*)"",""$3"")"),"")</f>
        <v/>
      </c>
      <c r="F520" s="63">
        <f t="shared" si="2"/>
        <v>0</v>
      </c>
    </row>
    <row r="521">
      <c r="C521" s="63" t="str">
        <f t="shared" si="1"/>
        <v/>
      </c>
      <c r="D521" s="63" t="str">
        <f>IFERROR(__xludf.DUMMYFUNCTION("REGEXREPLACE(B521,""(.*):(.*):(.*)"",""$2"")"),"")</f>
        <v/>
      </c>
      <c r="E521" s="259" t="str">
        <f>IFERROR(__xludf.DUMMYFUNCTION("REGEXREPLACE(B521,""(.*):(.*):(.*)"",""$3"")"),"")</f>
        <v/>
      </c>
      <c r="F521" s="63">
        <f t="shared" si="2"/>
        <v>0</v>
      </c>
    </row>
    <row r="522">
      <c r="C522" s="63" t="str">
        <f t="shared" si="1"/>
        <v/>
      </c>
      <c r="D522" s="63" t="str">
        <f>IFERROR(__xludf.DUMMYFUNCTION("REGEXREPLACE(B522,""(.*):(.*):(.*)"",""$2"")"),"")</f>
        <v/>
      </c>
      <c r="E522" s="259" t="str">
        <f>IFERROR(__xludf.DUMMYFUNCTION("REGEXREPLACE(B522,""(.*):(.*):(.*)"",""$3"")"),"")</f>
        <v/>
      </c>
      <c r="F522" s="63">
        <f t="shared" si="2"/>
        <v>0</v>
      </c>
    </row>
    <row r="523">
      <c r="C523" s="63" t="str">
        <f t="shared" si="1"/>
        <v/>
      </c>
      <c r="D523" s="63" t="str">
        <f>IFERROR(__xludf.DUMMYFUNCTION("REGEXREPLACE(B523,""(.*):(.*):(.*)"",""$2"")"),"")</f>
        <v/>
      </c>
      <c r="E523" s="259" t="str">
        <f>IFERROR(__xludf.DUMMYFUNCTION("REGEXREPLACE(B523,""(.*):(.*):(.*)"",""$3"")"),"")</f>
        <v/>
      </c>
      <c r="F523" s="63">
        <f t="shared" si="2"/>
        <v>0</v>
      </c>
    </row>
    <row r="524">
      <c r="C524" s="63" t="str">
        <f t="shared" si="1"/>
        <v/>
      </c>
      <c r="D524" s="63" t="str">
        <f>IFERROR(__xludf.DUMMYFUNCTION("REGEXREPLACE(B524,""(.*):(.*):(.*)"",""$2"")"),"")</f>
        <v/>
      </c>
      <c r="E524" s="259" t="str">
        <f>IFERROR(__xludf.DUMMYFUNCTION("REGEXREPLACE(B524,""(.*):(.*):(.*)"",""$3"")"),"")</f>
        <v/>
      </c>
      <c r="F524" s="63">
        <f t="shared" si="2"/>
        <v>0</v>
      </c>
    </row>
    <row r="525">
      <c r="C525" s="63" t="str">
        <f t="shared" si="1"/>
        <v/>
      </c>
      <c r="D525" s="63" t="str">
        <f>IFERROR(__xludf.DUMMYFUNCTION("REGEXREPLACE(B525,""(.*):(.*):(.*)"",""$2"")"),"")</f>
        <v/>
      </c>
      <c r="E525" s="259" t="str">
        <f>IFERROR(__xludf.DUMMYFUNCTION("REGEXREPLACE(B525,""(.*):(.*):(.*)"",""$3"")"),"")</f>
        <v/>
      </c>
      <c r="F525" s="63">
        <f t="shared" si="2"/>
        <v>0</v>
      </c>
    </row>
    <row r="526">
      <c r="C526" s="63" t="str">
        <f t="shared" si="1"/>
        <v/>
      </c>
      <c r="D526" s="63" t="str">
        <f>IFERROR(__xludf.DUMMYFUNCTION("REGEXREPLACE(B526,""(.*):(.*):(.*)"",""$2"")"),"")</f>
        <v/>
      </c>
      <c r="E526" s="259" t="str">
        <f>IFERROR(__xludf.DUMMYFUNCTION("REGEXREPLACE(B526,""(.*):(.*):(.*)"",""$3"")"),"")</f>
        <v/>
      </c>
      <c r="F526" s="63">
        <f t="shared" si="2"/>
        <v>0</v>
      </c>
    </row>
    <row r="527">
      <c r="C527" s="63" t="str">
        <f t="shared" si="1"/>
        <v/>
      </c>
      <c r="D527" s="63" t="str">
        <f>IFERROR(__xludf.DUMMYFUNCTION("REGEXREPLACE(B527,""(.*):(.*):(.*)"",""$2"")"),"")</f>
        <v/>
      </c>
      <c r="E527" s="259" t="str">
        <f>IFERROR(__xludf.DUMMYFUNCTION("REGEXREPLACE(B527,""(.*):(.*):(.*)"",""$3"")"),"")</f>
        <v/>
      </c>
      <c r="F527" s="63">
        <f t="shared" si="2"/>
        <v>0</v>
      </c>
    </row>
    <row r="528">
      <c r="C528" s="63" t="str">
        <f t="shared" si="1"/>
        <v/>
      </c>
      <c r="D528" s="63" t="str">
        <f>IFERROR(__xludf.DUMMYFUNCTION("REGEXREPLACE(B528,""(.*):(.*):(.*)"",""$2"")"),"")</f>
        <v/>
      </c>
      <c r="E528" s="259" t="str">
        <f>IFERROR(__xludf.DUMMYFUNCTION("REGEXREPLACE(B528,""(.*):(.*):(.*)"",""$3"")"),"")</f>
        <v/>
      </c>
      <c r="F528" s="63">
        <f t="shared" si="2"/>
        <v>0</v>
      </c>
    </row>
    <row r="529">
      <c r="C529" s="63" t="str">
        <f t="shared" si="1"/>
        <v/>
      </c>
      <c r="D529" s="63" t="str">
        <f>IFERROR(__xludf.DUMMYFUNCTION("REGEXREPLACE(B529,""(.*):(.*):(.*)"",""$2"")"),"")</f>
        <v/>
      </c>
      <c r="E529" s="259" t="str">
        <f>IFERROR(__xludf.DUMMYFUNCTION("REGEXREPLACE(B529,""(.*):(.*):(.*)"",""$3"")"),"")</f>
        <v/>
      </c>
      <c r="F529" s="63">
        <f t="shared" si="2"/>
        <v>0</v>
      </c>
    </row>
    <row r="530">
      <c r="C530" s="63" t="str">
        <f t="shared" si="1"/>
        <v/>
      </c>
      <c r="D530" s="63" t="str">
        <f>IFERROR(__xludf.DUMMYFUNCTION("REGEXREPLACE(B530,""(.*):(.*):(.*)"",""$2"")"),"")</f>
        <v/>
      </c>
      <c r="E530" s="259" t="str">
        <f>IFERROR(__xludf.DUMMYFUNCTION("REGEXREPLACE(B530,""(.*):(.*):(.*)"",""$3"")"),"")</f>
        <v/>
      </c>
      <c r="F530" s="63">
        <f t="shared" si="2"/>
        <v>0</v>
      </c>
    </row>
    <row r="531">
      <c r="C531" s="63" t="str">
        <f t="shared" si="1"/>
        <v/>
      </c>
      <c r="D531" s="63" t="str">
        <f>IFERROR(__xludf.DUMMYFUNCTION("REGEXREPLACE(B531,""(.*):(.*):(.*)"",""$2"")"),"")</f>
        <v/>
      </c>
      <c r="E531" s="259" t="str">
        <f>IFERROR(__xludf.DUMMYFUNCTION("REGEXREPLACE(B531,""(.*):(.*):(.*)"",""$3"")"),"")</f>
        <v/>
      </c>
      <c r="F531" s="63">
        <f t="shared" si="2"/>
        <v>0</v>
      </c>
    </row>
    <row r="532">
      <c r="C532" s="63" t="str">
        <f t="shared" si="1"/>
        <v/>
      </c>
      <c r="D532" s="63" t="str">
        <f>IFERROR(__xludf.DUMMYFUNCTION("REGEXREPLACE(B532,""(.*):(.*):(.*)"",""$2"")"),"")</f>
        <v/>
      </c>
      <c r="E532" s="259" t="str">
        <f>IFERROR(__xludf.DUMMYFUNCTION("REGEXREPLACE(B532,""(.*):(.*):(.*)"",""$3"")"),"")</f>
        <v/>
      </c>
      <c r="F532" s="63">
        <f t="shared" si="2"/>
        <v>0</v>
      </c>
    </row>
    <row r="533">
      <c r="C533" s="63" t="str">
        <f t="shared" si="1"/>
        <v/>
      </c>
      <c r="D533" s="63" t="str">
        <f>IFERROR(__xludf.DUMMYFUNCTION("REGEXREPLACE(B533,""(.*):(.*):(.*)"",""$2"")"),"")</f>
        <v/>
      </c>
      <c r="E533" s="259" t="str">
        <f>IFERROR(__xludf.DUMMYFUNCTION("REGEXREPLACE(B533,""(.*):(.*):(.*)"",""$3"")"),"")</f>
        <v/>
      </c>
      <c r="F533" s="63">
        <f t="shared" si="2"/>
        <v>0</v>
      </c>
    </row>
    <row r="534">
      <c r="C534" s="63" t="str">
        <f t="shared" si="1"/>
        <v/>
      </c>
      <c r="D534" s="63" t="str">
        <f>IFERROR(__xludf.DUMMYFUNCTION("REGEXREPLACE(B534,""(.*):(.*):(.*)"",""$2"")"),"")</f>
        <v/>
      </c>
      <c r="E534" s="259" t="str">
        <f>IFERROR(__xludf.DUMMYFUNCTION("REGEXREPLACE(B534,""(.*):(.*):(.*)"",""$3"")"),"")</f>
        <v/>
      </c>
      <c r="F534" s="63">
        <f t="shared" si="2"/>
        <v>0</v>
      </c>
    </row>
    <row r="535">
      <c r="C535" s="63" t="str">
        <f t="shared" si="1"/>
        <v/>
      </c>
      <c r="D535" s="63" t="str">
        <f>IFERROR(__xludf.DUMMYFUNCTION("REGEXREPLACE(B535,""(.*):(.*):(.*)"",""$2"")"),"")</f>
        <v/>
      </c>
      <c r="E535" s="259" t="str">
        <f>IFERROR(__xludf.DUMMYFUNCTION("REGEXREPLACE(B535,""(.*):(.*):(.*)"",""$3"")"),"")</f>
        <v/>
      </c>
      <c r="F535" s="63">
        <f t="shared" si="2"/>
        <v>0</v>
      </c>
    </row>
    <row r="536">
      <c r="C536" s="63" t="str">
        <f t="shared" si="1"/>
        <v/>
      </c>
      <c r="D536" s="63" t="str">
        <f>IFERROR(__xludf.DUMMYFUNCTION("REGEXREPLACE(B536,""(.*):(.*):(.*)"",""$2"")"),"")</f>
        <v/>
      </c>
      <c r="E536" s="259" t="str">
        <f>IFERROR(__xludf.DUMMYFUNCTION("REGEXREPLACE(B536,""(.*):(.*):(.*)"",""$3"")"),"")</f>
        <v/>
      </c>
      <c r="F536" s="63">
        <f t="shared" si="2"/>
        <v>0</v>
      </c>
    </row>
    <row r="537">
      <c r="C537" s="63" t="str">
        <f t="shared" si="1"/>
        <v/>
      </c>
      <c r="D537" s="63" t="str">
        <f>IFERROR(__xludf.DUMMYFUNCTION("REGEXREPLACE(B537,""(.*):(.*):(.*)"",""$2"")"),"")</f>
        <v/>
      </c>
      <c r="E537" s="259" t="str">
        <f>IFERROR(__xludf.DUMMYFUNCTION("REGEXREPLACE(B537,""(.*):(.*):(.*)"",""$3"")"),"")</f>
        <v/>
      </c>
      <c r="F537" s="63">
        <f t="shared" si="2"/>
        <v>0</v>
      </c>
    </row>
    <row r="538">
      <c r="C538" s="63" t="str">
        <f t="shared" si="1"/>
        <v/>
      </c>
      <c r="D538" s="63" t="str">
        <f>IFERROR(__xludf.DUMMYFUNCTION("REGEXREPLACE(B538,""(.*):(.*):(.*)"",""$2"")"),"")</f>
        <v/>
      </c>
      <c r="E538" s="259" t="str">
        <f>IFERROR(__xludf.DUMMYFUNCTION("REGEXREPLACE(B538,""(.*):(.*):(.*)"",""$3"")"),"")</f>
        <v/>
      </c>
      <c r="F538" s="63">
        <f t="shared" si="2"/>
        <v>0</v>
      </c>
    </row>
    <row r="539">
      <c r="C539" s="63" t="str">
        <f t="shared" si="1"/>
        <v/>
      </c>
      <c r="D539" s="63" t="str">
        <f>IFERROR(__xludf.DUMMYFUNCTION("REGEXREPLACE(B539,""(.*):(.*):(.*)"",""$2"")"),"")</f>
        <v/>
      </c>
      <c r="E539" s="259" t="str">
        <f>IFERROR(__xludf.DUMMYFUNCTION("REGEXREPLACE(B539,""(.*):(.*):(.*)"",""$3"")"),"")</f>
        <v/>
      </c>
      <c r="F539" s="63">
        <f t="shared" si="2"/>
        <v>0</v>
      </c>
    </row>
    <row r="540">
      <c r="C540" s="63" t="str">
        <f t="shared" si="1"/>
        <v/>
      </c>
      <c r="D540" s="63" t="str">
        <f>IFERROR(__xludf.DUMMYFUNCTION("REGEXREPLACE(B540,""(.*):(.*):(.*)"",""$2"")"),"")</f>
        <v/>
      </c>
      <c r="E540" s="259" t="str">
        <f>IFERROR(__xludf.DUMMYFUNCTION("REGEXREPLACE(B540,""(.*):(.*):(.*)"",""$3"")"),"")</f>
        <v/>
      </c>
      <c r="F540" s="63">
        <f t="shared" si="2"/>
        <v>0</v>
      </c>
    </row>
    <row r="541">
      <c r="C541" s="63" t="str">
        <f t="shared" si="1"/>
        <v/>
      </c>
      <c r="D541" s="63" t="str">
        <f>IFERROR(__xludf.DUMMYFUNCTION("REGEXREPLACE(B541,""(.*):(.*):(.*)"",""$2"")"),"")</f>
        <v/>
      </c>
      <c r="E541" s="259" t="str">
        <f>IFERROR(__xludf.DUMMYFUNCTION("REGEXREPLACE(B541,""(.*):(.*):(.*)"",""$3"")"),"")</f>
        <v/>
      </c>
      <c r="F541" s="63">
        <f t="shared" si="2"/>
        <v>0</v>
      </c>
    </row>
    <row r="542" ht="6.0" customHeight="1">
      <c r="A542" s="106"/>
      <c r="B542" s="106"/>
      <c r="C542" s="106"/>
      <c r="D542" s="106"/>
      <c r="E542" s="263" t="str">
        <f>IFERROR(__xludf.DUMMYFUNCTION("REGEXREPLACE(B542,""(.*):(.*):(.*)"",""$3"")"),"")</f>
        <v/>
      </c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</row>
    <row r="543">
      <c r="E543" s="259" t="str">
        <f>IFERROR(__xludf.DUMMYFUNCTION("REGEXREPLACE(B543,""(.*):(.*):(.*)"",""$3"")"),"")</f>
        <v/>
      </c>
    </row>
    <row r="544">
      <c r="E544" s="259" t="str">
        <f>IFERROR(__xludf.DUMMYFUNCTION("REGEXREPLACE(B544,""(.*):(.*):(.*)"",""$3"")"),"")</f>
        <v/>
      </c>
    </row>
    <row r="545">
      <c r="E545" s="259" t="str">
        <f>IFERROR(__xludf.DUMMYFUNCTION("REGEXREPLACE(B545,""(.*):(.*):(.*)"",""$3"")"),"")</f>
        <v/>
      </c>
    </row>
    <row r="546">
      <c r="E546" s="63" t="str">
        <f>IFERROR(__xludf.DUMMYFUNCTION("REGEXREPLACE(B546,""(.*):(.*):(.*)"",""$3"")"),"")</f>
        <v/>
      </c>
    </row>
    <row r="547">
      <c r="E547" s="63" t="str">
        <f>IFERROR(__xludf.DUMMYFUNCTION("REGEXREPLACE(B547,""(.*):(.*):(.*)"",""$3"")"),"")</f>
        <v/>
      </c>
    </row>
    <row r="548">
      <c r="E548" s="63" t="str">
        <f>IFERROR(__xludf.DUMMYFUNCTION("REGEXREPLACE(B548,""(.*):(.*):(.*)"",""$3"")"),"")</f>
        <v/>
      </c>
    </row>
    <row r="549">
      <c r="E549" s="63" t="str">
        <f>IFERROR(__xludf.DUMMYFUNCTION("REGEXREPLACE(B549,""(.*):(.*):(.*)"",""$3"")"),"")</f>
        <v/>
      </c>
    </row>
    <row r="550">
      <c r="E550" s="63" t="str">
        <f>IFERROR(__xludf.DUMMYFUNCTION("REGEXREPLACE(B550,""(.*):(.*):(.*)"",""$3"")"),"")</f>
        <v/>
      </c>
    </row>
    <row r="551">
      <c r="E551" s="63" t="str">
        <f>IFERROR(__xludf.DUMMYFUNCTION("REGEXREPLACE(B551,""(.*):(.*):(.*)"",""$3"")"),"")</f>
        <v/>
      </c>
    </row>
    <row r="552">
      <c r="E552" s="63" t="str">
        <f>IFERROR(__xludf.DUMMYFUNCTION("REGEXREPLACE(B552,""(.*):(.*):(.*)"",""$3"")"),"")</f>
        <v/>
      </c>
    </row>
    <row r="553">
      <c r="E553" s="63" t="str">
        <f>IFERROR(__xludf.DUMMYFUNCTION("REGEXREPLACE(B553,""(.*):(.*):(.*)"",""$3"")"),"")</f>
        <v/>
      </c>
    </row>
    <row r="554">
      <c r="E554" s="63" t="str">
        <f>IFERROR(__xludf.DUMMYFUNCTION("REGEXREPLACE(B554,""(.*):(.*):(.*)"",""$3"")"),"")</f>
        <v/>
      </c>
    </row>
    <row r="555">
      <c r="E555" s="63" t="str">
        <f>IFERROR(__xludf.DUMMYFUNCTION("REGEXREPLACE(B555,""(.*):(.*):(.*)"",""$3"")"),"")</f>
        <v/>
      </c>
    </row>
    <row r="556">
      <c r="E556" s="63" t="str">
        <f>IFERROR(__xludf.DUMMYFUNCTION("REGEXREPLACE(B556,""(.*):(.*):(.*)"",""$3"")"),"")</f>
        <v/>
      </c>
    </row>
    <row r="557">
      <c r="E557" s="63" t="str">
        <f>IFERROR(__xludf.DUMMYFUNCTION("REGEXREPLACE(B557,""(.*):(.*):(.*)"",""$3"")"),"")</f>
        <v/>
      </c>
    </row>
    <row r="558">
      <c r="E558" s="63" t="str">
        <f>IFERROR(__xludf.DUMMYFUNCTION("REGEXREPLACE(B558,""(.*):(.*):(.*)"",""$3"")"),"")</f>
        <v/>
      </c>
    </row>
    <row r="559">
      <c r="E559" s="63" t="str">
        <f>IFERROR(__xludf.DUMMYFUNCTION("REGEXREPLACE(B559,""(.*):(.*):(.*)"",""$3"")"),"")</f>
        <v/>
      </c>
    </row>
  </sheetData>
  <drawing r:id="rId1"/>
</worksheet>
</file>